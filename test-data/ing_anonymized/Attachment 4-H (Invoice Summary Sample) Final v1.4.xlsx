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Base Charge" sheetId="3" state="visible" r:id="rId3"/>
    <sheet xmlns:r="http://schemas.openxmlformats.org/officeDocument/2006/relationships" name="Passthrough" sheetId="4" state="visible" r:id="rId4"/>
    <sheet xmlns:r="http://schemas.openxmlformats.org/officeDocument/2006/relationships" name="Retained Assets" sheetId="5" state="visible" r:id="rId5"/>
    <sheet xmlns:r="http://schemas.openxmlformats.org/officeDocument/2006/relationships" name="Ret.Contract" sheetId="6" state="visible" r:id="rId6"/>
    <sheet xmlns:r="http://schemas.openxmlformats.org/officeDocument/2006/relationships" name="Project" sheetId="7" state="visible" r:id="rId7"/>
    <sheet xmlns:r="http://schemas.openxmlformats.org/officeDocument/2006/relationships" name="T&amp;T" sheetId="8" state="visible" r:id="rId8"/>
    <sheet xmlns:r="http://schemas.openxmlformats.org/officeDocument/2006/relationships" name="Serv.level.credit" sheetId="9" state="visible" r:id="rId9"/>
    <sheet xmlns:r="http://schemas.openxmlformats.org/officeDocument/2006/relationships" name="Adjustment" sheetId="10" state="visible" r:id="rId10"/>
    <sheet xmlns:r="http://schemas.openxmlformats.org/officeDocument/2006/relationships" name="Variables" sheetId="11" state="hidden" r:id="rId11"/>
  </sheets>
  <externalReferences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Baseline" hidden="0" function="0" vbProcedure="0">'[2]'!$A$1:$N$50</definedName>
    <definedName name="DATA_01" hidden="0" function="0" vbProcedure="0">#REF!</definedName>
    <definedName name="DATA_02" hidden="0" function="0" vbProcedure="0">#REF!</definedName>
    <definedName name="DATA_03" hidden="0" function="0" vbProcedure="0">#REF!</definedName>
    <definedName name="DATA_04" hidden="0" function="0" vbProcedure="0">#REF!</definedName>
    <definedName name="DATA_05" hidden="0" function="0" vbProcedure="0">#REF!</definedName>
    <definedName name="DATA_06" hidden="0" function="0" vbProcedure="0">#REF!</definedName>
    <definedName name="DATA_07" hidden="0" function="0" vbProcedure="0">#REF!</definedName>
    <definedName name="HTML_CodePage" hidden="0" function="0" vbProcedure="0">1252</definedName>
    <definedName name="HTML_Control" hidden="0" function="0" vbProcedure="0">{"'Server Configuration'!$A$1:$DB$281"}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"Server Configuration"</definedName>
    <definedName name="HTML_LastUpdate" hidden="0" function="0" vbProcedure="0">"2/9/01"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"Corporate Network Services"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"C:\WINNT\Profiles\E003999\Desktop\MyHTML.htm"</definedName>
    <definedName name="HTML_Title" hidden="0" function="0" vbProcedure="0">"Asset Tracking 2_9_01"</definedName>
    <definedName name="IntroPrintArea" hidden="0" function="0" vbProcedure="0">#REF!</definedName>
    <definedName name="Look1Area" hidden="0" function="0" vbProcedure="0">#REF!</definedName>
    <definedName name="Look2Area" hidden="0" function="0" vbProcedure="0">#REF!</definedName>
    <definedName name="Look3Area" hidden="0" function="0" vbProcedure="0">#REF!</definedName>
    <definedName name="Look4Area" hidden="0" function="0" vbProcedure="0">#REF!</definedName>
    <definedName name="Look5Area" hidden="0" function="0" vbProcedure="0">#REF!</definedName>
    <definedName name="Period" hidden="0" function="0" vbProcedure="0">'Invoice Summary'!$D$5</definedName>
    <definedName name="TemplatePrintArea" hidden="0" function="0" vbProcedure="0">#REF!</definedName>
    <definedName name="Totals" hidden="0" function="0" vbProcedure="0">'[1]Complete Listing incl LCN'!$A$630</definedName>
    <definedName name="_Example" hidden="0" function="0" vbProcedure="0">Variables!$B$1</definedName>
    <definedName name="_Look" hidden="0" function="0" vbProcedure="0">Variables!$B$4</definedName>
    <definedName name="_Series" hidden="0" function="0" vbProcedure="0">Variables!$B$3</definedName>
    <definedName name="_Shading" hidden="0" function="0" vbProcedure="0">Variables!$B$2</definedName>
    <definedName name="Baseline" localSheetId="0" hidden="0" function="0" vbProcedure="0">#REF!</definedName>
    <definedName name="HTML_Control" localSheetId="0" hidden="0" function="0" vbProcedure="0">{"'Server Configuration'!$A$1:$DB$281"}</definedName>
    <definedName name="Z_2AFD2E8D_3D03_4813_8B05_F9D4BE800E07__wvu_PrintArea" localSheetId="0" hidden="0" function="0" vbProcedure="0">'Cover Page'!$A$1:$I$28</definedName>
    <definedName name="Z_422F6220_13A9_11D5_B09A_0050DA2FB877__wvu_PrintArea" localSheetId="0" hidden="0" function="0" vbProcedure="0">'Cover Page'!$A$1:$I$28</definedName>
    <definedName name="Z_4B2D6D4A_C75D_4A68_9856_C75A4E5366DD__wvu_PrintArea" localSheetId="0" hidden="0" function="0" vbProcedure="0">'Cover Page'!$A$1:$I$28</definedName>
    <definedName name="DATA_01" localSheetId="1" hidden="0" function="0" vbProcedure="0">#REF!</definedName>
    <definedName name="DATA_02" localSheetId="1" hidden="0" function="0" vbProcedure="0">#REF!</definedName>
    <definedName name="DATA_03" localSheetId="1" hidden="0" function="0" vbProcedure="0">#REF!</definedName>
    <definedName name="DATA_04" localSheetId="1" hidden="0" function="0" vbProcedure="0">#REF!</definedName>
    <definedName name="DATA_05" localSheetId="1" hidden="0" function="0" vbProcedure="0">#REF!</definedName>
    <definedName name="DATA_06" localSheetId="1" hidden="0" function="0" vbProcedure="0">#REF!</definedName>
    <definedName name="DATA_07" localSheetId="1" hidden="0" function="0" vbProcedure="0">#REF!</definedName>
    <definedName name="HTML_Control" localSheetId="1" hidden="0" function="0" vbProcedure="0">{"'Server Configuration'!$A$1:$DB$281"}</definedName>
    <definedName name="TemplatePrintArea" localSheetId="1" hidden="0" function="0" vbProcedure="0">'Invoice Summary'!$B$4:$B$11</definedName>
    <definedName name="DATA_03" localSheetId="2" hidden="0" function="0" vbProcedure="0">#REF!</definedName>
    <definedName name="DATA_04" localSheetId="2" hidden="0" function="0" vbProcedure="0">#REF!</definedName>
    <definedName name="DATA_05" localSheetId="2" hidden="0" function="0" vbProcedure="0">#REF!</definedName>
    <definedName name="DATA_07" localSheetId="2" hidden="0" function="0" vbProcedure="0">#REF!</definedName>
    <definedName name="_xlnm.Print_Area" localSheetId="2">'Base Charge'!$A$1:$R$155</definedName>
    <definedName name="Baseline" localSheetId="7" hidden="0" function="0" vbProcedure="0">#REF!</definedName>
    <definedName name="Excel_BuiltIn_Print_Area" localSheetId="7" hidden="0" function="0" vbProcedure="0">#REF!</definedName>
    <definedName name="Z_2AFD2E8D_3D03_4813_8B05_F9D4BE800E07__wvu_PrintArea" localSheetId="7" hidden="0" function="0" vbProcedure="0">#REF!</definedName>
    <definedName name="Z_422F6220_13A9_11D5_B09A_0050DA2FB877__wvu_PrintArea" localSheetId="7" hidden="0" function="0" vbProcedure="0">#REF!</definedName>
    <definedName name="Z_4B2D6D4A_C75D_4A68_9856_C75A4E5366DD__wvu_PrintArea" localSheetId="7" hidden="0" function="0" vbProcedure="0">#REF!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3">
    <numFmt numFmtId="164" formatCode="[$-409]d\-mmm\-yy"/>
    <numFmt numFmtId="165" formatCode="mmmm\ d&quot;, &quot;yyyy"/>
    <numFmt numFmtId="166" formatCode="[$-409]#,##0_);\(#,##0\)"/>
    <numFmt numFmtId="167" formatCode="[$-409]mmm/yy;@"/>
    <numFmt numFmtId="168" formatCode="[$-409]0"/>
    <numFmt numFmtId="169" formatCode="[$-409]#,##0_);[RED]\(#,##0\)"/>
    <numFmt numFmtId="170" formatCode="[$-409]mmmm/yy;@"/>
    <numFmt numFmtId="171" formatCode="[$-409]0.00"/>
    <numFmt numFmtId="172" formatCode="[$-409]#,##0.00_);[RED]\(#,##0.00\)"/>
    <numFmt numFmtId="173" formatCode="#,##0.0"/>
    <numFmt numFmtId="174" formatCode="mm/dd/yy"/>
    <numFmt numFmtId="175" formatCode="_([$€]* #,##0.00_);_([$€]* \(#,##0.00\);_([$€]* \-??_);_(@_)"/>
    <numFmt numFmtId="176" formatCode="0_);[RED]\(0\)"/>
  </numFmts>
  <fonts count="3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Sans Serif"/>
      <family val="0"/>
      <color rgb="FF000000"/>
      <sz val="10"/>
    </font>
    <font>
      <name val="Arial"/>
      <charset val="204"/>
      <family val="0"/>
      <sz val="10"/>
    </font>
    <font>
      <name val="Arial MT"/>
      <family val="0"/>
      <sz val="12"/>
    </font>
    <font>
      <name val="Arial MT"/>
      <family val="2"/>
      <color rgb="FF000000"/>
      <sz val="12"/>
    </font>
    <font>
      <name val="Arial MT"/>
      <family val="0"/>
      <b val="1"/>
      <sz val="12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Tahoma"/>
      <family val="2"/>
      <color rgb="FF424242"/>
      <sz val="9"/>
    </font>
    <font>
      <name val="Tahoma"/>
      <family val="2"/>
      <b val="1"/>
      <color rgb="FFFFFFFF"/>
      <sz val="10"/>
    </font>
    <font>
      <name val="Tahoma"/>
      <family val="2"/>
      <b val="1"/>
      <sz val="10"/>
    </font>
    <font>
      <name val="Tahoma"/>
      <family val="2"/>
      <color rgb="FF424242"/>
      <sz val="8"/>
    </font>
    <font>
      <name val="Tahoma"/>
      <family val="2"/>
      <color rgb="FF000080"/>
      <sz val="10"/>
    </font>
    <font>
      <name val="Tahoma"/>
      <family val="2"/>
      <sz val="9"/>
    </font>
    <font>
      <name val="Tahoma"/>
      <family val="2"/>
      <color rgb="FFFFFFFF"/>
      <sz val="10"/>
    </font>
    <font>
      <name val="Times New Roman"/>
      <family val="1"/>
      <sz val="10"/>
    </font>
    <font>
      <name val="Times New Roman"/>
      <family val="1"/>
      <sz val="12"/>
    </font>
    <font>
      <name val="Times New Roman"/>
      <family val="1"/>
      <b val="1"/>
      <i val="1"/>
      <sz val="12"/>
    </font>
    <font>
      <name val="Tahoma"/>
      <family val="2"/>
      <b val="1"/>
      <color rgb="FF000080"/>
      <sz val="10"/>
    </font>
    <font>
      <name val="Times New Roman"/>
      <family val="1"/>
      <b val="1"/>
      <sz val="12"/>
    </font>
    <font>
      <name val="Tahoma"/>
      <family val="2"/>
      <b val="1"/>
      <color rgb="FFFFFFFF"/>
      <sz val="12"/>
    </font>
    <font>
      <name val="MS Sans Serif"/>
      <family val="0"/>
      <color rgb="FFFF0000"/>
      <sz val="10"/>
    </font>
    <font>
      <name val="MS Sans Serif"/>
      <family val="0"/>
      <color rgb="FFFFFFFF"/>
      <sz val="10"/>
    </font>
    <font>
      <name val="MS Sans Serif"/>
      <family val="0"/>
      <color rgb="FF000080"/>
      <sz val="10"/>
    </font>
    <font>
      <name val="Tahoma"/>
      <family val="2"/>
      <color rgb="FFFF0000"/>
      <sz val="10"/>
    </font>
    <font>
      <name val="MS Sans Serif"/>
      <family val="2"/>
      <b val="1"/>
      <color rgb="FFFFFFFF"/>
      <sz val="10"/>
    </font>
    <font>
      <name val="MS Sans Serif"/>
      <family val="2"/>
      <b val="1"/>
      <color rgb="FF000000"/>
      <sz val="10"/>
    </font>
    <font>
      <name val="MS Sans Serif"/>
      <family val="2"/>
      <b val="1"/>
      <color rgb="FF000000"/>
      <sz val="18"/>
    </font>
    <font>
      <name val="Times New Roman"/>
      <family val="1"/>
      <b val="1"/>
      <sz val="10"/>
    </font>
  </fonts>
  <fills count="6">
    <fill>
      <patternFill/>
    </fill>
    <fill>
      <patternFill patternType="gray125"/>
    </fill>
    <fill>
      <patternFill patternType="solid">
        <fgColor rgb="FFEDEEF3"/>
        <bgColor rgb="FFEAEAEA"/>
      </patternFill>
    </fill>
    <fill>
      <patternFill patternType="solid">
        <fgColor rgb="FF4E5A7A"/>
        <bgColor rgb="FF424242"/>
      </patternFill>
    </fill>
    <fill>
      <patternFill patternType="solid">
        <fgColor rgb="FF808080"/>
        <bgColor rgb="FFA1A1A1"/>
      </patternFill>
    </fill>
    <fill>
      <patternFill patternType="solid">
        <fgColor rgb="FFEAEAEA"/>
        <bgColor rgb="FFEDEEF3"/>
      </patternFill>
    </fill>
  </fills>
  <borders count="31">
    <border>
      <left/>
      <right/>
      <top/>
      <bottom/>
      <diagonal/>
    </border>
    <border>
      <left style="thin">
        <color rgb="FFA1A1A1"/>
      </left>
      <right style="thin">
        <color rgb="FFA1A1A1"/>
      </right>
      <top style="thin">
        <color rgb="FFA1A1A1"/>
      </top>
      <bottom style="thin">
        <color rgb="FFA1A1A1"/>
      </bottom>
      <diagonal/>
    </border>
    <border>
      <left style="thin">
        <color rgb="FFA1A1A1"/>
      </left>
      <right style="thin">
        <color rgb="FFA1A1A1"/>
      </right>
      <top style="thin">
        <color rgb="FFA1A1A1"/>
      </top>
      <bottom/>
      <diagonal/>
    </border>
    <border>
      <left style="thin">
        <color rgb="FFA1A1A1"/>
      </left>
      <right style="thin">
        <color rgb="FFA1A1A1"/>
      </right>
      <top/>
      <bottom style="thin">
        <color rgb="FFA1A1A1"/>
      </bottom>
      <diagonal/>
    </border>
    <border>
      <left style="medium">
        <color rgb="FFA1A1A1"/>
      </left>
      <right style="thin">
        <color rgb="FFA1A1A1"/>
      </right>
      <top style="medium">
        <color rgb="FFA1A1A1"/>
      </top>
      <bottom style="medium">
        <color rgb="FFA1A1A1"/>
      </bottom>
      <diagonal/>
    </border>
    <border>
      <left style="thin">
        <color rgb="FFA1A1A1"/>
      </left>
      <right style="thin">
        <color rgb="FFC0C0C0"/>
      </right>
      <top/>
      <bottom style="thin">
        <color rgb="FFC0C0C0"/>
      </bottom>
      <diagonal/>
    </border>
    <border>
      <left style="thin">
        <color rgb="FFA1A1A1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1A1A1"/>
      </left>
      <right style="thin">
        <color rgb="FFC0C0C0"/>
      </right>
      <top style="thin">
        <color rgb="FFA1A1A1"/>
      </top>
      <bottom style="thin">
        <color rgb="FFA1A1A1"/>
      </bottom>
      <diagonal/>
    </border>
    <border>
      <left style="medium">
        <color rgb="FFA1A1A1"/>
      </left>
      <right style="thin">
        <color rgb="FFA1A1A1"/>
      </right>
      <top style="medium">
        <color rgb="FFA1A1A1"/>
      </top>
      <bottom/>
      <diagonal/>
    </border>
    <border>
      <left style="medium">
        <color rgb="FFA1A1A1"/>
      </left>
      <right style="thin">
        <color rgb="FFA1A1A1"/>
      </right>
      <top/>
      <bottom style="medium">
        <color rgb="FFA1A1A1"/>
      </bottom>
      <diagonal/>
    </border>
    <border>
      <left style="medium">
        <color rgb="FFA1A1A1"/>
      </left>
      <right style="medium">
        <color rgb="FFA1A1A1"/>
      </right>
      <top style="medium">
        <color rgb="FFA1A1A1"/>
      </top>
      <bottom style="medium">
        <color rgb="FFA1A1A1"/>
      </bottom>
      <diagonal/>
    </border>
    <border>
      <left style="thin">
        <color rgb="FFA1A1A1"/>
      </left>
      <right style="thin">
        <color rgb="FFA1A1A1"/>
      </right>
      <top style="medium">
        <color rgb="FFA1A1A1"/>
      </top>
      <bottom style="medium">
        <color rgb="FFA1A1A1"/>
      </bottom>
      <diagonal/>
    </border>
    <border>
      <left style="thin">
        <color rgb="FFA1A1A1"/>
      </left>
      <right style="medium">
        <color rgb="FFA1A1A1"/>
      </right>
      <top style="medium">
        <color rgb="FFA1A1A1"/>
      </top>
      <bottom style="medium">
        <color rgb="FFA1A1A1"/>
      </bottom>
      <diagonal/>
    </border>
    <border>
      <left style="thin">
        <color rgb="FFA1A1A1"/>
      </left>
      <right style="thin">
        <color rgb="FFC0C0C0"/>
      </right>
      <top style="thin">
        <color rgb="FFC0C0C0"/>
      </top>
      <bottom/>
      <diagonal/>
    </border>
    <border>
      <left style="thin">
        <color rgb="FFA1A1A1"/>
      </left>
      <right style="thin">
        <color rgb="FFC0C0C0"/>
      </right>
      <top/>
      <bottom/>
      <diagonal/>
    </border>
    <border>
      <left style="medium">
        <color rgb="FFA1A1A1"/>
      </left>
      <right style="thin">
        <color rgb="FFC0C0C0"/>
      </right>
      <top style="medium">
        <color rgb="FFA1A1A1"/>
      </top>
      <bottom style="medium">
        <color rgb="FFA1A1A1"/>
      </bottom>
      <diagonal/>
    </border>
    <border>
      <left style="thin">
        <color rgb="FFA1A1A1"/>
      </left>
      <right style="thin">
        <color rgb="FFC0C0C0"/>
      </right>
      <top style="medium">
        <color rgb="FFA1A1A1"/>
      </top>
      <bottom style="medium">
        <color rgb="FFA1A1A1"/>
      </bottom>
      <diagonal/>
    </border>
    <border>
      <left style="thin">
        <color rgb="FFA1A1A1"/>
      </left>
      <right/>
      <top/>
      <bottom/>
      <diagonal/>
    </border>
    <border>
      <left style="thin">
        <color rgb="FFA1A1A1"/>
      </left>
      <right style="thin">
        <color rgb="FFA1A1A1"/>
      </right>
      <top style="thin">
        <color rgb="FFA1A1A1"/>
      </top>
      <bottom style="medium">
        <color rgb="FFA1A1A1"/>
      </bottom>
      <diagonal/>
    </border>
    <border>
      <left style="thin">
        <color rgb="FFA1A1A1"/>
      </left>
      <right style="thin">
        <color rgb="FFC0C0C0"/>
      </right>
      <top style="thin">
        <color rgb="FFC0C0C0"/>
      </top>
      <bottom style="thin">
        <color rgb="FFA1A1A1"/>
      </bottom>
      <diagonal/>
    </border>
    <border>
      <left style="thin">
        <color rgb="FFA1A1A1"/>
      </left>
      <right style="thin">
        <color rgb="FFA1A1A1"/>
      </right>
      <top/>
      <bottom/>
      <diagonal/>
    </border>
    <border>
      <left style="thin">
        <color rgb="FFA1A1A1"/>
      </left>
      <right style="thin">
        <color rgb="FFA1A1A1"/>
      </right>
      <top/>
      <bottom style="thin">
        <color rgb="FFC0C0C0"/>
      </bottom>
      <diagonal/>
    </border>
    <border>
      <left style="thin">
        <color rgb="FFA1A1A1"/>
      </left>
      <right style="thin">
        <color rgb="FFC0C0C0"/>
      </right>
      <top style="thin">
        <color rgb="FFA1A1A1"/>
      </top>
      <bottom style="thin">
        <color rgb="FFC0C0C0"/>
      </bottom>
      <diagonal/>
    </border>
    <border>
      <left style="thin">
        <color rgb="FFA1A1A1"/>
      </left>
      <right style="thin">
        <color rgb="FFA1A1A1"/>
      </right>
      <top style="thin">
        <color rgb="FFA1A1A1"/>
      </top>
      <bottom style="thin">
        <color rgb="FFC0C0C0"/>
      </bottom>
      <diagonal/>
    </border>
    <border>
      <left style="thin">
        <color rgb="FFA1A1A1"/>
      </left>
      <right style="thin">
        <color rgb="FFC0C0C0"/>
      </right>
      <top/>
      <bottom style="thin">
        <color rgb="FFA1A1A1"/>
      </bottom>
      <diagonal/>
    </border>
    <border>
      <left style="medium">
        <color rgb="FFA1A1A1"/>
      </left>
      <right style="medium">
        <color rgb="FFA1A1A1"/>
      </right>
      <top style="medium">
        <color rgb="FFA1A1A1"/>
      </top>
      <bottom/>
      <diagonal/>
    </border>
    <border>
      <left style="thin">
        <color rgb="FFA1A1A1"/>
      </left>
      <right style="thin">
        <color rgb="FFA1A1A1"/>
      </right>
      <top style="thin">
        <color rgb="FFA1A1A1"/>
      </top>
      <bottom style="hair">
        <color rgb="FFA1A1A1"/>
      </bottom>
      <diagonal/>
    </border>
    <border>
      <left style="medium">
        <color rgb="FFA1A1A1"/>
      </left>
      <right style="medium">
        <color rgb="FFA1A1A1"/>
      </right>
      <top/>
      <bottom/>
      <diagonal/>
    </border>
    <border>
      <left style="medium">
        <color rgb="FFA1A1A1"/>
      </left>
      <right style="medium">
        <color rgb="FFA1A1A1"/>
      </right>
      <top/>
      <bottom style="medium">
        <color rgb="FFA1A1A1"/>
      </bottom>
      <diagonal/>
    </border>
    <border>
      <left style="thin">
        <color rgb="FFA1A1A1"/>
      </left>
      <right style="thin">
        <color rgb="FFA1A1A1"/>
      </right>
      <top style="medium">
        <color rgb="FFA1A1A1"/>
      </top>
      <bottom style="thin">
        <color rgb="FFC0C0C0"/>
      </bottom>
      <diagonal/>
    </border>
    <border>
      <left style="thin">
        <color rgb="FFA1A1A1"/>
      </left>
      <right style="thin">
        <color rgb="FFA1A1A1"/>
      </right>
      <top/>
      <bottom style="medium">
        <color rgb="FFA1A1A1"/>
      </bottom>
      <diagonal/>
    </border>
  </borders>
  <cellStyleXfs count="31">
    <xf numFmtId="3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174" fontId="0" fillId="0" borderId="0"/>
    <xf numFmtId="0" fontId="6" fillId="0" borderId="0" applyAlignment="1">
      <alignment horizontal="general" vertical="bottom"/>
    </xf>
    <xf numFmtId="175" fontId="0" fillId="0" borderId="0"/>
    <xf numFmtId="176" fontId="0" fillId="0" borderId="0"/>
    <xf numFmtId="4" fontId="0" fillId="0" borderId="0" applyAlignment="1" applyProtection="1">
      <alignment horizontal="right" vertical="bottom"/>
      <protection locked="0" hidden="0"/>
    </xf>
    <xf numFmtId="10" fontId="7" fillId="2" borderId="0" applyAlignment="1" applyProtection="1">
      <alignment horizontal="right" vertical="bottom"/>
      <protection locked="0" hidden="0"/>
    </xf>
    <xf numFmtId="4" fontId="7" fillId="2" borderId="0" applyAlignment="1" applyProtection="1">
      <alignment horizontal="right" vertical="bottom"/>
      <protection locked="0" hidden="0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4" fontId="8" fillId="0" borderId="0" applyAlignment="1">
      <alignment horizontal="right" vertical="top"/>
    </xf>
    <xf numFmtId="1" fontId="0" fillId="0" borderId="0"/>
    <xf numFmtId="9" fontId="0" fillId="0" borderId="0" applyAlignment="1">
      <alignment horizontal="general" vertical="bottom"/>
    </xf>
    <xf numFmtId="4" fontId="0" fillId="0" borderId="0" applyAlignment="1">
      <alignment horizontal="general" vertical="bottom"/>
    </xf>
    <xf numFmtId="49" fontId="0" fillId="0" borderId="0"/>
  </cellStyleXfs>
  <cellXfs count="339">
    <xf numFmtId="3" fontId="0" fillId="0" borderId="0" applyAlignment="1" pivotButton="0" quotePrefix="0" xfId="0">
      <alignment horizontal="general" vertical="bottom"/>
    </xf>
    <xf numFmtId="0" fontId="1" fillId="0" borderId="0" applyAlignment="1" pivotButton="0" quotePrefix="0" xfId="41">
      <alignment horizontal="general" vertical="bottom"/>
    </xf>
    <xf numFmtId="0" fontId="1" fillId="0" borderId="0" applyAlignment="1" pivotButton="0" quotePrefix="0" xfId="41">
      <alignment horizontal="center" vertical="bottom"/>
    </xf>
    <xf numFmtId="0" fontId="9" fillId="0" borderId="0" applyAlignment="1" pivotButton="0" quotePrefix="0" xfId="41">
      <alignment horizontal="center" vertical="bottom"/>
    </xf>
    <xf numFmtId="164" fontId="9" fillId="0" borderId="0" applyAlignment="1" pivotButton="0" quotePrefix="0" xfId="41">
      <alignment horizontal="center" vertical="bottom"/>
    </xf>
    <xf numFmtId="165" fontId="9" fillId="0" borderId="0" applyAlignment="1" pivotButton="0" quotePrefix="0" xfId="41">
      <alignment horizontal="center" vertical="bottom"/>
    </xf>
    <xf numFmtId="0" fontId="11" fillId="0" borderId="0" applyAlignment="1" pivotButton="0" quotePrefix="0" xfId="39">
      <alignment horizontal="general" vertical="bottom"/>
    </xf>
    <xf numFmtId="0" fontId="11" fillId="0" borderId="0" applyAlignment="1" pivotButton="0" quotePrefix="0" xfId="39">
      <alignment horizontal="left" vertical="bottom"/>
    </xf>
    <xf numFmtId="0" fontId="11" fillId="0" borderId="0" applyAlignment="1" pivotButton="0" quotePrefix="0" xfId="39">
      <alignment horizontal="center" vertical="bottom"/>
    </xf>
    <xf numFmtId="166" fontId="12" fillId="3" borderId="1" applyAlignment="1" pivotButton="0" quotePrefix="0" xfId="0">
      <alignment horizontal="left" vertical="center" wrapText="1"/>
    </xf>
    <xf numFmtId="0" fontId="11" fillId="0" borderId="0" applyAlignment="1" pivotButton="0" quotePrefix="0" xfId="39">
      <alignment horizontal="general" vertical="bottom"/>
    </xf>
    <xf numFmtId="0" fontId="11" fillId="0" borderId="0" applyAlignment="1" pivotButton="0" quotePrefix="0" xfId="39">
      <alignment horizontal="left" vertical="bottom"/>
    </xf>
    <xf numFmtId="166" fontId="12" fillId="3" borderId="2" applyAlignment="1" pivotButton="0" quotePrefix="0" xfId="0">
      <alignment horizontal="left" vertical="center" wrapText="1"/>
    </xf>
    <xf numFmtId="166" fontId="12" fillId="3" borderId="2" applyAlignment="1" pivotButton="0" quotePrefix="0" xfId="0">
      <alignment horizontal="center" vertical="center" wrapText="1"/>
    </xf>
    <xf numFmtId="0" fontId="13" fillId="0" borderId="3" applyAlignment="1" pivotButton="0" quotePrefix="0" xfId="39">
      <alignment horizontal="general" vertical="bottom"/>
    </xf>
    <xf numFmtId="167" fontId="12" fillId="3" borderId="3" applyAlignment="1" pivotButton="0" quotePrefix="0" xfId="0">
      <alignment horizontal="center" vertical="center" wrapText="1"/>
    </xf>
    <xf numFmtId="166" fontId="12" fillId="3" borderId="4" applyAlignment="1" pivotButton="0" quotePrefix="0" xfId="0">
      <alignment horizontal="left" vertical="center" wrapText="1"/>
    </xf>
    <xf numFmtId="166" fontId="12" fillId="3" borderId="4" applyAlignment="1" pivotButton="0" quotePrefix="0" xfId="0">
      <alignment horizontal="center" vertical="center" wrapText="1"/>
    </xf>
    <xf numFmtId="0" fontId="14" fillId="0" borderId="0" applyAlignment="1" pivotButton="0" quotePrefix="0" xfId="39">
      <alignment horizontal="center" vertical="center"/>
    </xf>
    <xf numFmtId="49" fontId="15" fillId="0" borderId="5" applyAlignment="1" applyProtection="1" pivotButton="0" quotePrefix="0" xfId="39">
      <alignment horizontal="general" vertical="center" wrapText="1"/>
      <protection locked="0" hidden="0"/>
    </xf>
    <xf numFmtId="168" fontId="15" fillId="0" borderId="5" applyAlignment="1" applyProtection="1" pivotButton="0" quotePrefix="0" xfId="30">
      <alignment horizontal="right" vertical="center" wrapText="1"/>
      <protection locked="0" hidden="0"/>
    </xf>
    <xf numFmtId="0" fontId="16" fillId="0" borderId="0" applyAlignment="1" pivotButton="0" quotePrefix="0" xfId="39">
      <alignment horizontal="center" vertical="center"/>
    </xf>
    <xf numFmtId="49" fontId="15" fillId="2" borderId="5" applyAlignment="1" applyProtection="1" pivotButton="0" quotePrefix="0" xfId="39">
      <alignment horizontal="general" vertical="center" wrapText="1"/>
      <protection locked="0" hidden="0"/>
    </xf>
    <xf numFmtId="169" fontId="15" fillId="2" borderId="5" applyAlignment="1" applyProtection="1" pivotButton="0" quotePrefix="0" xfId="30">
      <alignment horizontal="right" vertical="center" wrapText="1"/>
      <protection locked="0" hidden="0"/>
    </xf>
    <xf numFmtId="169" fontId="15" fillId="0" borderId="5" applyAlignment="1" applyProtection="1" pivotButton="0" quotePrefix="0" xfId="30">
      <alignment horizontal="right" vertical="center" wrapText="1"/>
      <protection locked="0" hidden="0"/>
    </xf>
    <xf numFmtId="49" fontId="17" fillId="3" borderId="6" applyAlignment="1" applyProtection="1" pivotButton="0" quotePrefix="0" xfId="39">
      <alignment horizontal="general" vertical="center" wrapText="1"/>
      <protection locked="0" hidden="0"/>
    </xf>
    <xf numFmtId="169" fontId="17" fillId="3" borderId="6" applyAlignment="1" applyProtection="1" pivotButton="0" quotePrefix="0" xfId="30">
      <alignment horizontal="right" vertical="center" wrapText="1"/>
      <protection locked="0" hidden="0"/>
    </xf>
    <xf numFmtId="169" fontId="11" fillId="0" borderId="0" applyAlignment="1" pivotButton="0" quotePrefix="0" xfId="39">
      <alignment horizontal="center" vertical="bottom"/>
    </xf>
    <xf numFmtId="3" fontId="18" fillId="0" borderId="0" applyAlignment="1" pivotButton="0" quotePrefix="0" xfId="0">
      <alignment horizontal="general" vertical="bottom"/>
    </xf>
    <xf numFmtId="169" fontId="18" fillId="0" borderId="0" applyAlignment="1" pivotButton="0" quotePrefix="0" xfId="30">
      <alignment horizontal="left" vertical="bottom"/>
    </xf>
    <xf numFmtId="169" fontId="12" fillId="3" borderId="4" applyAlignment="1" pivotButton="0" quotePrefix="0" xfId="30">
      <alignment horizontal="center" vertical="center" wrapText="1"/>
    </xf>
    <xf numFmtId="49" fontId="15" fillId="0" borderId="6" applyAlignment="1" applyProtection="1" pivotButton="0" quotePrefix="0" xfId="39">
      <alignment horizontal="general" vertical="center" wrapText="1"/>
      <protection locked="0" hidden="0"/>
    </xf>
    <xf numFmtId="169" fontId="15" fillId="0" borderId="6" applyAlignment="1" applyProtection="1" pivotButton="0" quotePrefix="0" xfId="30">
      <alignment horizontal="right" vertical="center" wrapText="1"/>
      <protection locked="0" hidden="0"/>
    </xf>
    <xf numFmtId="169" fontId="18" fillId="0" borderId="0" applyAlignment="1" pivotButton="0" quotePrefix="0" xfId="30">
      <alignment horizontal="right" vertical="bottom"/>
    </xf>
    <xf numFmtId="49" fontId="15" fillId="2" borderId="1" applyAlignment="1" applyProtection="1" pivotButton="0" quotePrefix="0" xfId="39">
      <alignment horizontal="general" vertical="center" wrapText="1"/>
      <protection locked="0" hidden="0"/>
    </xf>
    <xf numFmtId="169" fontId="15" fillId="2" borderId="7" applyAlignment="1" applyProtection="1" pivotButton="0" quotePrefix="0" xfId="30">
      <alignment horizontal="right" vertical="center" wrapText="1"/>
      <protection locked="0" hidden="0"/>
    </xf>
    <xf numFmtId="169" fontId="15" fillId="2" borderId="1" applyAlignment="1" applyProtection="1" pivotButton="0" quotePrefix="0" xfId="30">
      <alignment horizontal="right" vertical="center" wrapText="1"/>
      <protection locked="0" hidden="0"/>
    </xf>
    <xf numFmtId="169" fontId="12" fillId="3" borderId="4" applyAlignment="1" pivotButton="0" quotePrefix="0" xfId="30">
      <alignment horizontal="right" vertical="center" wrapText="1"/>
    </xf>
    <xf numFmtId="0" fontId="1" fillId="0" borderId="0" applyAlignment="1" pivotButton="0" quotePrefix="0" xfId="39">
      <alignment horizontal="general" vertical="bottom"/>
    </xf>
    <xf numFmtId="0" fontId="1" fillId="0" borderId="0" applyAlignment="1" pivotButton="0" quotePrefix="0" xfId="39">
      <alignment horizontal="left" vertical="center"/>
    </xf>
    <xf numFmtId="0" fontId="1" fillId="0" borderId="0" applyAlignment="1" pivotButton="0" quotePrefix="0" xfId="39">
      <alignment horizontal="center" vertical="center" wrapText="1"/>
    </xf>
    <xf numFmtId="166" fontId="12" fillId="3" borderId="8" applyAlignment="1" pivotButton="0" quotePrefix="0" xfId="0">
      <alignment horizontal="center" vertical="center" wrapText="1"/>
    </xf>
    <xf numFmtId="0" fontId="1" fillId="0" borderId="0" applyAlignment="1" pivotButton="0" quotePrefix="0" xfId="39">
      <alignment horizontal="center" vertical="center" wrapText="1"/>
    </xf>
    <xf numFmtId="166" fontId="12" fillId="3" borderId="9" applyAlignment="1" pivotButton="0" quotePrefix="0" xfId="0">
      <alignment horizontal="center" vertical="center" wrapText="1"/>
    </xf>
    <xf numFmtId="0" fontId="19" fillId="0" borderId="0" applyAlignment="1" pivotButton="0" quotePrefix="0" xfId="39">
      <alignment horizontal="left" vertical="center"/>
    </xf>
    <xf numFmtId="0" fontId="19" fillId="0" borderId="0" applyAlignment="1" pivotButton="0" quotePrefix="0" xfId="39">
      <alignment horizontal="center" vertical="center" wrapText="1"/>
    </xf>
    <xf numFmtId="0" fontId="19" fillId="0" borderId="0" applyAlignment="1" pivotButton="0" quotePrefix="0" xfId="39">
      <alignment horizontal="center" vertical="center" wrapText="1"/>
    </xf>
    <xf numFmtId="0" fontId="20" fillId="0" borderId="0" applyAlignment="1" pivotButton="0" quotePrefix="0" xfId="39">
      <alignment horizontal="left" vertical="bottom"/>
    </xf>
    <xf numFmtId="166" fontId="12" fillId="3" borderId="10" applyAlignment="1" pivotButton="0" quotePrefix="0" xfId="0">
      <alignment horizontal="center" vertical="center" wrapText="1"/>
    </xf>
    <xf numFmtId="167" fontId="12" fillId="3" borderId="3" applyAlignment="1" pivotButton="0" quotePrefix="0" xfId="0">
      <alignment horizontal="left" vertical="center" wrapText="1"/>
    </xf>
    <xf numFmtId="166" fontId="12" fillId="3" borderId="11" applyAlignment="1" pivotButton="0" quotePrefix="0" xfId="0">
      <alignment horizontal="center" vertical="center" wrapText="1"/>
    </xf>
    <xf numFmtId="1" fontId="12" fillId="3" borderId="11" applyAlignment="1" pivotButton="0" quotePrefix="0" xfId="0">
      <alignment horizontal="center" vertical="center" wrapText="1"/>
    </xf>
    <xf numFmtId="1" fontId="12" fillId="3" borderId="12" applyAlignment="1" pivotButton="0" quotePrefix="0" xfId="0">
      <alignment horizontal="center" vertical="center" wrapText="1"/>
    </xf>
    <xf numFmtId="1" fontId="12" fillId="3" borderId="4" applyAlignment="1" pivotButton="0" quotePrefix="0" xfId="0">
      <alignment horizontal="center" vertical="center" wrapText="1"/>
    </xf>
    <xf numFmtId="1" fontId="15" fillId="0" borderId="5" applyAlignment="1" applyProtection="1" pivotButton="0" quotePrefix="0" xfId="39">
      <alignment horizontal="center" vertical="center" wrapText="1"/>
      <protection locked="0" hidden="0"/>
    </xf>
    <xf numFmtId="1" fontId="15" fillId="0" borderId="5" applyAlignment="1" applyProtection="1" pivotButton="0" quotePrefix="0" xfId="39">
      <alignment horizontal="right" vertical="center" wrapText="1"/>
      <protection locked="0" hidden="0"/>
    </xf>
    <xf numFmtId="1" fontId="15" fillId="2" borderId="5" applyAlignment="1" applyProtection="1" pivotButton="0" quotePrefix="0" xfId="39">
      <alignment horizontal="right" vertical="center" wrapText="1"/>
      <protection locked="0" hidden="0"/>
    </xf>
    <xf numFmtId="1" fontId="15" fillId="2" borderId="5" applyAlignment="1" applyProtection="1" pivotButton="0" quotePrefix="0" xfId="39">
      <alignment horizontal="center" vertical="center" wrapText="1"/>
      <protection locked="0" hidden="0"/>
    </xf>
    <xf numFmtId="1" fontId="15" fillId="0" borderId="6" applyAlignment="1" applyProtection="1" pivotButton="0" quotePrefix="0" xfId="39">
      <alignment horizontal="right" vertical="center" wrapText="1"/>
      <protection locked="0" hidden="0"/>
    </xf>
    <xf numFmtId="49" fontId="15" fillId="0" borderId="13" applyAlignment="1" applyProtection="1" pivotButton="0" quotePrefix="0" xfId="39">
      <alignment horizontal="general" vertical="center" wrapText="1"/>
      <protection locked="0" hidden="0"/>
    </xf>
    <xf numFmtId="1" fontId="15" fillId="0" borderId="13" applyAlignment="1" applyProtection="1" pivotButton="0" quotePrefix="0" xfId="39">
      <alignment horizontal="right" vertical="center" wrapText="1"/>
      <protection locked="0" hidden="0"/>
    </xf>
    <xf numFmtId="1" fontId="15" fillId="2" borderId="14" applyAlignment="1" applyProtection="1" pivotButton="0" quotePrefix="0" xfId="39">
      <alignment horizontal="right" vertical="center" wrapText="1"/>
      <protection locked="0" hidden="0"/>
    </xf>
    <xf numFmtId="49" fontId="21" fillId="2" borderId="15" applyAlignment="1" applyProtection="1" pivotButton="0" quotePrefix="0" xfId="39">
      <alignment horizontal="general" vertical="center" wrapText="1"/>
      <protection locked="0" hidden="0"/>
    </xf>
    <xf numFmtId="49" fontId="21" fillId="2" borderId="16" applyAlignment="1" applyProtection="1" pivotButton="0" quotePrefix="0" xfId="39">
      <alignment horizontal="general" vertical="center" wrapText="1"/>
      <protection locked="0" hidden="0"/>
    </xf>
    <xf numFmtId="1" fontId="21" fillId="2" borderId="16" applyAlignment="1" applyProtection="1" pivotButton="0" quotePrefix="0" xfId="39">
      <alignment horizontal="right" vertical="center" wrapText="1"/>
      <protection locked="0" hidden="0"/>
    </xf>
    <xf numFmtId="1" fontId="21" fillId="2" borderId="12" applyAlignment="1" applyProtection="1" pivotButton="0" quotePrefix="0" xfId="39">
      <alignment horizontal="right" vertical="center" wrapText="1"/>
      <protection locked="0" hidden="0"/>
    </xf>
    <xf numFmtId="0" fontId="19" fillId="0" borderId="0" applyAlignment="1" pivotButton="0" quotePrefix="0" xfId="39">
      <alignment horizontal="left" vertical="bottom"/>
    </xf>
    <xf numFmtId="0" fontId="22" fillId="0" borderId="0" applyAlignment="1" pivotButton="0" quotePrefix="0" xfId="39">
      <alignment horizontal="left" vertical="center"/>
    </xf>
    <xf numFmtId="1" fontId="22" fillId="0" borderId="0" applyAlignment="1" pivotButton="0" quotePrefix="0" xfId="39">
      <alignment horizontal="center" vertical="center" wrapText="1"/>
    </xf>
    <xf numFmtId="1" fontId="19" fillId="0" borderId="0" applyAlignment="1" pivotButton="0" quotePrefix="0" xfId="39">
      <alignment horizontal="center" vertical="center" wrapText="1"/>
    </xf>
    <xf numFmtId="49" fontId="15" fillId="0" borderId="0" applyAlignment="1" applyProtection="1" pivotButton="0" quotePrefix="0" xfId="39">
      <alignment horizontal="general" vertical="center" wrapText="1"/>
      <protection locked="0" hidden="0"/>
    </xf>
    <xf numFmtId="49" fontId="15" fillId="0" borderId="17" applyAlignment="1" applyProtection="1" pivotButton="0" quotePrefix="0" xfId="39">
      <alignment horizontal="general" vertical="center" wrapText="1"/>
      <protection locked="0" hidden="0"/>
    </xf>
    <xf numFmtId="1" fontId="15" fillId="0" borderId="17" applyAlignment="1" applyProtection="1" pivotButton="0" quotePrefix="0" xfId="39">
      <alignment horizontal="right" vertical="center" wrapText="1"/>
      <protection locked="0" hidden="0"/>
    </xf>
    <xf numFmtId="1" fontId="15" fillId="0" borderId="18" applyAlignment="1" applyProtection="1" pivotButton="0" quotePrefix="0" xfId="39">
      <alignment horizontal="right" vertical="center" wrapText="1"/>
      <protection locked="0" hidden="0"/>
    </xf>
    <xf numFmtId="166" fontId="23" fillId="3" borderId="4" applyAlignment="1" pivotButton="0" quotePrefix="0" xfId="0">
      <alignment horizontal="center" vertical="center" wrapText="1"/>
    </xf>
    <xf numFmtId="166" fontId="23" fillId="3" borderId="11" applyAlignment="1" pivotButton="0" quotePrefix="0" xfId="0">
      <alignment horizontal="left" vertical="center" wrapText="1"/>
    </xf>
    <xf numFmtId="1" fontId="23" fillId="3" borderId="11" applyAlignment="1" pivotButton="0" quotePrefix="0" xfId="0">
      <alignment horizontal="right" vertical="center" wrapText="1"/>
    </xf>
    <xf numFmtId="1" fontId="23" fillId="3" borderId="12" applyAlignment="1" pivotButton="0" quotePrefix="0" xfId="0">
      <alignment horizontal="right" vertical="center" wrapText="1"/>
    </xf>
    <xf numFmtId="49" fontId="15" fillId="2" borderId="14" applyAlignment="1" applyProtection="1" pivotButton="0" quotePrefix="0" xfId="39">
      <alignment horizontal="general" vertical="center" wrapText="1"/>
      <protection locked="0" hidden="0"/>
    </xf>
    <xf numFmtId="1" fontId="15" fillId="0" borderId="17" applyAlignment="1" applyProtection="1" pivotButton="0" quotePrefix="0" xfId="39">
      <alignment horizontal="center" vertical="center" wrapText="1"/>
      <protection locked="0" hidden="0"/>
    </xf>
    <xf numFmtId="1" fontId="15" fillId="0" borderId="18" applyAlignment="1" applyProtection="1" pivotButton="0" quotePrefix="0" xfId="39">
      <alignment horizontal="center" vertical="center" wrapText="1"/>
      <protection locked="0" hidden="0"/>
    </xf>
    <xf numFmtId="49" fontId="15" fillId="0" borderId="19" applyAlignment="1" applyProtection="1" pivotButton="0" quotePrefix="0" xfId="39">
      <alignment horizontal="general" vertical="center" wrapText="1"/>
      <protection locked="0" hidden="0"/>
    </xf>
    <xf numFmtId="1" fontId="15" fillId="0" borderId="19" applyAlignment="1" applyProtection="1" pivotButton="0" quotePrefix="0" xfId="39">
      <alignment horizontal="right" vertical="center" wrapText="1"/>
      <protection locked="0" hidden="0"/>
    </xf>
    <xf numFmtId="1" fontId="15" fillId="2" borderId="19" applyAlignment="1" applyProtection="1" pivotButton="0" quotePrefix="0" xfId="39">
      <alignment horizontal="right" vertical="center" wrapText="1"/>
      <protection locked="0" hidden="0"/>
    </xf>
    <xf numFmtId="0" fontId="1" fillId="0" borderId="0" applyAlignment="1" pivotButton="0" quotePrefix="0" xfId="39">
      <alignment horizontal="general" vertical="bottom"/>
    </xf>
    <xf numFmtId="1" fontId="1" fillId="0" borderId="0" applyAlignment="1" pivotButton="0" quotePrefix="0" xfId="39">
      <alignment horizontal="center" vertical="center" wrapText="1"/>
    </xf>
    <xf numFmtId="1" fontId="15" fillId="0" borderId="5" applyAlignment="1" applyProtection="1" pivotButton="0" quotePrefix="0" xfId="39">
      <alignment horizontal="general" vertical="center" wrapText="1"/>
      <protection locked="0" hidden="0"/>
    </xf>
    <xf numFmtId="1" fontId="15" fillId="2" borderId="5" applyAlignment="1" applyProtection="1" pivotButton="0" quotePrefix="0" xfId="39">
      <alignment horizontal="general" vertical="center" wrapText="1"/>
      <protection locked="0" hidden="0"/>
    </xf>
    <xf numFmtId="1" fontId="15" fillId="0" borderId="6" applyAlignment="1" applyProtection="1" pivotButton="0" quotePrefix="0" xfId="39">
      <alignment horizontal="general" vertical="center" wrapText="1"/>
      <protection locked="0" hidden="0"/>
    </xf>
    <xf numFmtId="1" fontId="15" fillId="0" borderId="13" applyAlignment="1" applyProtection="1" pivotButton="0" quotePrefix="0" xfId="39">
      <alignment horizontal="general" vertical="center" wrapText="1"/>
      <protection locked="0" hidden="0"/>
    </xf>
    <xf numFmtId="1" fontId="21" fillId="2" borderId="16" applyAlignment="1" applyProtection="1" pivotButton="0" quotePrefix="0" xfId="39">
      <alignment horizontal="general" vertical="center" wrapText="1"/>
      <protection locked="0" hidden="0"/>
    </xf>
    <xf numFmtId="0" fontId="22" fillId="0" borderId="0" applyAlignment="1" pivotButton="0" quotePrefix="0" xfId="39">
      <alignment horizontal="center" vertical="center" wrapText="1"/>
    </xf>
    <xf numFmtId="1" fontId="15" fillId="0" borderId="17" applyAlignment="1" applyProtection="1" pivotButton="0" quotePrefix="0" xfId="39">
      <alignment horizontal="general" vertical="center" wrapText="1"/>
      <protection locked="0" hidden="0"/>
    </xf>
    <xf numFmtId="166" fontId="23" fillId="3" borderId="11" applyAlignment="1" pivotButton="0" quotePrefix="0" xfId="0">
      <alignment horizontal="center" vertical="center" wrapText="1"/>
    </xf>
    <xf numFmtId="1" fontId="15" fillId="2" borderId="14" applyAlignment="1" applyProtection="1" pivotButton="0" quotePrefix="0" xfId="39">
      <alignment horizontal="general" vertical="center" wrapText="1"/>
      <protection locked="0" hidden="0"/>
    </xf>
    <xf numFmtId="49" fontId="15" fillId="4" borderId="5" applyAlignment="1" applyProtection="1" pivotButton="0" quotePrefix="0" xfId="39">
      <alignment horizontal="general" vertical="center" wrapText="1"/>
      <protection locked="0" hidden="0"/>
    </xf>
    <xf numFmtId="49" fontId="15" fillId="4" borderId="6" applyAlignment="1" applyProtection="1" pivotButton="0" quotePrefix="0" xfId="39">
      <alignment horizontal="general" vertical="center" wrapText="1"/>
      <protection locked="0" hidden="0"/>
    </xf>
    <xf numFmtId="49" fontId="15" fillId="4" borderId="13" applyAlignment="1" applyProtection="1" pivotButton="0" quotePrefix="0" xfId="39">
      <alignment horizontal="general" vertical="center" wrapText="1"/>
      <protection locked="0" hidden="0"/>
    </xf>
    <xf numFmtId="1" fontId="15" fillId="0" borderId="19" applyAlignment="1" applyProtection="1" pivotButton="0" quotePrefix="0" xfId="39">
      <alignment horizontal="general" vertical="center" wrapText="1"/>
      <protection locked="0" hidden="0"/>
    </xf>
    <xf numFmtId="0" fontId="1" fillId="0" borderId="0" applyAlignment="1" pivotButton="0" quotePrefix="0" xfId="39">
      <alignment horizontal="left" vertical="center"/>
    </xf>
    <xf numFmtId="3" fontId="24" fillId="0" borderId="0" applyAlignment="1" pivotButton="0" quotePrefix="0" xfId="0">
      <alignment horizontal="general" vertical="bottom"/>
    </xf>
    <xf numFmtId="1" fontId="1" fillId="0" borderId="0" applyAlignment="1" pivotButton="0" quotePrefix="0" xfId="39">
      <alignment horizontal="center" vertical="center" wrapText="1"/>
    </xf>
    <xf numFmtId="166" fontId="12" fillId="3" borderId="1" applyAlignment="1" pivotButton="0" quotePrefix="0" xfId="0">
      <alignment horizontal="center" vertical="center" wrapText="1"/>
    </xf>
    <xf numFmtId="49" fontId="12" fillId="3" borderId="1" applyAlignment="1" applyProtection="1" pivotButton="0" quotePrefix="0" xfId="39">
      <alignment horizontal="general" vertical="center" wrapText="1"/>
      <protection locked="0" hidden="0"/>
    </xf>
    <xf numFmtId="1" fontId="12" fillId="3" borderId="1" applyAlignment="1" applyProtection="1" pivotButton="0" quotePrefix="0" xfId="39">
      <alignment horizontal="right" vertical="center" wrapText="1"/>
      <protection locked="0" hidden="0"/>
    </xf>
    <xf numFmtId="3" fontId="0" fillId="0" borderId="0" applyAlignment="1" pivotButton="0" quotePrefix="0" xfId="0">
      <alignment horizontal="general" vertical="bottom" wrapText="1"/>
    </xf>
    <xf numFmtId="3" fontId="25" fillId="3" borderId="2" applyAlignment="1" pivotButton="0" quotePrefix="0" xfId="0">
      <alignment horizontal="general" vertical="bottom"/>
    </xf>
    <xf numFmtId="3" fontId="25" fillId="3" borderId="1" applyAlignment="1" pivotButton="0" quotePrefix="0" xfId="0">
      <alignment horizontal="center" vertical="bottom" wrapText="1"/>
    </xf>
    <xf numFmtId="3" fontId="0" fillId="0" borderId="0" applyAlignment="1" pivotButton="0" quotePrefix="0" xfId="0">
      <alignment horizontal="center" vertical="bottom"/>
    </xf>
    <xf numFmtId="3" fontId="25" fillId="3" borderId="20" applyAlignment="1" pivotButton="0" quotePrefix="0" xfId="0">
      <alignment horizontal="general" vertical="center"/>
    </xf>
    <xf numFmtId="3" fontId="26" fillId="5" borderId="3" applyAlignment="1" pivotButton="0" quotePrefix="0" xfId="0">
      <alignment horizontal="center" vertical="bottom" wrapText="1"/>
    </xf>
    <xf numFmtId="3" fontId="25" fillId="3" borderId="1" applyAlignment="1" pivotButton="0" quotePrefix="0" xfId="0">
      <alignment horizontal="general" vertical="center" wrapText="1"/>
    </xf>
    <xf numFmtId="3" fontId="25" fillId="3" borderId="20" applyAlignment="1" pivotButton="0" quotePrefix="0" xfId="0">
      <alignment horizontal="general" vertical="bottom"/>
    </xf>
    <xf numFmtId="49" fontId="15" fillId="0" borderId="5" applyAlignment="1" applyProtection="1" pivotButton="0" quotePrefix="0" xfId="39">
      <alignment horizontal="general" vertical="center"/>
      <protection locked="0" hidden="0"/>
    </xf>
    <xf numFmtId="49" fontId="27" fillId="0" borderId="5" applyAlignment="1" applyProtection="1" pivotButton="0" quotePrefix="0" xfId="39">
      <alignment horizontal="general" vertical="center"/>
      <protection locked="0" hidden="0"/>
    </xf>
    <xf numFmtId="49" fontId="15" fillId="0" borderId="21" applyAlignment="1" applyProtection="1" pivotButton="0" quotePrefix="0" xfId="39">
      <alignment horizontal="general" vertical="center"/>
      <protection locked="0" hidden="0"/>
    </xf>
    <xf numFmtId="49" fontId="15" fillId="2" borderId="5" applyAlignment="1" applyProtection="1" pivotButton="0" quotePrefix="0" xfId="39">
      <alignment horizontal="general" vertical="center"/>
      <protection locked="0" hidden="0"/>
    </xf>
    <xf numFmtId="49" fontId="15" fillId="2" borderId="21" applyAlignment="1" applyProtection="1" pivotButton="0" quotePrefix="0" xfId="39">
      <alignment horizontal="general" vertical="center"/>
      <protection locked="0" hidden="0"/>
    </xf>
    <xf numFmtId="49" fontId="17" fillId="3" borderId="22" applyAlignment="1" applyProtection="1" pivotButton="0" quotePrefix="0" xfId="39">
      <alignment horizontal="general" vertical="center"/>
      <protection locked="0" hidden="0"/>
    </xf>
    <xf numFmtId="49" fontId="17" fillId="3" borderId="23" applyAlignment="1" applyProtection="1" pivotButton="0" quotePrefix="0" xfId="39">
      <alignment horizontal="general" vertical="center"/>
      <protection locked="0" hidden="0"/>
    </xf>
    <xf numFmtId="3" fontId="25" fillId="3" borderId="3" applyAlignment="1" pivotButton="0" quotePrefix="0" xfId="0">
      <alignment horizontal="general" vertical="bottom"/>
    </xf>
    <xf numFmtId="49" fontId="15" fillId="2" borderId="24" applyAlignment="1" applyProtection="1" pivotButton="0" quotePrefix="0" xfId="39">
      <alignment horizontal="general" vertical="center"/>
      <protection locked="0" hidden="0"/>
    </xf>
    <xf numFmtId="49" fontId="15" fillId="2" borderId="3" applyAlignment="1" applyProtection="1" pivotButton="0" quotePrefix="0" xfId="39">
      <alignment horizontal="general" vertical="center"/>
      <protection locked="0" hidden="0"/>
    </xf>
    <xf numFmtId="170" fontId="25" fillId="3" borderId="10" applyAlignment="1" pivotButton="0" quotePrefix="0" xfId="0">
      <alignment horizontal="center" vertical="bottom" wrapText="1"/>
    </xf>
    <xf numFmtId="3" fontId="4" fillId="0" borderId="0" applyAlignment="1" pivotButton="0" quotePrefix="0" xfId="0">
      <alignment horizontal="general" vertical="bottom" wrapText="1"/>
    </xf>
    <xf numFmtId="3" fontId="25" fillId="3" borderId="25" applyAlignment="1" pivotButton="0" quotePrefix="0" xfId="0">
      <alignment horizontal="general" vertical="bottom"/>
    </xf>
    <xf numFmtId="9" fontId="0" fillId="0" borderId="26" applyAlignment="1" pivotButton="0" quotePrefix="0" xfId="0">
      <alignment horizontal="general" vertical="bottom" wrapText="1"/>
    </xf>
    <xf numFmtId="3" fontId="25" fillId="3" borderId="27" applyAlignment="1" pivotButton="0" quotePrefix="0" xfId="0">
      <alignment horizontal="general" vertical="bottom"/>
    </xf>
    <xf numFmtId="9" fontId="15" fillId="2" borderId="26" applyAlignment="1" applyProtection="1" pivotButton="0" quotePrefix="0" xfId="46">
      <alignment horizontal="general" vertical="center" wrapText="1"/>
      <protection locked="0" hidden="0"/>
    </xf>
    <xf numFmtId="171" fontId="15" fillId="2" borderId="26" applyAlignment="1" applyProtection="1" pivotButton="0" quotePrefix="0" xfId="30">
      <alignment horizontal="general" vertical="center" wrapText="1"/>
      <protection locked="0" hidden="0"/>
    </xf>
    <xf numFmtId="2" fontId="0" fillId="0" borderId="26" applyAlignment="1" pivotButton="0" quotePrefix="0" xfId="0">
      <alignment horizontal="general" vertical="bottom" wrapText="1"/>
    </xf>
    <xf numFmtId="3" fontId="25" fillId="3" borderId="28" applyAlignment="1" pivotButton="0" quotePrefix="0" xfId="0">
      <alignment horizontal="general" vertical="bottom"/>
    </xf>
    <xf numFmtId="172" fontId="4" fillId="0" borderId="1" applyAlignment="1" pivotButton="0" quotePrefix="0" xfId="30">
      <alignment horizontal="general" vertical="bottom" wrapText="1"/>
    </xf>
    <xf numFmtId="171" fontId="15" fillId="2" borderId="1" applyAlignment="1" applyProtection="1" pivotButton="0" quotePrefix="0" xfId="30">
      <alignment horizontal="general" vertical="center" wrapText="1"/>
      <protection locked="0" hidden="0"/>
    </xf>
    <xf numFmtId="3" fontId="26" fillId="0" borderId="1" applyAlignment="1" pivotButton="0" quotePrefix="0" xfId="0">
      <alignment horizontal="general" vertical="bottom" wrapText="1"/>
    </xf>
    <xf numFmtId="3" fontId="26" fillId="0" borderId="0" applyAlignment="1" pivotButton="0" quotePrefix="0" xfId="0">
      <alignment horizontal="general" vertical="bottom"/>
    </xf>
    <xf numFmtId="3" fontId="28" fillId="3" borderId="25" applyAlignment="1" pivotButton="0" quotePrefix="0" xfId="0">
      <alignment horizontal="general" vertical="bottom"/>
    </xf>
    <xf numFmtId="3" fontId="29" fillId="0" borderId="0" applyAlignment="1" pivotButton="0" quotePrefix="0" xfId="0">
      <alignment horizontal="general" vertical="bottom"/>
    </xf>
    <xf numFmtId="1" fontId="28" fillId="3" borderId="25" applyAlignment="1" pivotButton="0" quotePrefix="0" xfId="0">
      <alignment horizontal="general" vertical="bottom"/>
    </xf>
    <xf numFmtId="3" fontId="28" fillId="3" borderId="27" applyAlignment="1" pivotButton="0" quotePrefix="0" xfId="0">
      <alignment horizontal="general" vertical="bottom"/>
    </xf>
    <xf numFmtId="1" fontId="28" fillId="3" borderId="27" applyAlignment="1" pivotButton="0" quotePrefix="0" xfId="0">
      <alignment horizontal="general" vertical="bottom"/>
    </xf>
    <xf numFmtId="3" fontId="28" fillId="3" borderId="28" applyAlignment="1" pivotButton="0" quotePrefix="0" xfId="0">
      <alignment horizontal="general" vertical="bottom"/>
    </xf>
    <xf numFmtId="1" fontId="28" fillId="3" borderId="28" applyAlignment="1" pivotButton="0" quotePrefix="0" xfId="0">
      <alignment horizontal="general" vertical="bottom"/>
    </xf>
    <xf numFmtId="0" fontId="4" fillId="0" borderId="0" applyAlignment="1" pivotButton="0" quotePrefix="0" xfId="40">
      <alignment horizontal="general" vertical="bottom"/>
    </xf>
    <xf numFmtId="0" fontId="4" fillId="0" borderId="0" applyAlignment="1" pivotButton="0" quotePrefix="0" xfId="40">
      <alignment horizontal="general" vertical="bottom"/>
    </xf>
    <xf numFmtId="173" fontId="4" fillId="0" borderId="0" applyAlignment="1" pivotButton="0" quotePrefix="0" xfId="40">
      <alignment horizontal="right" vertical="bottom"/>
    </xf>
    <xf numFmtId="173" fontId="5" fillId="0" borderId="0" applyAlignment="1" pivotButton="0" quotePrefix="0" xfId="40">
      <alignment horizontal="left" vertical="bottom"/>
    </xf>
    <xf numFmtId="166" fontId="12" fillId="3" borderId="25" applyAlignment="1" pivotButton="0" quotePrefix="0" xfId="0">
      <alignment horizontal="center" vertical="center" wrapText="1"/>
    </xf>
    <xf numFmtId="166" fontId="17" fillId="3" borderId="25" applyAlignment="1" pivotButton="0" quotePrefix="0" xfId="0">
      <alignment horizontal="center" vertical="center" wrapText="1"/>
    </xf>
    <xf numFmtId="166" fontId="12" fillId="3" borderId="28" applyAlignment="1" pivotButton="0" quotePrefix="0" xfId="0">
      <alignment horizontal="center" vertical="center" wrapText="1"/>
    </xf>
    <xf numFmtId="167" fontId="17" fillId="3" borderId="28" applyAlignment="1" pivotButton="0" quotePrefix="0" xfId="0">
      <alignment horizontal="center" vertical="center" wrapText="1"/>
    </xf>
    <xf numFmtId="49" fontId="15" fillId="0" borderId="29" applyAlignment="1" applyProtection="1" pivotButton="0" quotePrefix="0" xfId="39">
      <alignment horizontal="general" vertical="center" wrapText="1"/>
      <protection locked="0" hidden="0"/>
    </xf>
    <xf numFmtId="169" fontId="15" fillId="0" borderId="5" applyAlignment="1" applyProtection="1" pivotButton="0" quotePrefix="0" xfId="30">
      <alignment horizontal="general" vertical="center" wrapText="1"/>
      <protection locked="0" hidden="0"/>
    </xf>
    <xf numFmtId="49" fontId="15" fillId="2" borderId="21" applyAlignment="1" applyProtection="1" pivotButton="0" quotePrefix="0" xfId="39">
      <alignment horizontal="general" vertical="center" wrapText="1"/>
      <protection locked="0" hidden="0"/>
    </xf>
    <xf numFmtId="169" fontId="15" fillId="2" borderId="5" applyAlignment="1" applyProtection="1" pivotButton="0" quotePrefix="0" xfId="30">
      <alignment horizontal="general" vertical="center" wrapText="1"/>
      <protection locked="0" hidden="0"/>
    </xf>
    <xf numFmtId="49" fontId="15" fillId="0" borderId="21" applyAlignment="1" applyProtection="1" pivotButton="0" quotePrefix="0" xfId="39">
      <alignment horizontal="general" vertical="center" wrapText="1"/>
      <protection locked="0" hidden="0"/>
    </xf>
    <xf numFmtId="49" fontId="15" fillId="0" borderId="30" applyAlignment="1" applyProtection="1" pivotButton="0" quotePrefix="0" xfId="39">
      <alignment horizontal="general" vertical="center" wrapText="1"/>
      <protection locked="0" hidden="0"/>
    </xf>
    <xf numFmtId="169" fontId="15" fillId="0" borderId="14" applyAlignment="1" applyProtection="1" pivotButton="0" quotePrefix="0" xfId="30">
      <alignment horizontal="general" vertical="center" wrapText="1"/>
      <protection locked="0" hidden="0"/>
    </xf>
    <xf numFmtId="0" fontId="4" fillId="0" borderId="0" applyAlignment="1" pivotButton="0" quotePrefix="0" xfId="40">
      <alignment horizontal="general" vertical="bottom"/>
    </xf>
    <xf numFmtId="166" fontId="12" fillId="3" borderId="10" applyAlignment="1" pivotButton="0" quotePrefix="0" xfId="0">
      <alignment horizontal="left" vertical="center" wrapText="1"/>
    </xf>
    <xf numFmtId="168" fontId="12" fillId="3" borderId="1" applyAlignment="1" pivotButton="0" quotePrefix="0" xfId="30">
      <alignment horizontal="right" vertical="center" wrapText="1"/>
    </xf>
    <xf numFmtId="0" fontId="30" fillId="0" borderId="0" applyAlignment="1" pivotButton="0" quotePrefix="0" xfId="40">
      <alignment horizontal="general" vertical="bottom"/>
    </xf>
    <xf numFmtId="3" fontId="31" fillId="0" borderId="0" applyAlignment="1" pivotButton="0" quotePrefix="0" xfId="40">
      <alignment horizontal="right" vertical="bottom"/>
    </xf>
    <xf numFmtId="0" fontId="4" fillId="0" borderId="0" applyAlignment="1" pivotButton="0" quotePrefix="0" xfId="40">
      <alignment horizontal="general" vertical="bottom"/>
    </xf>
    <xf numFmtId="0" fontId="4" fillId="0" borderId="0" applyAlignment="1" pivotButton="0" quotePrefix="0" xfId="40">
      <alignment horizontal="general" vertical="bottom"/>
    </xf>
    <xf numFmtId="0" fontId="1" fillId="0" borderId="0" applyAlignment="1" pivotButton="0" quotePrefix="0" xfId="39">
      <alignment horizontal="general" vertical="bottom"/>
    </xf>
    <xf numFmtId="1" fontId="1" fillId="0" borderId="0" applyAlignment="1" pivotButton="0" quotePrefix="0" xfId="39">
      <alignment horizontal="general" vertical="bottom"/>
    </xf>
    <xf numFmtId="49" fontId="15" fillId="0" borderId="6" applyAlignment="1" applyProtection="1" pivotButton="0" quotePrefix="0" xfId="39">
      <alignment horizontal="general" vertical="center"/>
      <protection locked="0" hidden="0"/>
    </xf>
    <xf numFmtId="49" fontId="12" fillId="3" borderId="15" applyAlignment="1" applyProtection="1" pivotButton="0" quotePrefix="0" xfId="39">
      <alignment horizontal="general" vertical="center" wrapText="1"/>
      <protection locked="0" hidden="0"/>
    </xf>
    <xf numFmtId="49" fontId="12" fillId="3" borderId="16" applyAlignment="1" applyProtection="1" pivotButton="0" quotePrefix="0" xfId="39">
      <alignment horizontal="general" vertical="center" wrapText="1"/>
      <protection locked="0" hidden="0"/>
    </xf>
    <xf numFmtId="1" fontId="12" fillId="3" borderId="16" applyAlignment="1" applyProtection="1" pivotButton="0" quotePrefix="0" xfId="39">
      <alignment horizontal="general" vertical="center" wrapText="1"/>
      <protection locked="0" hidden="0"/>
    </xf>
    <xf numFmtId="0" fontId="31" fillId="0" borderId="0" applyAlignment="1" pivotButton="0" quotePrefix="0" xfId="21">
      <alignment horizontal="general" vertical="bottom" wrapText="1"/>
    </xf>
    <xf numFmtId="167" fontId="12" fillId="3" borderId="1" applyAlignment="1" pivotButton="0" quotePrefix="0" xfId="0">
      <alignment horizontal="center" vertical="center" wrapText="1"/>
    </xf>
    <xf numFmtId="1" fontId="12" fillId="3" borderId="10" applyAlignment="1" pivotButton="0" quotePrefix="0" xfId="0">
      <alignment horizontal="center" vertical="center" wrapText="1"/>
    </xf>
    <xf numFmtId="49" fontId="12" fillId="3" borderId="10" applyAlignment="1" applyProtection="1" pivotButton="0" quotePrefix="0" xfId="39">
      <alignment horizontal="general" vertical="center" wrapText="1"/>
      <protection locked="0" hidden="0"/>
    </xf>
    <xf numFmtId="0" fontId="1" fillId="0" borderId="0" applyAlignment="1" pivotButton="0" quotePrefix="0" xfId="41">
      <alignment horizontal="general" vertical="bottom"/>
    </xf>
    <xf numFmtId="0" fontId="0" fillId="0" borderId="0" pivotButton="0" quotePrefix="0" xfId="0"/>
    <xf numFmtId="0" fontId="1" fillId="0" borderId="0" applyAlignment="1" pivotButton="0" quotePrefix="0" xfId="41">
      <alignment horizontal="center" vertical="bottom"/>
    </xf>
    <xf numFmtId="0" fontId="9" fillId="0" borderId="0" applyAlignment="1" pivotButton="0" quotePrefix="0" xfId="41">
      <alignment horizontal="center" vertical="bottom"/>
    </xf>
    <xf numFmtId="164" fontId="9" fillId="0" borderId="0" applyAlignment="1" pivotButton="0" quotePrefix="0" xfId="41">
      <alignment horizontal="center" vertical="bottom"/>
    </xf>
    <xf numFmtId="165" fontId="9" fillId="0" borderId="0" applyAlignment="1" pivotButton="0" quotePrefix="0" xfId="41">
      <alignment horizontal="center" vertical="bottom"/>
    </xf>
    <xf numFmtId="0" fontId="11" fillId="0" borderId="0" applyAlignment="1" pivotButton="0" quotePrefix="0" xfId="39">
      <alignment horizontal="general" vertical="bottom"/>
    </xf>
    <xf numFmtId="0" fontId="11" fillId="0" borderId="0" applyAlignment="1" pivotButton="0" quotePrefix="0" xfId="39">
      <alignment horizontal="left" vertical="bottom"/>
    </xf>
    <xf numFmtId="0" fontId="11" fillId="0" borderId="0" applyAlignment="1" pivotButton="0" quotePrefix="0" xfId="39">
      <alignment horizontal="center" vertical="bottom"/>
    </xf>
    <xf numFmtId="166" fontId="12" fillId="3" borderId="1" applyAlignment="1" pivotButton="0" quotePrefix="0" xfId="0">
      <alignment horizontal="left" vertical="center" wrapText="1"/>
    </xf>
    <xf numFmtId="166" fontId="12" fillId="3" borderId="2" applyAlignment="1" pivotButton="0" quotePrefix="0" xfId="0">
      <alignment horizontal="left" vertical="center" wrapText="1"/>
    </xf>
    <xf numFmtId="166" fontId="12" fillId="3" borderId="2" applyAlignment="1" pivotButton="0" quotePrefix="0" xfId="0">
      <alignment horizontal="center" vertical="center" wrapText="1"/>
    </xf>
    <xf numFmtId="0" fontId="13" fillId="0" borderId="3" applyAlignment="1" pivotButton="0" quotePrefix="0" xfId="39">
      <alignment horizontal="general" vertical="bottom"/>
    </xf>
    <xf numFmtId="167" fontId="12" fillId="3" borderId="3" applyAlignment="1" pivotButton="0" quotePrefix="0" xfId="0">
      <alignment horizontal="center" vertical="center" wrapText="1"/>
    </xf>
    <xf numFmtId="166" fontId="12" fillId="3" borderId="4" applyAlignment="1" pivotButton="0" quotePrefix="0" xfId="0">
      <alignment horizontal="left" vertical="center" wrapText="1"/>
    </xf>
    <xf numFmtId="166" fontId="12" fillId="3" borderId="4" applyAlignment="1" pivotButton="0" quotePrefix="0" xfId="0">
      <alignment horizontal="center" vertical="center" wrapText="1"/>
    </xf>
    <xf numFmtId="0" fontId="14" fillId="0" borderId="0" applyAlignment="1" pivotButton="0" quotePrefix="0" xfId="39">
      <alignment horizontal="center" vertical="center"/>
    </xf>
    <xf numFmtId="49" fontId="15" fillId="0" borderId="5" applyAlignment="1" applyProtection="1" pivotButton="0" quotePrefix="0" xfId="39">
      <alignment horizontal="general" vertical="center" wrapText="1"/>
      <protection locked="0" hidden="0"/>
    </xf>
    <xf numFmtId="168" fontId="15" fillId="0" borderId="5" applyAlignment="1" applyProtection="1" pivotButton="0" quotePrefix="0" xfId="30">
      <alignment horizontal="right" vertical="center" wrapText="1"/>
      <protection locked="0" hidden="0"/>
    </xf>
    <xf numFmtId="0" fontId="16" fillId="0" borderId="0" applyAlignment="1" pivotButton="0" quotePrefix="0" xfId="39">
      <alignment horizontal="center" vertical="center"/>
    </xf>
    <xf numFmtId="49" fontId="15" fillId="2" borderId="5" applyAlignment="1" applyProtection="1" pivotButton="0" quotePrefix="0" xfId="39">
      <alignment horizontal="general" vertical="center" wrapText="1"/>
      <protection locked="0" hidden="0"/>
    </xf>
    <xf numFmtId="169" fontId="15" fillId="2" borderId="5" applyAlignment="1" applyProtection="1" pivotButton="0" quotePrefix="0" xfId="30">
      <alignment horizontal="right" vertical="center" wrapText="1"/>
      <protection locked="0" hidden="0"/>
    </xf>
    <xf numFmtId="169" fontId="15" fillId="0" borderId="5" applyAlignment="1" applyProtection="1" pivotButton="0" quotePrefix="0" xfId="30">
      <alignment horizontal="right" vertical="center" wrapText="1"/>
      <protection locked="0" hidden="0"/>
    </xf>
    <xf numFmtId="49" fontId="17" fillId="3" borderId="6" applyAlignment="1" applyProtection="1" pivotButton="0" quotePrefix="0" xfId="39">
      <alignment horizontal="general" vertical="center" wrapText="1"/>
      <protection locked="0" hidden="0"/>
    </xf>
    <xf numFmtId="169" fontId="17" fillId="3" borderId="6" applyAlignment="1" applyProtection="1" pivotButton="0" quotePrefix="0" xfId="30">
      <alignment horizontal="right" vertical="center" wrapText="1"/>
      <protection locked="0" hidden="0"/>
    </xf>
    <xf numFmtId="169" fontId="11" fillId="0" borderId="0" applyAlignment="1" pivotButton="0" quotePrefix="0" xfId="39">
      <alignment horizontal="center" vertical="bottom"/>
    </xf>
    <xf numFmtId="3" fontId="18" fillId="0" borderId="0" applyAlignment="1" pivotButton="0" quotePrefix="0" xfId="0">
      <alignment horizontal="general" vertical="bottom"/>
    </xf>
    <xf numFmtId="169" fontId="18" fillId="0" borderId="0" applyAlignment="1" pivotButton="0" quotePrefix="0" xfId="30">
      <alignment horizontal="left" vertical="bottom"/>
    </xf>
    <xf numFmtId="169" fontId="12" fillId="3" borderId="4" applyAlignment="1" pivotButton="0" quotePrefix="0" xfId="30">
      <alignment horizontal="center" vertical="center" wrapText="1"/>
    </xf>
    <xf numFmtId="49" fontId="15" fillId="0" borderId="6" applyAlignment="1" applyProtection="1" pivotButton="0" quotePrefix="0" xfId="39">
      <alignment horizontal="general" vertical="center" wrapText="1"/>
      <protection locked="0" hidden="0"/>
    </xf>
    <xf numFmtId="169" fontId="15" fillId="0" borderId="6" applyAlignment="1" applyProtection="1" pivotButton="0" quotePrefix="0" xfId="30">
      <alignment horizontal="right" vertical="center" wrapText="1"/>
      <protection locked="0" hidden="0"/>
    </xf>
    <xf numFmtId="169" fontId="18" fillId="0" borderId="0" applyAlignment="1" pivotButton="0" quotePrefix="0" xfId="30">
      <alignment horizontal="right" vertical="bottom"/>
    </xf>
    <xf numFmtId="49" fontId="15" fillId="2" borderId="1" applyAlignment="1" applyProtection="1" pivotButton="0" quotePrefix="0" xfId="39">
      <alignment horizontal="general" vertical="center" wrapText="1"/>
      <protection locked="0" hidden="0"/>
    </xf>
    <xf numFmtId="169" fontId="15" fillId="2" borderId="7" applyAlignment="1" applyProtection="1" pivotButton="0" quotePrefix="0" xfId="30">
      <alignment horizontal="right" vertical="center" wrapText="1"/>
      <protection locked="0" hidden="0"/>
    </xf>
    <xf numFmtId="169" fontId="15" fillId="2" borderId="1" applyAlignment="1" applyProtection="1" pivotButton="0" quotePrefix="0" xfId="30">
      <alignment horizontal="right" vertical="center" wrapText="1"/>
      <protection locked="0" hidden="0"/>
    </xf>
    <xf numFmtId="169" fontId="12" fillId="3" borderId="4" applyAlignment="1" pivotButton="0" quotePrefix="0" xfId="30">
      <alignment horizontal="right" vertical="center" wrapText="1"/>
    </xf>
    <xf numFmtId="0" fontId="1" fillId="0" borderId="0" applyAlignment="1" pivotButton="0" quotePrefix="0" xfId="39">
      <alignment horizontal="general" vertical="bottom"/>
    </xf>
    <xf numFmtId="0" fontId="1" fillId="0" borderId="0" applyAlignment="1" pivotButton="0" quotePrefix="0" xfId="39">
      <alignment horizontal="left" vertical="center"/>
    </xf>
    <xf numFmtId="0" fontId="1" fillId="0" borderId="0" applyAlignment="1" pivotButton="0" quotePrefix="0" xfId="39">
      <alignment horizontal="center" vertical="center" wrapText="1"/>
    </xf>
    <xf numFmtId="166" fontId="12" fillId="3" borderId="8" applyAlignment="1" pivotButton="0" quotePrefix="0" xfId="0">
      <alignment horizontal="center" vertical="center" wrapText="1"/>
    </xf>
    <xf numFmtId="166" fontId="12" fillId="3" borderId="9" applyAlignment="1" pivotButton="0" quotePrefix="0" xfId="0">
      <alignment horizontal="center" vertical="center" wrapText="1"/>
    </xf>
    <xf numFmtId="0" fontId="19" fillId="0" borderId="0" applyAlignment="1" pivotButton="0" quotePrefix="0" xfId="39">
      <alignment horizontal="left" vertical="center"/>
    </xf>
    <xf numFmtId="0" fontId="19" fillId="0" borderId="0" applyAlignment="1" pivotButton="0" quotePrefix="0" xfId="39">
      <alignment horizontal="center" vertical="center" wrapText="1"/>
    </xf>
    <xf numFmtId="0" fontId="20" fillId="0" borderId="0" applyAlignment="1" pivotButton="0" quotePrefix="0" xfId="39">
      <alignment horizontal="left" vertical="bottom"/>
    </xf>
    <xf numFmtId="166" fontId="12" fillId="3" borderId="10" applyAlignment="1" pivotButton="0" quotePrefix="0" xfId="0">
      <alignment horizontal="center" vertical="center" wrapText="1"/>
    </xf>
    <xf numFmtId="167" fontId="12" fillId="3" borderId="3" applyAlignment="1" pivotButton="0" quotePrefix="0" xfId="0">
      <alignment horizontal="left" vertical="center" wrapText="1"/>
    </xf>
    <xf numFmtId="166" fontId="12" fillId="3" borderId="11" applyAlignment="1" pivotButton="0" quotePrefix="0" xfId="0">
      <alignment horizontal="center" vertical="center" wrapText="1"/>
    </xf>
    <xf numFmtId="1" fontId="12" fillId="3" borderId="11" applyAlignment="1" pivotButton="0" quotePrefix="0" xfId="0">
      <alignment horizontal="center" vertical="center" wrapText="1"/>
    </xf>
    <xf numFmtId="1" fontId="12" fillId="3" borderId="12" applyAlignment="1" pivotButton="0" quotePrefix="0" xfId="0">
      <alignment horizontal="center" vertical="center" wrapText="1"/>
    </xf>
    <xf numFmtId="1" fontId="12" fillId="3" borderId="4" applyAlignment="1" pivotButton="0" quotePrefix="0" xfId="0">
      <alignment horizontal="center" vertical="center" wrapText="1"/>
    </xf>
    <xf numFmtId="1" fontId="15" fillId="0" borderId="5" applyAlignment="1" applyProtection="1" pivotButton="0" quotePrefix="0" xfId="39">
      <alignment horizontal="center" vertical="center" wrapText="1"/>
      <protection locked="0" hidden="0"/>
    </xf>
    <xf numFmtId="1" fontId="15" fillId="0" borderId="5" applyAlignment="1" applyProtection="1" pivotButton="0" quotePrefix="0" xfId="39">
      <alignment horizontal="right" vertical="center" wrapText="1"/>
      <protection locked="0" hidden="0"/>
    </xf>
    <xf numFmtId="1" fontId="15" fillId="2" borderId="5" applyAlignment="1" applyProtection="1" pivotButton="0" quotePrefix="0" xfId="39">
      <alignment horizontal="right" vertical="center" wrapText="1"/>
      <protection locked="0" hidden="0"/>
    </xf>
    <xf numFmtId="1" fontId="15" fillId="2" borderId="5" applyAlignment="1" applyProtection="1" pivotButton="0" quotePrefix="0" xfId="39">
      <alignment horizontal="center" vertical="center" wrapText="1"/>
      <protection locked="0" hidden="0"/>
    </xf>
    <xf numFmtId="1" fontId="15" fillId="0" borderId="6" applyAlignment="1" applyProtection="1" pivotButton="0" quotePrefix="0" xfId="39">
      <alignment horizontal="right" vertical="center" wrapText="1"/>
      <protection locked="0" hidden="0"/>
    </xf>
    <xf numFmtId="49" fontId="15" fillId="0" borderId="13" applyAlignment="1" applyProtection="1" pivotButton="0" quotePrefix="0" xfId="39">
      <alignment horizontal="general" vertical="center" wrapText="1"/>
      <protection locked="0" hidden="0"/>
    </xf>
    <xf numFmtId="1" fontId="15" fillId="0" borderId="13" applyAlignment="1" applyProtection="1" pivotButton="0" quotePrefix="0" xfId="39">
      <alignment horizontal="right" vertical="center" wrapText="1"/>
      <protection locked="0" hidden="0"/>
    </xf>
    <xf numFmtId="1" fontId="15" fillId="2" borderId="14" applyAlignment="1" applyProtection="1" pivotButton="0" quotePrefix="0" xfId="39">
      <alignment horizontal="right" vertical="center" wrapText="1"/>
      <protection locked="0" hidden="0"/>
    </xf>
    <xf numFmtId="49" fontId="21" fillId="2" borderId="15" applyAlignment="1" applyProtection="1" pivotButton="0" quotePrefix="0" xfId="39">
      <alignment horizontal="general" vertical="center" wrapText="1"/>
      <protection locked="0" hidden="0"/>
    </xf>
    <xf numFmtId="49" fontId="21" fillId="2" borderId="16" applyAlignment="1" applyProtection="1" pivotButton="0" quotePrefix="0" xfId="39">
      <alignment horizontal="general" vertical="center" wrapText="1"/>
      <protection locked="0" hidden="0"/>
    </xf>
    <xf numFmtId="1" fontId="21" fillId="2" borderId="16" applyAlignment="1" applyProtection="1" pivotButton="0" quotePrefix="0" xfId="39">
      <alignment horizontal="right" vertical="center" wrapText="1"/>
      <protection locked="0" hidden="0"/>
    </xf>
    <xf numFmtId="1" fontId="21" fillId="2" borderId="12" applyAlignment="1" applyProtection="1" pivotButton="0" quotePrefix="0" xfId="39">
      <alignment horizontal="right" vertical="center" wrapText="1"/>
      <protection locked="0" hidden="0"/>
    </xf>
    <xf numFmtId="0" fontId="19" fillId="0" borderId="0" applyAlignment="1" pivotButton="0" quotePrefix="0" xfId="39">
      <alignment horizontal="left" vertical="bottom"/>
    </xf>
    <xf numFmtId="0" fontId="22" fillId="0" borderId="0" applyAlignment="1" pivotButton="0" quotePrefix="0" xfId="39">
      <alignment horizontal="left" vertical="center"/>
    </xf>
    <xf numFmtId="1" fontId="22" fillId="0" borderId="0" applyAlignment="1" pivotButton="0" quotePrefix="0" xfId="39">
      <alignment horizontal="center" vertical="center" wrapText="1"/>
    </xf>
    <xf numFmtId="1" fontId="19" fillId="0" borderId="0" applyAlignment="1" pivotButton="0" quotePrefix="0" xfId="39">
      <alignment horizontal="center" vertical="center" wrapText="1"/>
    </xf>
    <xf numFmtId="49" fontId="15" fillId="0" borderId="0" applyAlignment="1" applyProtection="1" pivotButton="0" quotePrefix="0" xfId="39">
      <alignment horizontal="general" vertical="center" wrapText="1"/>
      <protection locked="0" hidden="0"/>
    </xf>
    <xf numFmtId="49" fontId="15" fillId="0" borderId="17" applyAlignment="1" applyProtection="1" pivotButton="0" quotePrefix="0" xfId="39">
      <alignment horizontal="general" vertical="center" wrapText="1"/>
      <protection locked="0" hidden="0"/>
    </xf>
    <xf numFmtId="1" fontId="15" fillId="0" borderId="17" applyAlignment="1" applyProtection="1" pivotButton="0" quotePrefix="0" xfId="39">
      <alignment horizontal="right" vertical="center" wrapText="1"/>
      <protection locked="0" hidden="0"/>
    </xf>
    <xf numFmtId="1" fontId="15" fillId="0" borderId="18" applyAlignment="1" applyProtection="1" pivotButton="0" quotePrefix="0" xfId="39">
      <alignment horizontal="right" vertical="center" wrapText="1"/>
      <protection locked="0" hidden="0"/>
    </xf>
    <xf numFmtId="166" fontId="23" fillId="3" borderId="4" applyAlignment="1" pivotButton="0" quotePrefix="0" xfId="0">
      <alignment horizontal="center" vertical="center" wrapText="1"/>
    </xf>
    <xf numFmtId="166" fontId="23" fillId="3" borderId="11" applyAlignment="1" pivotButton="0" quotePrefix="0" xfId="0">
      <alignment horizontal="left" vertical="center" wrapText="1"/>
    </xf>
    <xf numFmtId="1" fontId="23" fillId="3" borderId="11" applyAlignment="1" pivotButton="0" quotePrefix="0" xfId="0">
      <alignment horizontal="right" vertical="center" wrapText="1"/>
    </xf>
    <xf numFmtId="1" fontId="23" fillId="3" borderId="12" applyAlignment="1" pivotButton="0" quotePrefix="0" xfId="0">
      <alignment horizontal="right" vertical="center" wrapText="1"/>
    </xf>
    <xf numFmtId="49" fontId="15" fillId="2" borderId="14" applyAlignment="1" applyProtection="1" pivotButton="0" quotePrefix="0" xfId="39">
      <alignment horizontal="general" vertical="center" wrapText="1"/>
      <protection locked="0" hidden="0"/>
    </xf>
    <xf numFmtId="1" fontId="15" fillId="0" borderId="17" applyAlignment="1" applyProtection="1" pivotButton="0" quotePrefix="0" xfId="39">
      <alignment horizontal="center" vertical="center" wrapText="1"/>
      <protection locked="0" hidden="0"/>
    </xf>
    <xf numFmtId="1" fontId="15" fillId="0" borderId="18" applyAlignment="1" applyProtection="1" pivotButton="0" quotePrefix="0" xfId="39">
      <alignment horizontal="center" vertical="center" wrapText="1"/>
      <protection locked="0" hidden="0"/>
    </xf>
    <xf numFmtId="49" fontId="15" fillId="0" borderId="19" applyAlignment="1" applyProtection="1" pivotButton="0" quotePrefix="0" xfId="39">
      <alignment horizontal="general" vertical="center" wrapText="1"/>
      <protection locked="0" hidden="0"/>
    </xf>
    <xf numFmtId="1" fontId="15" fillId="0" borderId="19" applyAlignment="1" applyProtection="1" pivotButton="0" quotePrefix="0" xfId="39">
      <alignment horizontal="right" vertical="center" wrapText="1"/>
      <protection locked="0" hidden="0"/>
    </xf>
    <xf numFmtId="1" fontId="15" fillId="2" borderId="19" applyAlignment="1" applyProtection="1" pivotButton="0" quotePrefix="0" xfId="39">
      <alignment horizontal="right" vertical="center" wrapText="1"/>
      <protection locked="0" hidden="0"/>
    </xf>
    <xf numFmtId="1" fontId="1" fillId="0" borderId="0" applyAlignment="1" pivotButton="0" quotePrefix="0" xfId="39">
      <alignment horizontal="center" vertical="center" wrapText="1"/>
    </xf>
    <xf numFmtId="1" fontId="15" fillId="0" borderId="5" applyAlignment="1" applyProtection="1" pivotButton="0" quotePrefix="0" xfId="39">
      <alignment horizontal="general" vertical="center" wrapText="1"/>
      <protection locked="0" hidden="0"/>
    </xf>
    <xf numFmtId="1" fontId="15" fillId="2" borderId="5" applyAlignment="1" applyProtection="1" pivotButton="0" quotePrefix="0" xfId="39">
      <alignment horizontal="general" vertical="center" wrapText="1"/>
      <protection locked="0" hidden="0"/>
    </xf>
    <xf numFmtId="1" fontId="15" fillId="0" borderId="6" applyAlignment="1" applyProtection="1" pivotButton="0" quotePrefix="0" xfId="39">
      <alignment horizontal="general" vertical="center" wrapText="1"/>
      <protection locked="0" hidden="0"/>
    </xf>
    <xf numFmtId="1" fontId="15" fillId="0" borderId="13" applyAlignment="1" applyProtection="1" pivotButton="0" quotePrefix="0" xfId="39">
      <alignment horizontal="general" vertical="center" wrapText="1"/>
      <protection locked="0" hidden="0"/>
    </xf>
    <xf numFmtId="1" fontId="21" fillId="2" borderId="16" applyAlignment="1" applyProtection="1" pivotButton="0" quotePrefix="0" xfId="39">
      <alignment horizontal="general" vertical="center" wrapText="1"/>
      <protection locked="0" hidden="0"/>
    </xf>
    <xf numFmtId="0" fontId="22" fillId="0" borderId="0" applyAlignment="1" pivotButton="0" quotePrefix="0" xfId="39">
      <alignment horizontal="center" vertical="center" wrapText="1"/>
    </xf>
    <xf numFmtId="1" fontId="15" fillId="0" borderId="17" applyAlignment="1" applyProtection="1" pivotButton="0" quotePrefix="0" xfId="39">
      <alignment horizontal="general" vertical="center" wrapText="1"/>
      <protection locked="0" hidden="0"/>
    </xf>
    <xf numFmtId="166" fontId="23" fillId="3" borderId="11" applyAlignment="1" pivotButton="0" quotePrefix="0" xfId="0">
      <alignment horizontal="center" vertical="center" wrapText="1"/>
    </xf>
    <xf numFmtId="1" fontId="15" fillId="2" borderId="14" applyAlignment="1" applyProtection="1" pivotButton="0" quotePrefix="0" xfId="39">
      <alignment horizontal="general" vertical="center" wrapText="1"/>
      <protection locked="0" hidden="0"/>
    </xf>
    <xf numFmtId="49" fontId="15" fillId="4" borderId="5" applyAlignment="1" applyProtection="1" pivotButton="0" quotePrefix="0" xfId="39">
      <alignment horizontal="general" vertical="center" wrapText="1"/>
      <protection locked="0" hidden="0"/>
    </xf>
    <xf numFmtId="49" fontId="15" fillId="4" borderId="6" applyAlignment="1" applyProtection="1" pivotButton="0" quotePrefix="0" xfId="39">
      <alignment horizontal="general" vertical="center" wrapText="1"/>
      <protection locked="0" hidden="0"/>
    </xf>
    <xf numFmtId="49" fontId="15" fillId="4" borderId="13" applyAlignment="1" applyProtection="1" pivotButton="0" quotePrefix="0" xfId="39">
      <alignment horizontal="general" vertical="center" wrapText="1"/>
      <protection locked="0" hidden="0"/>
    </xf>
    <xf numFmtId="1" fontId="15" fillId="0" borderId="19" applyAlignment="1" applyProtection="1" pivotButton="0" quotePrefix="0" xfId="39">
      <alignment horizontal="general" vertical="center" wrapText="1"/>
      <protection locked="0" hidden="0"/>
    </xf>
    <xf numFmtId="3" fontId="24" fillId="0" borderId="0" applyAlignment="1" pivotButton="0" quotePrefix="0" xfId="0">
      <alignment horizontal="general" vertical="bottom"/>
    </xf>
    <xf numFmtId="166" fontId="12" fillId="3" borderId="1" applyAlignment="1" pivotButton="0" quotePrefix="0" xfId="0">
      <alignment horizontal="center" vertical="center" wrapText="1"/>
    </xf>
    <xf numFmtId="49" fontId="12" fillId="3" borderId="1" applyAlignment="1" applyProtection="1" pivotButton="0" quotePrefix="0" xfId="39">
      <alignment horizontal="general" vertical="center" wrapText="1"/>
      <protection locked="0" hidden="0"/>
    </xf>
    <xf numFmtId="1" fontId="12" fillId="3" borderId="1" applyAlignment="1" applyProtection="1" pivotButton="0" quotePrefix="0" xfId="39">
      <alignment horizontal="right" vertical="center" wrapText="1"/>
      <protection locked="0" hidden="0"/>
    </xf>
    <xf numFmtId="3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 wrapText="1"/>
    </xf>
    <xf numFmtId="3" fontId="25" fillId="3" borderId="2" applyAlignment="1" pivotButton="0" quotePrefix="0" xfId="0">
      <alignment horizontal="general" vertical="bottom"/>
    </xf>
    <xf numFmtId="3" fontId="25" fillId="3" borderId="1" applyAlignment="1" pivotButton="0" quotePrefix="0" xfId="0">
      <alignment horizontal="center" vertical="bottom" wrapText="1"/>
    </xf>
    <xf numFmtId="3" fontId="0" fillId="0" borderId="0" applyAlignment="1" pivotButton="0" quotePrefix="0" xfId="0">
      <alignment horizontal="center" vertical="bottom"/>
    </xf>
    <xf numFmtId="3" fontId="25" fillId="3" borderId="20" applyAlignment="1" pivotButton="0" quotePrefix="0" xfId="0">
      <alignment horizontal="general" vertical="center"/>
    </xf>
    <xf numFmtId="3" fontId="26" fillId="5" borderId="3" applyAlignment="1" pivotButton="0" quotePrefix="0" xfId="0">
      <alignment horizontal="center" vertical="bottom" wrapText="1"/>
    </xf>
    <xf numFmtId="3" fontId="25" fillId="3" borderId="1" applyAlignment="1" pivotButton="0" quotePrefix="0" xfId="0">
      <alignment horizontal="general" vertical="center" wrapText="1"/>
    </xf>
    <xf numFmtId="3" fontId="25" fillId="3" borderId="20" applyAlignment="1" pivotButton="0" quotePrefix="0" xfId="0">
      <alignment horizontal="general" vertical="bottom"/>
    </xf>
    <xf numFmtId="49" fontId="15" fillId="0" borderId="5" applyAlignment="1" applyProtection="1" pivotButton="0" quotePrefix="0" xfId="39">
      <alignment horizontal="general" vertical="center"/>
      <protection locked="0" hidden="0"/>
    </xf>
    <xf numFmtId="49" fontId="27" fillId="0" borderId="5" applyAlignment="1" applyProtection="1" pivotButton="0" quotePrefix="0" xfId="39">
      <alignment horizontal="general" vertical="center"/>
      <protection locked="0" hidden="0"/>
    </xf>
    <xf numFmtId="49" fontId="15" fillId="0" borderId="21" applyAlignment="1" applyProtection="1" pivotButton="0" quotePrefix="0" xfId="39">
      <alignment horizontal="general" vertical="center"/>
      <protection locked="0" hidden="0"/>
    </xf>
    <xf numFmtId="49" fontId="15" fillId="2" borderId="5" applyAlignment="1" applyProtection="1" pivotButton="0" quotePrefix="0" xfId="39">
      <alignment horizontal="general" vertical="center"/>
      <protection locked="0" hidden="0"/>
    </xf>
    <xf numFmtId="49" fontId="15" fillId="2" borderId="21" applyAlignment="1" applyProtection="1" pivotButton="0" quotePrefix="0" xfId="39">
      <alignment horizontal="general" vertical="center"/>
      <protection locked="0" hidden="0"/>
    </xf>
    <xf numFmtId="49" fontId="17" fillId="3" borderId="22" applyAlignment="1" applyProtection="1" pivotButton="0" quotePrefix="0" xfId="39">
      <alignment horizontal="general" vertical="center"/>
      <protection locked="0" hidden="0"/>
    </xf>
    <xf numFmtId="49" fontId="17" fillId="3" borderId="23" applyAlignment="1" applyProtection="1" pivotButton="0" quotePrefix="0" xfId="39">
      <alignment horizontal="general" vertical="center"/>
      <protection locked="0" hidden="0"/>
    </xf>
    <xf numFmtId="3" fontId="25" fillId="3" borderId="3" applyAlignment="1" pivotButton="0" quotePrefix="0" xfId="0">
      <alignment horizontal="general" vertical="bottom"/>
    </xf>
    <xf numFmtId="49" fontId="15" fillId="2" borderId="24" applyAlignment="1" applyProtection="1" pivotButton="0" quotePrefix="0" xfId="39">
      <alignment horizontal="general" vertical="center"/>
      <protection locked="0" hidden="0"/>
    </xf>
    <xf numFmtId="49" fontId="15" fillId="2" borderId="3" applyAlignment="1" applyProtection="1" pivotButton="0" quotePrefix="0" xfId="39">
      <alignment horizontal="general" vertical="center"/>
      <protection locked="0" hidden="0"/>
    </xf>
    <xf numFmtId="170" fontId="25" fillId="3" borderId="10" applyAlignment="1" pivotButton="0" quotePrefix="0" xfId="0">
      <alignment horizontal="center" vertical="bottom" wrapText="1"/>
    </xf>
    <xf numFmtId="3" fontId="4" fillId="0" borderId="0" applyAlignment="1" pivotButton="0" quotePrefix="0" xfId="0">
      <alignment horizontal="general" vertical="bottom" wrapText="1"/>
    </xf>
    <xf numFmtId="3" fontId="25" fillId="3" borderId="25" applyAlignment="1" pivotButton="0" quotePrefix="0" xfId="0">
      <alignment horizontal="general" vertical="bottom"/>
    </xf>
    <xf numFmtId="9" fontId="0" fillId="0" borderId="26" applyAlignment="1" pivotButton="0" quotePrefix="0" xfId="0">
      <alignment horizontal="general" vertical="bottom" wrapText="1"/>
    </xf>
    <xf numFmtId="3" fontId="25" fillId="3" borderId="27" applyAlignment="1" pivotButton="0" quotePrefix="0" xfId="0">
      <alignment horizontal="general" vertical="bottom"/>
    </xf>
    <xf numFmtId="9" fontId="15" fillId="2" borderId="26" applyAlignment="1" applyProtection="1" pivotButton="0" quotePrefix="0" xfId="46">
      <alignment horizontal="general" vertical="center" wrapText="1"/>
      <protection locked="0" hidden="0"/>
    </xf>
    <xf numFmtId="171" fontId="15" fillId="2" borderId="26" applyAlignment="1" applyProtection="1" pivotButton="0" quotePrefix="0" xfId="30">
      <alignment horizontal="general" vertical="center" wrapText="1"/>
      <protection locked="0" hidden="0"/>
    </xf>
    <xf numFmtId="2" fontId="0" fillId="0" borderId="26" applyAlignment="1" pivotButton="0" quotePrefix="0" xfId="0">
      <alignment horizontal="general" vertical="bottom" wrapText="1"/>
    </xf>
    <xf numFmtId="3" fontId="25" fillId="3" borderId="28" applyAlignment="1" pivotButton="0" quotePrefix="0" xfId="0">
      <alignment horizontal="general" vertical="bottom"/>
    </xf>
    <xf numFmtId="172" fontId="4" fillId="0" borderId="1" applyAlignment="1" pivotButton="0" quotePrefix="0" xfId="30">
      <alignment horizontal="general" vertical="bottom" wrapText="1"/>
    </xf>
    <xf numFmtId="171" fontId="15" fillId="2" borderId="1" applyAlignment="1" applyProtection="1" pivotButton="0" quotePrefix="0" xfId="30">
      <alignment horizontal="general" vertical="center" wrapText="1"/>
      <protection locked="0" hidden="0"/>
    </xf>
    <xf numFmtId="3" fontId="26" fillId="0" borderId="1" applyAlignment="1" pivotButton="0" quotePrefix="0" xfId="0">
      <alignment horizontal="general" vertical="bottom" wrapText="1"/>
    </xf>
    <xf numFmtId="3" fontId="26" fillId="0" borderId="0" applyAlignment="1" pivotButton="0" quotePrefix="0" xfId="0">
      <alignment horizontal="general" vertical="bottom"/>
    </xf>
    <xf numFmtId="3" fontId="28" fillId="3" borderId="25" applyAlignment="1" pivotButton="0" quotePrefix="0" xfId="0">
      <alignment horizontal="general" vertical="bottom"/>
    </xf>
    <xf numFmtId="3" fontId="29" fillId="0" borderId="0" applyAlignment="1" pivotButton="0" quotePrefix="0" xfId="0">
      <alignment horizontal="general" vertical="bottom"/>
    </xf>
    <xf numFmtId="1" fontId="28" fillId="3" borderId="25" applyAlignment="1" pivotButton="0" quotePrefix="0" xfId="0">
      <alignment horizontal="general" vertical="bottom"/>
    </xf>
    <xf numFmtId="3" fontId="28" fillId="3" borderId="27" applyAlignment="1" pivotButton="0" quotePrefix="0" xfId="0">
      <alignment horizontal="general" vertical="bottom"/>
    </xf>
    <xf numFmtId="1" fontId="28" fillId="3" borderId="27" applyAlignment="1" pivotButton="0" quotePrefix="0" xfId="0">
      <alignment horizontal="general" vertical="bottom"/>
    </xf>
    <xf numFmtId="3" fontId="28" fillId="3" borderId="28" applyAlignment="1" pivotButton="0" quotePrefix="0" xfId="0">
      <alignment horizontal="general" vertical="bottom"/>
    </xf>
    <xf numFmtId="1" fontId="28" fillId="3" borderId="28" applyAlignment="1" pivotButton="0" quotePrefix="0" xfId="0">
      <alignment horizontal="general" vertical="bottom"/>
    </xf>
    <xf numFmtId="0" fontId="4" fillId="0" borderId="0" applyAlignment="1" pivotButton="0" quotePrefix="0" xfId="40">
      <alignment horizontal="general" vertical="bottom"/>
    </xf>
    <xf numFmtId="173" fontId="4" fillId="0" borderId="0" applyAlignment="1" pivotButton="0" quotePrefix="0" xfId="40">
      <alignment horizontal="right" vertical="bottom"/>
    </xf>
    <xf numFmtId="173" fontId="5" fillId="0" borderId="0" applyAlignment="1" pivotButton="0" quotePrefix="0" xfId="40">
      <alignment horizontal="left" vertical="bottom"/>
    </xf>
    <xf numFmtId="166" fontId="12" fillId="3" borderId="25" applyAlignment="1" pivotButton="0" quotePrefix="0" xfId="0">
      <alignment horizontal="center" vertical="center" wrapText="1"/>
    </xf>
    <xf numFmtId="166" fontId="17" fillId="3" borderId="25" applyAlignment="1" pivotButton="0" quotePrefix="0" xfId="0">
      <alignment horizontal="center" vertical="center" wrapText="1"/>
    </xf>
    <xf numFmtId="166" fontId="12" fillId="3" borderId="28" applyAlignment="1" pivotButton="0" quotePrefix="0" xfId="0">
      <alignment horizontal="center" vertical="center" wrapText="1"/>
    </xf>
    <xf numFmtId="167" fontId="17" fillId="3" borderId="28" applyAlignment="1" pivotButton="0" quotePrefix="0" xfId="0">
      <alignment horizontal="center" vertical="center" wrapText="1"/>
    </xf>
    <xf numFmtId="49" fontId="15" fillId="0" borderId="29" applyAlignment="1" applyProtection="1" pivotButton="0" quotePrefix="0" xfId="39">
      <alignment horizontal="general" vertical="center" wrapText="1"/>
      <protection locked="0" hidden="0"/>
    </xf>
    <xf numFmtId="169" fontId="15" fillId="0" borderId="5" applyAlignment="1" applyProtection="1" pivotButton="0" quotePrefix="0" xfId="30">
      <alignment horizontal="general" vertical="center" wrapText="1"/>
      <protection locked="0" hidden="0"/>
    </xf>
    <xf numFmtId="49" fontId="15" fillId="2" borderId="21" applyAlignment="1" applyProtection="1" pivotButton="0" quotePrefix="0" xfId="39">
      <alignment horizontal="general" vertical="center" wrapText="1"/>
      <protection locked="0" hidden="0"/>
    </xf>
    <xf numFmtId="169" fontId="15" fillId="2" borderId="5" applyAlignment="1" applyProtection="1" pivotButton="0" quotePrefix="0" xfId="30">
      <alignment horizontal="general" vertical="center" wrapText="1"/>
      <protection locked="0" hidden="0"/>
    </xf>
    <xf numFmtId="49" fontId="15" fillId="0" borderId="21" applyAlignment="1" applyProtection="1" pivotButton="0" quotePrefix="0" xfId="39">
      <alignment horizontal="general" vertical="center" wrapText="1"/>
      <protection locked="0" hidden="0"/>
    </xf>
    <xf numFmtId="49" fontId="15" fillId="0" borderId="30" applyAlignment="1" applyProtection="1" pivotButton="0" quotePrefix="0" xfId="39">
      <alignment horizontal="general" vertical="center" wrapText="1"/>
      <protection locked="0" hidden="0"/>
    </xf>
    <xf numFmtId="169" fontId="15" fillId="0" borderId="14" applyAlignment="1" applyProtection="1" pivotButton="0" quotePrefix="0" xfId="30">
      <alignment horizontal="general" vertical="center" wrapText="1"/>
      <protection locked="0" hidden="0"/>
    </xf>
    <xf numFmtId="166" fontId="12" fillId="3" borderId="10" applyAlignment="1" pivotButton="0" quotePrefix="0" xfId="0">
      <alignment horizontal="left" vertical="center" wrapText="1"/>
    </xf>
    <xf numFmtId="168" fontId="12" fillId="3" borderId="1" applyAlignment="1" pivotButton="0" quotePrefix="0" xfId="30">
      <alignment horizontal="right" vertical="center" wrapText="1"/>
    </xf>
    <xf numFmtId="0" fontId="30" fillId="0" borderId="0" applyAlignment="1" pivotButton="0" quotePrefix="0" xfId="40">
      <alignment horizontal="general" vertical="bottom"/>
    </xf>
    <xf numFmtId="3" fontId="31" fillId="0" borderId="0" applyAlignment="1" pivotButton="0" quotePrefix="0" xfId="40">
      <alignment horizontal="right" vertical="bottom"/>
    </xf>
    <xf numFmtId="1" fontId="1" fillId="0" borderId="0" applyAlignment="1" pivotButton="0" quotePrefix="0" xfId="39">
      <alignment horizontal="general" vertical="bottom"/>
    </xf>
    <xf numFmtId="49" fontId="15" fillId="0" borderId="6" applyAlignment="1" applyProtection="1" pivotButton="0" quotePrefix="0" xfId="39">
      <alignment horizontal="general" vertical="center"/>
      <protection locked="0" hidden="0"/>
    </xf>
    <xf numFmtId="49" fontId="12" fillId="3" borderId="15" applyAlignment="1" applyProtection="1" pivotButton="0" quotePrefix="0" xfId="39">
      <alignment horizontal="general" vertical="center" wrapText="1"/>
      <protection locked="0" hidden="0"/>
    </xf>
    <xf numFmtId="49" fontId="12" fillId="3" borderId="16" applyAlignment="1" applyProtection="1" pivotButton="0" quotePrefix="0" xfId="39">
      <alignment horizontal="general" vertical="center" wrapText="1"/>
      <protection locked="0" hidden="0"/>
    </xf>
    <xf numFmtId="1" fontId="12" fillId="3" borderId="16" applyAlignment="1" applyProtection="1" pivotButton="0" quotePrefix="0" xfId="39">
      <alignment horizontal="general" vertical="center" wrapText="1"/>
      <protection locked="0" hidden="0"/>
    </xf>
    <xf numFmtId="0" fontId="31" fillId="0" borderId="0" applyAlignment="1" pivotButton="0" quotePrefix="0" xfId="21">
      <alignment horizontal="general" vertical="bottom" wrapText="1"/>
    </xf>
    <xf numFmtId="167" fontId="12" fillId="3" borderId="1" applyAlignment="1" pivotButton="0" quotePrefix="0" xfId="0">
      <alignment horizontal="center" vertical="center" wrapText="1"/>
    </xf>
    <xf numFmtId="1" fontId="12" fillId="3" borderId="10" applyAlignment="1" pivotButton="0" quotePrefix="0" xfId="0">
      <alignment horizontal="center" vertical="center" wrapText="1"/>
    </xf>
    <xf numFmtId="49" fontId="12" fillId="3" borderId="10" applyAlignment="1" applyProtection="1" pivotButton="0" quotePrefix="0" xfId="39">
      <alignment horizontal="general" vertical="center" wrapText="1"/>
      <protection locked="0" hidden="0"/>
    </xf>
  </cellXfs>
  <cellStyles count="3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&#13;&#10;JournalTemplate=C:\COMFO\CTALK\JOURSTD.TPL&#13;&#10;LbStateAddress=3 3 0 251 1 89 2 311&#13;&#10;LbStateJou" xfId="6"/>
    <cellStyle name="%??O%??P%??Q%??R%??S%??T%??U%??V%??W%??X%??Y%??Z%??[%??\%??]%??^%??_%??`%??a%?" xfId="7"/>
    <cellStyle name="%??O%??P%??Q%??R%??S%??T%??U%??V%??W%??X%??Y%??Z%??[%??\%??]%??^%??_%??`%??a%?_Master DD Questionnaire 2IM" xfId="8"/>
    <cellStyle name="_DT HW" xfId="9"/>
    <cellStyle name="_DTHW pricing BAFO v0.93" xfId="10"/>
    <cellStyle name="_Summary Fees" xfId="11"/>
    <cellStyle name="_TRI Pricing Forms v15" xfId="12"/>
    <cellStyle name="_Trimaran Attachment 4-A Pricing Forms - 14.0 - BAFP Nov 28" xfId="13"/>
    <cellStyle name="_Trimaran Overview Pass Through" xfId="14"/>
    <cellStyle name="_Trimaran Voice Rates V0-2--KPN-v09-20060208" xfId="15"/>
    <cellStyle name="Date" xfId="16"/>
    <cellStyle name="DecBold" xfId="17"/>
    <cellStyle name="Euro" xfId="18"/>
    <cellStyle name="Fixed" xfId="19"/>
    <cellStyle name="FMVNumber" xfId="20"/>
    <cellStyle name="InputPercent" xfId="21"/>
    <cellStyle name="InputValue" xfId="22"/>
    <cellStyle name="Normal_Attachment with Invoice Details" xfId="23"/>
    <cellStyle name="Normal_LR TRI Attachment 4-A Pricing Forms v16 update transition jvb (2)" xfId="24"/>
    <cellStyle name="Normal_MOU OTC Attachment 4-E Project Rate Card 21062006 MARKED UP VERSION" xfId="25"/>
    <cellStyle name="NumberBold" xfId="26"/>
    <cellStyle name="NumberNoDec" xfId="27"/>
    <cellStyle name="NumberPercent" xfId="28"/>
    <cellStyle name="NumberVarDec" xfId="29"/>
    <cellStyle name="Text 1" xfId="30"/>
  </cellStyles>
  <dxfs count="3">
    <dxf>
      <font>
        <name val="Arial"/>
        <family val="2"/>
        <color rgb="00FFFFFF"/>
      </font>
      <numFmt numFmtId="164" formatCode="#,##0"/>
      <fill>
        <patternFill>
          <bgColor rgb="FFFF0000"/>
        </patternFill>
      </fill>
    </dxf>
    <dxf>
      <font>
        <name val="Arial"/>
        <family val="2"/>
        <color rgb="00FFFFFF"/>
      </font>
      <numFmt numFmtId="164" formatCode="#,##0"/>
      <fill>
        <patternFill>
          <bgColor rgb="FFFFFF00"/>
        </patternFill>
      </fill>
    </dxf>
    <dxf>
      <font>
        <name val="Arial"/>
        <family val="2"/>
        <color rgb="00FFFFFF"/>
      </font>
      <numFmt numFmtId="164" formatCode="#,##0"/>
      <fill>
        <patternFill>
          <bgColor rgb="FF00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EF3"/>
      <rgbColor rgb="FFEAEA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E5A7A"/>
      <rgbColor rgb="FFA1A1A1"/>
      <rgbColor rgb="FF003366"/>
      <rgbColor rgb="FF339966"/>
      <rgbColor rgb="FF003300"/>
      <rgbColor rgb="FF333300"/>
      <rgbColor rgb="FF993300"/>
      <rgbColor rgb="FF993366"/>
      <rgbColor rgb="FF333399"/>
      <rgbColor rgb="FF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externalLink" Target="/xl/externalLinks/externalLink2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spnlfap00250/SharedData1/Documents%20and%20Settings/brjha/Local%20Settings/Temporary%20Internet%20Files/Content.IE5/BYFXWAS9/Attachment%204-D%20Resource%20Baselines%20-%20American%20Standard%20European%20Servers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../../../../I:/Documents%20and%20Settings/perler/My%20Documents/Cendant/Denver%20Resource%20Baselines/Asset%20Tracking%2010_16_01.Lee1%20Rev%20PC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Resource Baseline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ype Details"/>
      <sheetName val="Count of Nodes by Type"/>
      <sheetName val="Complete Listing incl LCN"/>
      <sheetName val="LCN Node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15625" defaultRowHeight="13.2" customHeight="1" zeroHeight="0" outlineLevelRow="0"/>
  <cols>
    <col width="9.1" customWidth="1" style="175" min="1" max="1"/>
    <col width="26.32" customWidth="1" style="175" min="2" max="2"/>
    <col width="19.87" customWidth="1" style="175" min="3" max="3"/>
    <col width="9.1" customWidth="1" style="175" min="4" max="257"/>
  </cols>
  <sheetData>
    <row r="1"/>
    <row r="2"/>
    <row r="3"/>
    <row r="4"/>
    <row r="5"/>
    <row r="6"/>
    <row r="7"/>
    <row r="8"/>
    <row r="9"/>
    <row r="10" ht="13.2" customHeight="1" s="176">
      <c r="C10" s="177" t="n"/>
    </row>
    <row r="11" ht="20.4" customHeight="1" s="176">
      <c r="C11" s="178" t="inlineStr">
        <is>
          <t>EuroBank</t>
        </is>
      </c>
    </row>
    <row r="12"/>
    <row r="13" ht="20.4" customHeight="1" s="176">
      <c r="C13" s="178" t="n"/>
    </row>
    <row r="14" ht="20.4" customHeight="1" s="176">
      <c r="C14" s="178" t="n"/>
    </row>
    <row r="15" ht="20.4" customHeight="1" s="176">
      <c r="C15" s="178" t="n"/>
    </row>
    <row r="16" ht="20.4" customHeight="1" s="176">
      <c r="C16" s="178" t="inlineStr">
        <is>
          <t>ATTACHMENT 4-H</t>
        </is>
      </c>
    </row>
    <row r="17" ht="20.4" customHeight="1" s="176">
      <c r="C17" s="178" t="n"/>
    </row>
    <row r="18" ht="20.4" customHeight="1" s="176">
      <c r="C18" s="178" t="inlineStr">
        <is>
          <t>INVOICE SUMMARY SAMPLE</t>
        </is>
      </c>
    </row>
    <row r="19" ht="20.4" customHeight="1" s="176">
      <c r="C19" s="178" t="inlineStr">
        <is>
          <t>Attachment to Exhibit 4 (Pricing and Financial Provisions)</t>
        </is>
      </c>
    </row>
    <row r="20" ht="20.4" customHeight="1" s="176">
      <c r="C20" s="178" t="n"/>
    </row>
    <row r="21" ht="20.4" customHeight="1" s="176">
      <c r="C21" s="178" t="n"/>
    </row>
    <row r="22" ht="20.4" customHeight="1" s="176">
      <c r="C22" s="179" t="n"/>
    </row>
    <row r="23" ht="26.25" customHeight="1" s="176">
      <c r="C23" s="180" t="n"/>
    </row>
  </sheetData>
  <printOptions horizontalCentered="1" verticalCentered="0" headings="0" gridLines="0" gridLinesSet="1"/>
  <pageMargins left="0.9840277777777779" right="0.9840277777777779" top="0.236111111111111" bottom="0.470138888888889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Attachment 4-H&amp;R&amp;"Times New Roman,Regular"&amp;8 3/11/06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4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B24" activeCellId="0" sqref="B24"/>
    </sheetView>
  </sheetViews>
  <sheetFormatPr baseColWidth="8" defaultColWidth="9.66015625" defaultRowHeight="11.4" customHeight="1" zeroHeight="0" outlineLevelRow="0"/>
  <cols>
    <col width="2.43" customWidth="1" style="181" min="1" max="1"/>
    <col width="36.32" customWidth="1" style="181" min="2" max="2"/>
    <col width="2.43" customWidth="1" style="181" min="3" max="3"/>
    <col width="20.32" customWidth="1" style="182" min="4" max="6"/>
    <col width="9.66" customWidth="1" style="181" min="7" max="7"/>
    <col width="9.66" customWidth="1" style="183" min="8" max="8"/>
    <col width="9.66" customWidth="1" style="181" min="9" max="257"/>
  </cols>
  <sheetData>
    <row r="1"/>
    <row r="2" ht="26.4" customHeight="1" s="176">
      <c r="B2" s="184" t="inlineStr">
        <is>
          <t>All charges are shown in Euro, excluding VAT</t>
        </is>
      </c>
      <c r="D2" s="184" t="inlineStr">
        <is>
          <t>Invoice Summary</t>
        </is>
      </c>
      <c r="E2" s="181" t="n"/>
      <c r="F2" s="181" t="n"/>
    </row>
    <row r="3" ht="11.4" customHeight="1" s="176">
      <c r="B3" s="181" t="n"/>
      <c r="D3" s="182" t="n"/>
      <c r="E3" s="182" t="n"/>
      <c r="F3" s="182" t="n"/>
    </row>
    <row r="4" ht="13.2" customHeight="1" s="176">
      <c r="B4" s="185" t="inlineStr">
        <is>
          <t>Supplier</t>
        </is>
      </c>
      <c r="D4" s="186" t="inlineStr">
        <is>
          <t>Period</t>
        </is>
      </c>
      <c r="E4" s="186" t="inlineStr">
        <is>
          <t>YTD</t>
        </is>
      </c>
      <c r="F4" s="186" t="inlineStr">
        <is>
          <t>ESTIMATED EOY</t>
        </is>
      </c>
    </row>
    <row r="5" ht="13.2" customHeight="1" s="176">
      <c r="B5" s="187" t="n"/>
      <c r="D5" s="188" t="n">
        <v>39172</v>
      </c>
      <c r="E5" s="188">
        <f>Period</f>
        <v/>
      </c>
      <c r="F5" s="188" t="n">
        <v>39447</v>
      </c>
    </row>
    <row r="6" ht="9.75" customHeight="1" s="176">
      <c r="B6" s="181" t="n"/>
      <c r="D6" s="182" t="n"/>
      <c r="E6" s="182" t="n"/>
      <c r="F6" s="182" t="n"/>
    </row>
    <row r="7" ht="13.8" customHeight="1" s="176">
      <c r="B7" s="189" t="inlineStr">
        <is>
          <t>Category of Services</t>
        </is>
      </c>
      <c r="D7" s="190" t="inlineStr">
        <is>
          <t>Base Charges</t>
        </is>
      </c>
      <c r="E7" s="190" t="inlineStr">
        <is>
          <t>Base Charges</t>
        </is>
      </c>
      <c r="F7" s="190" t="inlineStr">
        <is>
          <t>Base Charges</t>
        </is>
      </c>
      <c r="H7" s="191" t="n"/>
    </row>
    <row r="8" ht="13.2" customHeight="1" s="176">
      <c r="B8" s="192" t="inlineStr">
        <is>
          <t>EUC</t>
        </is>
      </c>
      <c r="D8" s="193">
        <f>'Base Charge'!H55</f>
        <v/>
      </c>
      <c r="E8" s="193">
        <f>'Base Charge'!M55</f>
        <v/>
      </c>
      <c r="F8" s="193">
        <f>'Base Charge'!N55</f>
        <v/>
      </c>
      <c r="H8" s="194" t="n"/>
    </row>
    <row r="9" ht="13.2" customHeight="1" s="176">
      <c r="B9" s="195" t="inlineStr">
        <is>
          <t>Service Desk</t>
        </is>
      </c>
      <c r="D9" s="196">
        <f>'Base Charge'!H62</f>
        <v/>
      </c>
      <c r="E9" s="196">
        <f>'Base Charge'!M62</f>
        <v/>
      </c>
      <c r="F9" s="196">
        <f>'Base Charge'!N62</f>
        <v/>
      </c>
      <c r="H9" s="194" t="n"/>
    </row>
    <row r="10" ht="13.2" customHeight="1" s="176">
      <c r="B10" s="192" t="inlineStr">
        <is>
          <t>LAN Services</t>
        </is>
      </c>
      <c r="D10" s="197">
        <f>'Base Charge'!H70</f>
        <v/>
      </c>
      <c r="E10" s="197">
        <f>'Base Charge'!M70</f>
        <v/>
      </c>
      <c r="F10" s="197">
        <f>'Base Charge'!N70</f>
        <v/>
      </c>
      <c r="H10" s="194" t="n"/>
    </row>
    <row r="11" ht="13.2" customHeight="1" s="176">
      <c r="B11" s="195" t="inlineStr">
        <is>
          <t>Voice Services</t>
        </is>
      </c>
      <c r="D11" s="196">
        <f>'Base Charge'!H136</f>
        <v/>
      </c>
      <c r="E11" s="196">
        <f>'Base Charge'!M136</f>
        <v/>
      </c>
      <c r="F11" s="196">
        <f>'Base Charge'!N136</f>
        <v/>
      </c>
      <c r="H11" s="194" t="n"/>
    </row>
    <row r="12" ht="13.2" customHeight="1" s="176">
      <c r="B12" s="192" t="inlineStr">
        <is>
          <t>Server Management</t>
        </is>
      </c>
      <c r="D12" s="197">
        <f>'Base Charge'!H146</f>
        <v/>
      </c>
      <c r="E12" s="197">
        <f>'Base Charge'!M146</f>
        <v/>
      </c>
      <c r="F12" s="197">
        <f>'Base Charge'!N146</f>
        <v/>
      </c>
      <c r="H12" s="194" t="n"/>
    </row>
    <row r="13" ht="13.2" customHeight="1" s="176">
      <c r="B13" s="195" t="inlineStr">
        <is>
          <t>2IM</t>
        </is>
      </c>
      <c r="D13" s="196">
        <f>'Base Charge'!H151</f>
        <v/>
      </c>
      <c r="E13" s="196">
        <f>'Base Charge'!M151</f>
        <v/>
      </c>
      <c r="F13" s="196">
        <f>'Base Charge'!N151</f>
        <v/>
      </c>
    </row>
    <row r="14" ht="13.2" customHeight="1" s="176">
      <c r="B14" s="198" t="inlineStr">
        <is>
          <t>Sub total</t>
        </is>
      </c>
      <c r="D14" s="199">
        <f>SUM(D8:D13)</f>
        <v/>
      </c>
      <c r="E14" s="199">
        <f>SUM(E8:E13)</f>
        <v/>
      </c>
      <c r="F14" s="199">
        <f>SUM(F8:F13)</f>
        <v/>
      </c>
      <c r="H14" s="200" t="n"/>
    </row>
    <row r="15" ht="13.8" customHeight="1" s="176">
      <c r="B15" s="201" t="n"/>
      <c r="D15" s="202" t="n"/>
      <c r="E15" s="202" t="n"/>
      <c r="F15" s="202" t="n"/>
    </row>
    <row r="16" ht="13.8" customHeight="1" s="176">
      <c r="B16" s="189" t="inlineStr">
        <is>
          <t>Category of Services</t>
        </is>
      </c>
      <c r="D16" s="203" t="inlineStr">
        <is>
          <t>ARC/RRC</t>
        </is>
      </c>
      <c r="E16" s="203" t="inlineStr">
        <is>
          <t>ARC/RRC</t>
        </is>
      </c>
      <c r="F16" s="203" t="inlineStr">
        <is>
          <t>ARC/RRC</t>
        </is>
      </c>
      <c r="H16" s="191" t="n"/>
    </row>
    <row r="17" ht="13.2" customHeight="1" s="176">
      <c r="B17" s="192" t="inlineStr">
        <is>
          <t>EUC</t>
        </is>
      </c>
      <c r="D17" s="197">
        <f>'Base Charge'!J55</f>
        <v/>
      </c>
      <c r="E17" s="197">
        <f>'Base Charge'!O55</f>
        <v/>
      </c>
      <c r="F17" s="197">
        <f>'Base Charge'!P55</f>
        <v/>
      </c>
      <c r="H17" s="194" t="n"/>
    </row>
    <row r="18" ht="13.2" customHeight="1" s="176">
      <c r="B18" s="195" t="inlineStr">
        <is>
          <t>Service Desk</t>
        </is>
      </c>
      <c r="D18" s="196">
        <f>'Base Charge'!J62</f>
        <v/>
      </c>
      <c r="E18" s="196">
        <f>'Base Charge'!O62</f>
        <v/>
      </c>
      <c r="F18" s="196">
        <f>'Base Charge'!P62</f>
        <v/>
      </c>
      <c r="H18" s="194" t="n"/>
    </row>
    <row r="19" ht="13.2" customHeight="1" s="176">
      <c r="B19" s="192" t="inlineStr">
        <is>
          <t>LAN Services</t>
        </is>
      </c>
      <c r="D19" s="197">
        <f>'Base Charge'!J70</f>
        <v/>
      </c>
      <c r="E19" s="197">
        <f>'Base Charge'!O70</f>
        <v/>
      </c>
      <c r="F19" s="197">
        <f>'Base Charge'!P70</f>
        <v/>
      </c>
      <c r="H19" s="194" t="n"/>
    </row>
    <row r="20" ht="13.2" customHeight="1" s="176">
      <c r="B20" s="195" t="inlineStr">
        <is>
          <t>Voice Services</t>
        </is>
      </c>
      <c r="D20" s="196">
        <f>'Base Charge'!J136</f>
        <v/>
      </c>
      <c r="E20" s="196">
        <f>'Base Charge'!O136</f>
        <v/>
      </c>
      <c r="F20" s="196">
        <f>'Base Charge'!P136</f>
        <v/>
      </c>
      <c r="H20" s="194" t="n"/>
    </row>
    <row r="21" ht="13.2" customHeight="1" s="176">
      <c r="B21" s="192" t="inlineStr">
        <is>
          <t>Server Management</t>
        </is>
      </c>
      <c r="D21" s="197">
        <f>'Base Charge'!J146</f>
        <v/>
      </c>
      <c r="E21" s="197">
        <f>'Base Charge'!O146</f>
        <v/>
      </c>
      <c r="F21" s="197">
        <f>'Base Charge'!P146</f>
        <v/>
      </c>
      <c r="H21" s="194" t="n"/>
    </row>
    <row r="22" ht="13.2" customHeight="1" s="176">
      <c r="B22" s="198" t="inlineStr">
        <is>
          <t>Sub total</t>
        </is>
      </c>
      <c r="D22" s="199">
        <f>SUM(D17:D21)</f>
        <v/>
      </c>
      <c r="E22" s="199">
        <f>SUM(E17:E21)</f>
        <v/>
      </c>
      <c r="F22" s="199">
        <f>SUM(F17:F21)</f>
        <v/>
      </c>
      <c r="H22" s="200" t="n"/>
    </row>
    <row r="23" ht="13.8" customHeight="1" s="176">
      <c r="B23" s="201" t="n"/>
      <c r="D23" s="202" t="n"/>
      <c r="E23" s="202" t="n"/>
      <c r="F23" s="202" t="n"/>
    </row>
    <row r="24" ht="13.8" customHeight="1" s="176">
      <c r="B24" s="189" t="inlineStr">
        <is>
          <t>Category of Services</t>
        </is>
      </c>
      <c r="D24" s="203" t="inlineStr">
        <is>
          <t>Pass Through</t>
        </is>
      </c>
      <c r="E24" s="203" t="inlineStr">
        <is>
          <t>Pass Through</t>
        </is>
      </c>
      <c r="F24" s="203" t="inlineStr">
        <is>
          <t>Pass Through</t>
        </is>
      </c>
      <c r="H24" s="191" t="n"/>
    </row>
    <row r="25" ht="13.2" customHeight="1" s="176">
      <c r="B25" s="192" t="inlineStr">
        <is>
          <t>EUC</t>
        </is>
      </c>
      <c r="D25" s="197">
        <f>Passthrough!M55</f>
        <v/>
      </c>
      <c r="E25" s="197">
        <f>Passthrough!N55</f>
        <v/>
      </c>
      <c r="F25" s="197">
        <f>Passthrough!O55</f>
        <v/>
      </c>
      <c r="H25" s="194" t="n"/>
    </row>
    <row r="26" ht="13.2" customHeight="1" s="176">
      <c r="B26" s="195" t="inlineStr">
        <is>
          <t>Service Desk</t>
        </is>
      </c>
      <c r="D26" s="196">
        <f>Passthrough!M62</f>
        <v/>
      </c>
      <c r="E26" s="196">
        <f>Passthrough!N62</f>
        <v/>
      </c>
      <c r="F26" s="196">
        <f>Passthrough!O62</f>
        <v/>
      </c>
      <c r="H26" s="194" t="n"/>
    </row>
    <row r="27" ht="13.2" customHeight="1" s="176">
      <c r="B27" s="192" t="inlineStr">
        <is>
          <t>LAN Services</t>
        </is>
      </c>
      <c r="D27" s="197">
        <f>Passthrough!M70</f>
        <v/>
      </c>
      <c r="E27" s="197">
        <f>Passthrough!N70</f>
        <v/>
      </c>
      <c r="F27" s="197">
        <f>Passthrough!O70</f>
        <v/>
      </c>
      <c r="H27" s="194" t="n"/>
    </row>
    <row r="28" ht="13.2" customHeight="1" s="176">
      <c r="B28" s="195" t="inlineStr">
        <is>
          <t>Voice Services</t>
        </is>
      </c>
      <c r="D28" s="196">
        <f>Passthrough!M136</f>
        <v/>
      </c>
      <c r="E28" s="196">
        <f>Passthrough!N136</f>
        <v/>
      </c>
      <c r="F28" s="196">
        <f>Passthrough!O136</f>
        <v/>
      </c>
      <c r="H28" s="194" t="n"/>
    </row>
    <row r="29" ht="13.2" customHeight="1" s="176">
      <c r="B29" s="192" t="inlineStr">
        <is>
          <t>Server Management</t>
        </is>
      </c>
      <c r="D29" s="197">
        <f>Passthrough!M146</f>
        <v/>
      </c>
      <c r="E29" s="197">
        <f>Passthrough!N146</f>
        <v/>
      </c>
      <c r="F29" s="197">
        <f>Passthrough!O146</f>
        <v/>
      </c>
      <c r="H29" s="194" t="n"/>
    </row>
    <row r="30" ht="13.2" customHeight="1" s="176">
      <c r="B30" s="198" t="inlineStr">
        <is>
          <t>Sub total</t>
        </is>
      </c>
      <c r="D30" s="199">
        <f>SUM(D25:D29)</f>
        <v/>
      </c>
      <c r="E30" s="199">
        <f>SUM(E25:E29)</f>
        <v/>
      </c>
      <c r="F30" s="199">
        <f>SUM(F25:F29)</f>
        <v/>
      </c>
      <c r="H30" s="200" t="n"/>
    </row>
    <row r="31" ht="13.8" customHeight="1" s="176">
      <c r="B31" s="201" t="n"/>
      <c r="D31" s="202" t="n"/>
      <c r="E31" s="202" t="n"/>
      <c r="F31" s="202" t="n"/>
    </row>
    <row r="32" ht="13.8" customHeight="1" s="176">
      <c r="B32" s="189" t="inlineStr">
        <is>
          <t>Category of Services</t>
        </is>
      </c>
      <c r="D32" s="203" t="inlineStr">
        <is>
          <t>Retained Assets</t>
        </is>
      </c>
      <c r="E32" s="203" t="inlineStr">
        <is>
          <t>Retained Assets</t>
        </is>
      </c>
      <c r="F32" s="203" t="inlineStr">
        <is>
          <t>Retained Assets</t>
        </is>
      </c>
      <c r="H32" s="191" t="n"/>
    </row>
    <row r="33" ht="13.2" customHeight="1" s="176">
      <c r="B33" s="192" t="inlineStr">
        <is>
          <t>EUC</t>
        </is>
      </c>
      <c r="D33" s="197">
        <f>'Retained Assets'!M55</f>
        <v/>
      </c>
      <c r="E33" s="197">
        <f>'Retained Assets'!N55</f>
        <v/>
      </c>
      <c r="F33" s="197">
        <f>'Retained Assets'!O55</f>
        <v/>
      </c>
      <c r="H33" s="194" t="n"/>
    </row>
    <row r="34" ht="13.2" customHeight="1" s="176">
      <c r="B34" s="195" t="inlineStr">
        <is>
          <t>Service Desk</t>
        </is>
      </c>
      <c r="D34" s="196">
        <f>'Retained Assets'!M62</f>
        <v/>
      </c>
      <c r="E34" s="196">
        <f>'Retained Assets'!N62</f>
        <v/>
      </c>
      <c r="F34" s="196">
        <f>'Retained Assets'!O62</f>
        <v/>
      </c>
      <c r="H34" s="194" t="n"/>
    </row>
    <row r="35" ht="13.2" customHeight="1" s="176">
      <c r="B35" s="192" t="inlineStr">
        <is>
          <t>LAN Services</t>
        </is>
      </c>
      <c r="D35" s="197">
        <f>'Retained Assets'!M70</f>
        <v/>
      </c>
      <c r="E35" s="197">
        <f>'Retained Assets'!N70</f>
        <v/>
      </c>
      <c r="F35" s="197">
        <f>'Retained Assets'!O70</f>
        <v/>
      </c>
      <c r="H35" s="194" t="n"/>
    </row>
    <row r="36" ht="13.2" customHeight="1" s="176">
      <c r="B36" s="195" t="inlineStr">
        <is>
          <t>Voice Services</t>
        </is>
      </c>
      <c r="D36" s="196">
        <f>'Retained Assets'!M136</f>
        <v/>
      </c>
      <c r="E36" s="196">
        <f>'Retained Assets'!N136</f>
        <v/>
      </c>
      <c r="F36" s="196">
        <f>'Retained Assets'!O136</f>
        <v/>
      </c>
      <c r="H36" s="194" t="n"/>
    </row>
    <row r="37" ht="13.2" customHeight="1" s="176">
      <c r="B37" s="192" t="inlineStr">
        <is>
          <t>Server Management</t>
        </is>
      </c>
      <c r="D37" s="197">
        <f>'Retained Assets'!M153</f>
        <v/>
      </c>
      <c r="E37" s="197">
        <f>'Retained Assets'!N153</f>
        <v/>
      </c>
      <c r="F37" s="197">
        <f>'Retained Assets'!O153</f>
        <v/>
      </c>
      <c r="H37" s="194" t="n"/>
    </row>
    <row r="38" ht="13.2" customHeight="1" s="176">
      <c r="B38" s="198" t="inlineStr">
        <is>
          <t>Sub total</t>
        </is>
      </c>
      <c r="D38" s="199">
        <f>SUM(D33:D37)</f>
        <v/>
      </c>
      <c r="E38" s="199">
        <f>SUM(E33:E37)</f>
        <v/>
      </c>
      <c r="F38" s="199">
        <f>SUM(F33:F37)</f>
        <v/>
      </c>
      <c r="H38" s="200" t="n"/>
    </row>
    <row r="39" ht="13.8" customHeight="1" s="176">
      <c r="B39" s="201" t="n"/>
      <c r="D39" s="202" t="n"/>
      <c r="E39" s="202" t="n"/>
      <c r="F39" s="202" t="n"/>
    </row>
    <row r="40" ht="13.8" customHeight="1" s="176">
      <c r="B40" s="189" t="inlineStr">
        <is>
          <t>Category of Services</t>
        </is>
      </c>
      <c r="D40" s="203" t="inlineStr">
        <is>
          <t>Others</t>
        </is>
      </c>
      <c r="E40" s="203" t="inlineStr">
        <is>
          <t>Others</t>
        </is>
      </c>
      <c r="F40" s="203" t="inlineStr">
        <is>
          <t>Others</t>
        </is>
      </c>
    </row>
    <row r="41" ht="13.2" customHeight="1" s="176">
      <c r="B41" s="192" t="inlineStr">
        <is>
          <t>Projects</t>
        </is>
      </c>
      <c r="D41" s="197">
        <f>Project!D59</f>
        <v/>
      </c>
      <c r="E41" s="197">
        <f>Project!D60</f>
        <v/>
      </c>
      <c r="F41" s="197">
        <f>Project!D61</f>
        <v/>
      </c>
    </row>
    <row r="42" ht="13.2" customHeight="1" s="176">
      <c r="B42" s="195" t="inlineStr">
        <is>
          <t>T&amp;T</t>
        </is>
      </c>
      <c r="D42" s="196">
        <f>'T&amp;T'!D52+'T&amp;T'!J52</f>
        <v/>
      </c>
      <c r="E42" s="196">
        <f>'T&amp;T'!E52+'T&amp;T'!K52</f>
        <v/>
      </c>
      <c r="F42" s="196">
        <f>'T&amp;T'!F52+'T&amp;T'!L52</f>
        <v/>
      </c>
    </row>
    <row r="43" ht="13.2" customHeight="1" s="176">
      <c r="B43" s="204" t="inlineStr">
        <is>
          <t>Retained Contract</t>
        </is>
      </c>
      <c r="D43" s="205">
        <f>'Ret.Contract'!L14</f>
        <v/>
      </c>
      <c r="E43" s="205">
        <f>'Ret.Contract'!M14</f>
        <v/>
      </c>
      <c r="F43" s="205">
        <f>'Ret.Contract'!N14</f>
        <v/>
      </c>
    </row>
    <row r="44" ht="13.2" customHeight="1" s="176">
      <c r="B44" s="195" t="inlineStr">
        <is>
          <t>Service Level Credit</t>
        </is>
      </c>
      <c r="D44" s="196">
        <f>'Serv.level.credit'!J19</f>
        <v/>
      </c>
      <c r="E44" s="196">
        <f>'Serv.level.credit'!K19</f>
        <v/>
      </c>
      <c r="F44" s="196" t="n"/>
    </row>
    <row r="45" ht="13.2" customHeight="1" s="176">
      <c r="B45" s="198" t="inlineStr">
        <is>
          <t>Sub total</t>
        </is>
      </c>
      <c r="D45" s="199">
        <f>SUM(D41:D44)</f>
        <v/>
      </c>
      <c r="E45" s="199">
        <f>SUM(E41:E44)</f>
        <v/>
      </c>
      <c r="F45" s="199">
        <f>SUM(F41:F44)</f>
        <v/>
      </c>
    </row>
    <row r="46" ht="13.2" customHeight="1" s="176">
      <c r="B46" s="201" t="n"/>
      <c r="D46" s="206" t="n"/>
      <c r="E46" s="206" t="n"/>
      <c r="F46" s="206" t="n"/>
    </row>
    <row r="47" ht="13.2" customHeight="1" s="176">
      <c r="B47" s="207" t="inlineStr">
        <is>
          <t>Adjustments/Corrections</t>
        </is>
      </c>
      <c r="D47" s="208">
        <f>Adjustment!D21</f>
        <v/>
      </c>
      <c r="E47" s="208" t="n"/>
      <c r="F47" s="209" t="n"/>
    </row>
    <row r="48" ht="13.8" customHeight="1" s="176">
      <c r="B48" s="201" t="n"/>
      <c r="D48" s="206" t="n"/>
      <c r="E48" s="206" t="n"/>
      <c r="F48" s="206" t="n"/>
    </row>
    <row r="49" ht="13.8" customHeight="1" s="176">
      <c r="B49" s="189" t="inlineStr">
        <is>
          <t>Grand Total</t>
        </is>
      </c>
      <c r="D49" s="210">
        <f>D14+D22+D30+D38+D45+D47</f>
        <v/>
      </c>
      <c r="E49" s="210">
        <f>E14+E22+E30+E38+E45+E47</f>
        <v/>
      </c>
      <c r="F49" s="210">
        <f>F14+F22+F30+F38+F45+F47</f>
        <v/>
      </c>
    </row>
  </sheetData>
  <scenarios current="6" show="6">
    <scenario name="USER_01" locked="0" hidden="0" user="Calc" count="0"/>
    <scenario name="USER_02" locked="0" hidden="0" user="Calc" count="1">
      <inputCells r="D7" deleted="0" undone="0" val=""/>
    </scenario>
    <scenario name="USER_03" locked="0" hidden="0" user="Calc" count="0"/>
    <scenario name="USER_04" locked="0" hidden="0" user="Calc" count="0"/>
    <scenario name="USER_05" locked="0" hidden="0" user="Calc" count="0"/>
    <scenario name="USER_06" locked="0" hidden="0" user="Calc" count="0"/>
    <scenario name="USER_07" locked="0" hidden="0" user="Calc" count="0"/>
    <scenario name="EXAMPLE_01" locked="0" hidden="0" user="Calc" count="0"/>
    <scenario name="EXAMPLE_02" locked="0" hidden="0" user="Calc" count="1">
      <inputCells r="D7" deleted="0" undone="0" val="Ryan Radiators, Inc."/>
    </scenario>
    <scenario name="EXAMPLE_03" locked="0" hidden="0" user="Calc" count="0"/>
    <scenario name="EXAMPLE_04" locked="0" hidden="0" user="Calc" count="0"/>
    <scenario name="EXAMPLE_05" locked="0" hidden="0" user="Calc" count="0"/>
    <scenario name="EXAMPLE_06" locked="0" hidden="0" user="Calc" count="0"/>
    <scenario name="EXAMPLE_07" locked="0" hidden="0" user="Calc" count="0"/>
  </scenarios>
  <printOptions horizontalCentered="1" verticalCentered="0" headings="0" gridLines="0" gridLinesSet="1"/>
  <pageMargins left="0.9840277777777779" right="0.9840277777777779" top="0.236111111111111" bottom="0.470138888888889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&amp;A&amp;R&amp;"Times New Roman,Regular"&amp;8 3/11/06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R4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015625" defaultRowHeight="13.2" customHeight="1" zeroHeight="0" outlineLevelRow="0"/>
  <cols>
    <col width="1.66" customWidth="1" style="211" min="1" max="1"/>
    <col width="42.43" customWidth="1" style="211" min="2" max="2"/>
    <col width="33.55" customWidth="1" style="212" min="3" max="3"/>
    <col width="14.1" customWidth="1" style="213" min="4" max="11"/>
    <col width="1.66" customWidth="1" style="211" min="12" max="12"/>
    <col width="14.1" customWidth="1" style="213" min="13" max="18"/>
    <col width="11.32" customWidth="1" style="211" min="19" max="19"/>
    <col width="14.1" customWidth="1" style="211" min="20" max="20"/>
    <col width="18.33" customWidth="1" style="211" min="21" max="21"/>
    <col width="23.99" customWidth="1" style="211" min="22" max="22"/>
    <col width="24.1" customWidth="1" style="211" min="23" max="23"/>
    <col width="14.99" customWidth="1" style="211" min="24" max="24"/>
    <col width="15.99" customWidth="1" style="211" min="25" max="25"/>
    <col width="9.1" customWidth="1" style="211" min="26" max="34"/>
    <col width="11.43" customWidth="1" style="211" min="35" max="35"/>
    <col width="9.1" customWidth="1" style="211" min="36" max="257"/>
  </cols>
  <sheetData>
    <row r="1" ht="13.8" customHeight="1" s="176"/>
    <row r="2" ht="13.2" customHeight="1" s="176">
      <c r="B2" s="214" t="inlineStr">
        <is>
          <t>Invoice details - Base Charge</t>
        </is>
      </c>
      <c r="H2" s="213" t="n"/>
      <c r="I2" s="213" t="n"/>
      <c r="M2" s="213" t="n"/>
      <c r="N2" s="213" t="n"/>
    </row>
    <row r="3" ht="16.2" customHeight="1" s="176">
      <c r="B3" s="215" t="inlineStr">
        <is>
          <t>End User Computing - VendorAOrigin</t>
        </is>
      </c>
      <c r="C3" s="216" t="n"/>
      <c r="D3" s="217" t="n"/>
      <c r="E3" s="217" t="n"/>
      <c r="F3" s="217" t="n"/>
      <c r="H3" s="217" t="n"/>
      <c r="I3" s="217" t="n"/>
      <c r="J3" s="217" t="n"/>
      <c r="K3" s="217" t="n"/>
      <c r="M3" s="217" t="n"/>
      <c r="N3" s="217" t="n"/>
      <c r="O3" s="217" t="n"/>
      <c r="P3" s="217" t="n"/>
      <c r="Q3" s="217" t="n"/>
      <c r="R3" s="217" t="n"/>
    </row>
    <row r="4" ht="16.8" customHeight="1" s="176">
      <c r="B4" s="218" t="n"/>
      <c r="C4" s="216" t="n"/>
      <c r="D4" s="217" t="n"/>
      <c r="E4" s="217" t="n"/>
      <c r="F4" s="217" t="n"/>
      <c r="G4" s="217" t="n"/>
      <c r="H4" s="217" t="n"/>
      <c r="I4" s="217" t="n"/>
      <c r="J4" s="217" t="n"/>
      <c r="K4" s="217" t="n"/>
      <c r="M4" s="217" t="n"/>
      <c r="N4" s="217" t="n"/>
      <c r="O4" s="217" t="n"/>
      <c r="P4" s="217" t="n"/>
      <c r="Q4" s="217" t="n"/>
      <c r="R4" s="217" t="n"/>
    </row>
    <row r="5" ht="16.2" customHeight="1" s="176">
      <c r="B5" s="219" t="inlineStr">
        <is>
          <t xml:space="preserve">Medium Service Level </t>
        </is>
      </c>
      <c r="C5" s="216" t="n"/>
      <c r="D5" s="220" t="inlineStr">
        <is>
          <t>Period:</t>
        </is>
      </c>
      <c r="E5" s="188">
        <f>Period</f>
        <v/>
      </c>
      <c r="F5" s="217" t="n"/>
      <c r="G5" s="217" t="n"/>
      <c r="H5" s="217" t="n"/>
      <c r="I5" s="217" t="n"/>
      <c r="J5" s="217" t="n"/>
      <c r="K5" s="217" t="n"/>
      <c r="M5" s="217" t="n"/>
      <c r="N5" s="217" t="n"/>
      <c r="O5" s="217" t="n"/>
      <c r="P5" s="217" t="n"/>
      <c r="Q5" s="217" t="n"/>
      <c r="R5" s="217" t="n"/>
    </row>
    <row r="6" ht="16.8" customHeight="1" s="176">
      <c r="B6" s="218" t="n"/>
      <c r="C6" s="216" t="n"/>
      <c r="D6" s="217" t="n"/>
      <c r="E6" s="217" t="n"/>
      <c r="F6" s="217" t="n"/>
      <c r="G6" s="217" t="n"/>
      <c r="H6" s="217" t="n"/>
      <c r="I6" s="217" t="n"/>
      <c r="J6" s="217" t="n"/>
      <c r="K6" s="217" t="n"/>
      <c r="M6" s="217" t="n"/>
      <c r="N6" s="217" t="n"/>
      <c r="O6" s="217" t="n"/>
      <c r="P6" s="217" t="n"/>
      <c r="Q6" s="217" t="n"/>
      <c r="R6" s="217" t="n"/>
    </row>
    <row r="7" ht="53.25" customHeight="1" s="176">
      <c r="B7" s="190" t="inlineStr">
        <is>
          <t>Category of Service</t>
        </is>
      </c>
      <c r="C7" s="221" t="inlineStr">
        <is>
          <t>Units</t>
        </is>
      </c>
      <c r="D7" s="222" t="inlineStr">
        <is>
          <t>Baseline/Volume</t>
        </is>
      </c>
      <c r="E7" s="222" t="inlineStr">
        <is>
          <t>Actual Volume</t>
        </is>
      </c>
      <c r="F7" s="222" t="inlineStr">
        <is>
          <t>Add./Red. Resource</t>
        </is>
      </c>
      <c r="G7" s="222" t="inlineStr">
        <is>
          <t>Price/Unit</t>
        </is>
      </c>
      <c r="H7" s="222" t="inlineStr">
        <is>
          <t>Period Base Charge</t>
        </is>
      </c>
      <c r="I7" s="222" t="inlineStr">
        <is>
          <t>ARC/RRC Rate</t>
        </is>
      </c>
      <c r="J7" s="222" t="inlineStr">
        <is>
          <t>Period ARC/RRC Amount</t>
        </is>
      </c>
      <c r="K7" s="223" t="inlineStr">
        <is>
          <t>Period Resource Unit Charge</t>
        </is>
      </c>
      <c r="M7" s="224" t="inlineStr">
        <is>
          <t>YTD Base Charge</t>
        </is>
      </c>
      <c r="N7" s="222" t="inlineStr">
        <is>
          <t>Forecast EOY Base Charge</t>
        </is>
      </c>
      <c r="O7" s="222" t="inlineStr">
        <is>
          <t>YTD ARC/RRC Amount</t>
        </is>
      </c>
      <c r="P7" s="222" t="inlineStr">
        <is>
          <t>Forecast EOYARC/RRC Amount</t>
        </is>
      </c>
      <c r="Q7" s="222" t="inlineStr">
        <is>
          <t>YTD Resource Unit Charge</t>
        </is>
      </c>
      <c r="R7" s="223" t="inlineStr">
        <is>
          <t>Forecast EOY Resource Unit Charge</t>
        </is>
      </c>
    </row>
    <row r="8" ht="13.2" customHeight="1" s="176">
      <c r="B8" s="192" t="inlineStr">
        <is>
          <t>Standard Desktops (CEDS)</t>
        </is>
      </c>
      <c r="C8" s="192" t="inlineStr">
        <is>
          <t>Desktops per location code</t>
        </is>
      </c>
      <c r="D8" s="225" t="n"/>
      <c r="E8" s="225" t="n"/>
      <c r="F8" s="226">
        <f>D8-E8</f>
        <v/>
      </c>
      <c r="G8" s="225" t="n"/>
      <c r="H8" s="226">
        <f>D8*G8</f>
        <v/>
      </c>
      <c r="I8" s="225" t="n"/>
      <c r="J8" s="226">
        <f>F8*I8</f>
        <v/>
      </c>
      <c r="K8" s="227">
        <f>H8+J8</f>
        <v/>
      </c>
      <c r="M8" s="226" t="n"/>
      <c r="N8" s="226" t="n"/>
      <c r="O8" s="226" t="n"/>
      <c r="P8" s="226" t="n"/>
      <c r="Q8" s="226" t="n"/>
      <c r="R8" s="226" t="n"/>
    </row>
    <row r="9" ht="13.2" customHeight="1" s="176">
      <c r="B9" s="195" t="inlineStr">
        <is>
          <t>Non-Standard Desktops (non CEDS)</t>
        </is>
      </c>
      <c r="C9" s="195" t="inlineStr">
        <is>
          <t>Desktops per location code</t>
        </is>
      </c>
      <c r="D9" s="228" t="n"/>
      <c r="E9" s="228" t="n"/>
      <c r="F9" s="227">
        <f>D9-E9</f>
        <v/>
      </c>
      <c r="G9" s="228" t="n"/>
      <c r="H9" s="227">
        <f>D9*G9</f>
        <v/>
      </c>
      <c r="I9" s="228" t="n"/>
      <c r="J9" s="227">
        <f>F9*I9</f>
        <v/>
      </c>
      <c r="K9" s="227">
        <f>H9+J9</f>
        <v/>
      </c>
      <c r="M9" s="227" t="n"/>
      <c r="N9" s="227" t="n"/>
      <c r="O9" s="227" t="n"/>
      <c r="P9" s="227" t="n"/>
      <c r="Q9" s="227" t="n"/>
      <c r="R9" s="227" t="n"/>
    </row>
    <row r="10" ht="13.2" customHeight="1" s="176">
      <c r="B10" s="204" t="inlineStr">
        <is>
          <t>Standard Laptops (CEDS)</t>
        </is>
      </c>
      <c r="C10" s="204" t="inlineStr">
        <is>
          <t>Laptops per User</t>
        </is>
      </c>
      <c r="D10" s="229" t="n"/>
      <c r="E10" s="229" t="n"/>
      <c r="F10" s="229">
        <f>D10-E10</f>
        <v/>
      </c>
      <c r="G10" s="229" t="n"/>
      <c r="H10" s="229">
        <f>D10*G10</f>
        <v/>
      </c>
      <c r="I10" s="229" t="n"/>
      <c r="J10" s="229">
        <f>F10*I10</f>
        <v/>
      </c>
      <c r="K10" s="227">
        <f>H10+J10</f>
        <v/>
      </c>
      <c r="M10" s="229" t="n"/>
      <c r="N10" s="229" t="n"/>
      <c r="O10" s="229" t="n"/>
      <c r="P10" s="229" t="n"/>
      <c r="Q10" s="229" t="n"/>
      <c r="R10" s="229" t="n"/>
    </row>
    <row r="11" ht="13.2" customHeight="1" s="176">
      <c r="B11" s="195" t="inlineStr">
        <is>
          <t>Non-Standard Laptops (non CEDS)</t>
        </is>
      </c>
      <c r="C11" s="195" t="inlineStr">
        <is>
          <t>Laptops per User</t>
        </is>
      </c>
      <c r="D11" s="227" t="n"/>
      <c r="E11" s="227" t="n"/>
      <c r="F11" s="227">
        <f>D11-E11</f>
        <v/>
      </c>
      <c r="G11" s="227" t="n"/>
      <c r="H11" s="227">
        <f>D11*G11</f>
        <v/>
      </c>
      <c r="I11" s="227" t="n"/>
      <c r="J11" s="227">
        <f>F11*I11</f>
        <v/>
      </c>
      <c r="K11" s="227">
        <f>H11+J11</f>
        <v/>
      </c>
      <c r="M11" s="227" t="n"/>
      <c r="N11" s="227" t="n"/>
      <c r="O11" s="227" t="n"/>
      <c r="P11" s="227" t="n"/>
      <c r="Q11" s="227" t="n"/>
      <c r="R11" s="227" t="n"/>
    </row>
    <row r="12" ht="13.2" customHeight="1" s="176">
      <c r="B12" s="204" t="inlineStr">
        <is>
          <t>Standard Local Printers</t>
        </is>
      </c>
      <c r="C12" s="204" t="inlineStr">
        <is>
          <t>Desktops per location code</t>
        </is>
      </c>
      <c r="D12" s="229" t="n"/>
      <c r="E12" s="229" t="n"/>
      <c r="F12" s="229">
        <f>D12-E12</f>
        <v/>
      </c>
      <c r="G12" s="229" t="n"/>
      <c r="H12" s="229">
        <f>D12*G12</f>
        <v/>
      </c>
      <c r="I12" s="229" t="n"/>
      <c r="J12" s="229">
        <f>F12*I12</f>
        <v/>
      </c>
      <c r="K12" s="227">
        <f>H12+J12</f>
        <v/>
      </c>
      <c r="M12" s="229" t="n"/>
      <c r="N12" s="229" t="n"/>
      <c r="O12" s="229" t="n"/>
      <c r="P12" s="229" t="n"/>
      <c r="Q12" s="229" t="n"/>
      <c r="R12" s="229" t="n"/>
    </row>
    <row r="13" ht="13.2" customHeight="1" s="176">
      <c r="B13" s="195" t="inlineStr">
        <is>
          <t>Non-Standard Local Printers</t>
        </is>
      </c>
      <c r="C13" s="195" t="inlineStr">
        <is>
          <t>Desktops per location code</t>
        </is>
      </c>
      <c r="D13" s="227" t="n"/>
      <c r="E13" s="227" t="n"/>
      <c r="F13" s="227">
        <f>D13-E13</f>
        <v/>
      </c>
      <c r="G13" s="227" t="n"/>
      <c r="H13" s="227">
        <f>D13*G13</f>
        <v/>
      </c>
      <c r="I13" s="227" t="n"/>
      <c r="J13" s="227">
        <f>F13*I13</f>
        <v/>
      </c>
      <c r="K13" s="227">
        <f>H13+J13</f>
        <v/>
      </c>
      <c r="M13" s="227" t="n"/>
      <c r="N13" s="227" t="n"/>
      <c r="O13" s="227" t="n"/>
      <c r="P13" s="227" t="n"/>
      <c r="Q13" s="227" t="n"/>
      <c r="R13" s="227" t="n"/>
    </row>
    <row r="14" ht="13.2" customHeight="1" s="176">
      <c r="B14" s="204" t="inlineStr">
        <is>
          <t>Standard Network Printers</t>
        </is>
      </c>
      <c r="C14" s="204" t="inlineStr">
        <is>
          <t>Desktops per location code</t>
        </is>
      </c>
      <c r="D14" s="229" t="n"/>
      <c r="E14" s="229" t="n"/>
      <c r="F14" s="229">
        <f>D14-E14</f>
        <v/>
      </c>
      <c r="G14" s="229" t="n"/>
      <c r="H14" s="229">
        <f>D14*G14</f>
        <v/>
      </c>
      <c r="I14" s="229" t="n"/>
      <c r="J14" s="229">
        <f>F14*I14</f>
        <v/>
      </c>
      <c r="K14" s="227">
        <f>H14+J14</f>
        <v/>
      </c>
      <c r="M14" s="229" t="n"/>
      <c r="N14" s="229" t="n"/>
      <c r="O14" s="229" t="n"/>
      <c r="P14" s="229" t="n"/>
      <c r="Q14" s="229" t="n"/>
      <c r="R14" s="229" t="n"/>
    </row>
    <row r="15" ht="13.2" customHeight="1" s="176">
      <c r="B15" s="195" t="inlineStr">
        <is>
          <t>Non-Standard Network Printers</t>
        </is>
      </c>
      <c r="C15" s="195" t="inlineStr">
        <is>
          <t>Desktops per location code</t>
        </is>
      </c>
      <c r="D15" s="227" t="n"/>
      <c r="E15" s="227" t="n"/>
      <c r="F15" s="227">
        <f>D15-E15</f>
        <v/>
      </c>
      <c r="G15" s="227" t="n"/>
      <c r="H15" s="227">
        <f>D15*G15</f>
        <v/>
      </c>
      <c r="I15" s="227" t="n"/>
      <c r="J15" s="227">
        <f>F15*I15</f>
        <v/>
      </c>
      <c r="K15" s="227">
        <f>H15+J15</f>
        <v/>
      </c>
      <c r="M15" s="227" t="n"/>
      <c r="N15" s="227" t="n"/>
      <c r="O15" s="227" t="n"/>
      <c r="P15" s="227" t="n"/>
      <c r="Q15" s="227" t="n"/>
      <c r="R15" s="227" t="n"/>
    </row>
    <row r="16" ht="13.8" customHeight="1" s="176">
      <c r="B16" s="230" t="inlineStr">
        <is>
          <t>Other Peripherals</t>
        </is>
      </c>
      <c r="C16" s="230" t="inlineStr">
        <is>
          <t>Desktops per location code</t>
        </is>
      </c>
      <c r="D16" s="231" t="n"/>
      <c r="E16" s="231" t="n"/>
      <c r="F16" s="231">
        <f>D16-E16</f>
        <v/>
      </c>
      <c r="G16" s="231" t="n"/>
      <c r="H16" s="231">
        <f>D16*G16</f>
        <v/>
      </c>
      <c r="I16" s="231" t="n"/>
      <c r="J16" s="231">
        <f>F16*I16</f>
        <v/>
      </c>
      <c r="K16" s="232">
        <f>H16+J16</f>
        <v/>
      </c>
      <c r="M16" s="231" t="n"/>
      <c r="N16" s="231" t="n"/>
      <c r="O16" s="231" t="n"/>
      <c r="P16" s="231" t="n"/>
      <c r="Q16" s="231" t="n"/>
      <c r="R16" s="231" t="n"/>
    </row>
    <row r="17" ht="13.8" customHeight="1" s="176">
      <c r="B17" s="233" t="n"/>
      <c r="C17" s="234" t="inlineStr">
        <is>
          <t>Subtotal:</t>
        </is>
      </c>
      <c r="D17" s="235">
        <f>SUM(D8:D16)</f>
        <v/>
      </c>
      <c r="E17" s="235">
        <f>SUM(E8:E16)</f>
        <v/>
      </c>
      <c r="F17" s="235">
        <f>SUM(F8:F16)</f>
        <v/>
      </c>
      <c r="G17" s="235" t="n"/>
      <c r="H17" s="235">
        <f>SUM(H8:H16)</f>
        <v/>
      </c>
      <c r="I17" s="235" t="n"/>
      <c r="J17" s="235">
        <f>SUM(J8:J16)</f>
        <v/>
      </c>
      <c r="K17" s="236">
        <f>SUM(K8:K16)</f>
        <v/>
      </c>
      <c r="M17" s="235">
        <f>SUM(M8:M16)</f>
        <v/>
      </c>
      <c r="N17" s="235">
        <f>SUM(N8:N16)</f>
        <v/>
      </c>
      <c r="O17" s="235">
        <f>SUM(O8:O16)</f>
        <v/>
      </c>
      <c r="P17" s="235">
        <f>SUM(P8:P16)</f>
        <v/>
      </c>
      <c r="Q17" s="235">
        <f>SUM(Q8:Q16)</f>
        <v/>
      </c>
      <c r="R17" s="235">
        <f>SUM(R8:R16)</f>
        <v/>
      </c>
    </row>
    <row r="18" ht="16.2" customHeight="1" s="176">
      <c r="B18" s="237" t="n"/>
      <c r="C18" s="238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M18" s="239" t="n"/>
      <c r="N18" s="239" t="n"/>
      <c r="O18" s="239" t="n"/>
      <c r="P18" s="239" t="n"/>
      <c r="Q18" s="239" t="n"/>
      <c r="R18" s="239" t="n"/>
    </row>
    <row r="19" ht="16.2" customHeight="1" s="176">
      <c r="B19" s="190" t="inlineStr">
        <is>
          <t>Installations</t>
        </is>
      </c>
      <c r="C19" s="216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M19" s="240" t="n"/>
      <c r="N19" s="240" t="n"/>
      <c r="O19" s="240" t="n"/>
      <c r="P19" s="240" t="n"/>
      <c r="Q19" s="240" t="n"/>
      <c r="R19" s="240" t="n"/>
    </row>
    <row r="20" ht="16.2" customHeight="1" s="176">
      <c r="B20" s="237" t="n"/>
      <c r="C20" s="238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M20" s="239" t="n"/>
      <c r="N20" s="239" t="n"/>
      <c r="O20" s="239" t="n"/>
      <c r="P20" s="239" t="n"/>
      <c r="Q20" s="239" t="n"/>
      <c r="R20" s="239" t="n"/>
    </row>
    <row r="21" ht="53.25" customHeight="1" s="176">
      <c r="B21" s="190" t="inlineStr">
        <is>
          <t>Category of Service</t>
        </is>
      </c>
      <c r="C21" s="221" t="inlineStr">
        <is>
          <t>Units</t>
        </is>
      </c>
      <c r="D21" s="222" t="inlineStr">
        <is>
          <t>Baseline/Volume</t>
        </is>
      </c>
      <c r="E21" s="222" t="inlineStr">
        <is>
          <t>Actual Volume</t>
        </is>
      </c>
      <c r="F21" s="222" t="inlineStr">
        <is>
          <t>Add./Red. Resource</t>
        </is>
      </c>
      <c r="G21" s="222" t="inlineStr">
        <is>
          <t>Price/Unit</t>
        </is>
      </c>
      <c r="H21" s="222" t="inlineStr">
        <is>
          <t>Period Base Charge</t>
        </is>
      </c>
      <c r="I21" s="222" t="inlineStr">
        <is>
          <t>ARC/RRC Rate</t>
        </is>
      </c>
      <c r="J21" s="222" t="inlineStr">
        <is>
          <t>Period ARC/RRC Amount</t>
        </is>
      </c>
      <c r="K21" s="223" t="inlineStr">
        <is>
          <t>Period Resource Unit Charge</t>
        </is>
      </c>
      <c r="M21" s="224" t="inlineStr">
        <is>
          <t>YTD Base Charge</t>
        </is>
      </c>
      <c r="N21" s="222" t="inlineStr">
        <is>
          <t>Forecast EOY Base Charge</t>
        </is>
      </c>
      <c r="O21" s="222" t="inlineStr">
        <is>
          <t>YTD ARC/RRC Amount</t>
        </is>
      </c>
      <c r="P21" s="222" t="inlineStr">
        <is>
          <t>Forecast EOYARC/RRC Amount</t>
        </is>
      </c>
      <c r="Q21" s="222" t="inlineStr">
        <is>
          <t>YTD Resource Unit Charge</t>
        </is>
      </c>
      <c r="R21" s="222" t="inlineStr">
        <is>
          <t>Forecast EOY Resource Unit Charge</t>
        </is>
      </c>
    </row>
    <row r="22" ht="13.2" customHeight="1" s="176">
      <c r="B22" s="192" t="inlineStr">
        <is>
          <t>Moves</t>
        </is>
      </c>
      <c r="C22" s="192" t="inlineStr">
        <is>
          <t>Desktops per location code</t>
        </is>
      </c>
      <c r="D22" s="226" t="n"/>
      <c r="E22" s="226" t="n"/>
      <c r="F22" s="226">
        <f>D22-E22</f>
        <v/>
      </c>
      <c r="G22" s="226" t="n"/>
      <c r="H22" s="226">
        <f>D22*G22</f>
        <v/>
      </c>
      <c r="I22" s="226" t="n"/>
      <c r="J22" s="226">
        <f>F22*I22</f>
        <v/>
      </c>
      <c r="K22" s="227">
        <f>H22+J22</f>
        <v/>
      </c>
      <c r="M22" s="226" t="n"/>
      <c r="N22" s="226" t="n"/>
      <c r="O22" s="226" t="n"/>
      <c r="P22" s="226" t="n"/>
      <c r="Q22" s="226" t="n"/>
      <c r="R22" s="226" t="n"/>
    </row>
    <row r="23" ht="13.2" customHeight="1" s="176">
      <c r="B23" s="195" t="inlineStr">
        <is>
          <t>Adds</t>
        </is>
      </c>
      <c r="C23" s="195" t="inlineStr">
        <is>
          <t>Desktops per location code</t>
        </is>
      </c>
      <c r="D23" s="227" t="n"/>
      <c r="E23" s="227" t="n"/>
      <c r="F23" s="227">
        <f>D23-E23</f>
        <v/>
      </c>
      <c r="G23" s="227" t="n"/>
      <c r="H23" s="227">
        <f>D23*G23</f>
        <v/>
      </c>
      <c r="I23" s="227" t="n"/>
      <c r="J23" s="227">
        <f>F23*I23</f>
        <v/>
      </c>
      <c r="K23" s="227">
        <f>H23+J23</f>
        <v/>
      </c>
      <c r="M23" s="227" t="n"/>
      <c r="N23" s="227" t="n"/>
      <c r="O23" s="227" t="n"/>
      <c r="P23" s="227" t="n"/>
      <c r="Q23" s="227" t="n"/>
      <c r="R23" s="227" t="n"/>
    </row>
    <row r="24" ht="13.8" customHeight="1" s="176">
      <c r="B24" s="204" t="inlineStr">
        <is>
          <t>Changes</t>
        </is>
      </c>
      <c r="C24" s="204" t="inlineStr">
        <is>
          <t>Desktops per location code</t>
        </is>
      </c>
      <c r="D24" s="229" t="n"/>
      <c r="E24" s="229" t="n"/>
      <c r="F24" s="229">
        <f>D24-E24</f>
        <v/>
      </c>
      <c r="G24" s="229" t="n"/>
      <c r="H24" s="229">
        <f>D24*G24</f>
        <v/>
      </c>
      <c r="I24" s="229" t="n"/>
      <c r="J24" s="229">
        <f>F24*I24</f>
        <v/>
      </c>
      <c r="K24" s="227">
        <f>H24+J24</f>
        <v/>
      </c>
      <c r="M24" s="229" t="n"/>
      <c r="N24" s="229" t="n"/>
      <c r="O24" s="229" t="n"/>
      <c r="P24" s="229" t="n"/>
      <c r="Q24" s="229" t="n"/>
      <c r="R24" s="229" t="n"/>
    </row>
    <row r="25" ht="13.8" customHeight="1" s="176">
      <c r="B25" s="233" t="n"/>
      <c r="C25" s="234" t="inlineStr">
        <is>
          <t>Subtotal:</t>
        </is>
      </c>
      <c r="D25" s="235">
        <f>SUM(D22:D24)</f>
        <v/>
      </c>
      <c r="E25" s="235">
        <f>SUM(E22:E24)</f>
        <v/>
      </c>
      <c r="F25" s="235">
        <f>SUM(F22:F24)</f>
        <v/>
      </c>
      <c r="G25" s="235" t="n"/>
      <c r="H25" s="235">
        <f>SUM(H22:H24)</f>
        <v/>
      </c>
      <c r="I25" s="235" t="n"/>
      <c r="J25" s="235">
        <f>SUM(J22:J24)</f>
        <v/>
      </c>
      <c r="K25" s="236">
        <f>SUM(K22:K24)</f>
        <v/>
      </c>
      <c r="M25" s="235">
        <f>SUM(M22:M24)</f>
        <v/>
      </c>
      <c r="N25" s="235">
        <f>SUM(N22:N24)</f>
        <v/>
      </c>
      <c r="O25" s="235">
        <f>SUM(O22:O24)</f>
        <v/>
      </c>
      <c r="P25" s="235">
        <f>SUM(P22:P24)</f>
        <v/>
      </c>
      <c r="Q25" s="235">
        <f>SUM(Q22:Q24)</f>
        <v/>
      </c>
      <c r="R25" s="235">
        <f>SUM(R22:R24)</f>
        <v/>
      </c>
    </row>
    <row r="26" ht="16.2" customHeight="1" s="176">
      <c r="B26" s="237" t="n"/>
      <c r="C26" s="238" t="n"/>
      <c r="D26" s="239" t="n"/>
      <c r="E26" s="239" t="n"/>
      <c r="F26" s="239" t="n"/>
      <c r="G26" s="239" t="n"/>
      <c r="H26" s="239" t="n"/>
      <c r="I26" s="239" t="n"/>
      <c r="J26" s="239" t="n"/>
      <c r="K26" s="239" t="n"/>
      <c r="M26" s="239" t="n"/>
      <c r="N26" s="239" t="n"/>
      <c r="O26" s="239" t="n"/>
      <c r="P26" s="239" t="n"/>
      <c r="Q26" s="239" t="n"/>
      <c r="R26" s="239" t="n"/>
    </row>
    <row r="27" ht="16.2" customHeight="1" s="176">
      <c r="B27" s="190" t="inlineStr">
        <is>
          <t xml:space="preserve">Low Service Level </t>
        </is>
      </c>
      <c r="C27" s="216" t="n"/>
      <c r="D27" s="240" t="n"/>
      <c r="E27" s="240" t="n"/>
      <c r="F27" s="240" t="n"/>
      <c r="G27" s="240" t="n"/>
      <c r="H27" s="240" t="n"/>
      <c r="I27" s="240" t="n"/>
      <c r="J27" s="240" t="n"/>
      <c r="K27" s="240" t="n"/>
      <c r="M27" s="240" t="n"/>
      <c r="N27" s="240" t="n"/>
      <c r="O27" s="240" t="n"/>
      <c r="P27" s="240" t="n"/>
      <c r="Q27" s="240" t="n"/>
      <c r="R27" s="240" t="n"/>
    </row>
    <row r="28" ht="16.2" customHeight="1" s="176">
      <c r="B28" s="237" t="n"/>
      <c r="C28" s="238" t="n"/>
      <c r="D28" s="239" t="n"/>
      <c r="E28" s="239" t="n"/>
      <c r="F28" s="239" t="n"/>
      <c r="G28" s="239" t="n"/>
      <c r="H28" s="239" t="n"/>
      <c r="I28" s="239" t="n"/>
      <c r="J28" s="239" t="n"/>
      <c r="K28" s="239" t="n"/>
      <c r="M28" s="239" t="n"/>
      <c r="N28" s="239" t="n"/>
      <c r="O28" s="239" t="n"/>
      <c r="P28" s="239" t="n"/>
      <c r="Q28" s="239" t="n"/>
      <c r="R28" s="239" t="n"/>
    </row>
    <row r="29" ht="53.25" customHeight="1" s="176">
      <c r="B29" s="190" t="inlineStr">
        <is>
          <t>Category of Service</t>
        </is>
      </c>
      <c r="C29" s="221" t="inlineStr">
        <is>
          <t>Units</t>
        </is>
      </c>
      <c r="D29" s="222" t="inlineStr">
        <is>
          <t>Baseline/Volume</t>
        </is>
      </c>
      <c r="E29" s="222" t="inlineStr">
        <is>
          <t>Actual Volume</t>
        </is>
      </c>
      <c r="F29" s="222" t="inlineStr">
        <is>
          <t>Add./Red. Resource</t>
        </is>
      </c>
      <c r="G29" s="222" t="inlineStr">
        <is>
          <t>Price/Unit</t>
        </is>
      </c>
      <c r="H29" s="222" t="inlineStr">
        <is>
          <t>Period Base Charge</t>
        </is>
      </c>
      <c r="I29" s="222" t="inlineStr">
        <is>
          <t>ARC/RRC Rate</t>
        </is>
      </c>
      <c r="J29" s="222" t="inlineStr">
        <is>
          <t>Period ARC/RRC Amount</t>
        </is>
      </c>
      <c r="K29" s="223" t="inlineStr">
        <is>
          <t>Period Resource Unit Charge</t>
        </is>
      </c>
      <c r="M29" s="224" t="inlineStr">
        <is>
          <t>YTD Base Charge</t>
        </is>
      </c>
      <c r="N29" s="222" t="inlineStr">
        <is>
          <t>Forecast EOY Base Charge</t>
        </is>
      </c>
      <c r="O29" s="222" t="inlineStr">
        <is>
          <t>YTD ARC/RRC Amount</t>
        </is>
      </c>
      <c r="P29" s="222" t="inlineStr">
        <is>
          <t>Forecast EOYARC/RRC Amount</t>
        </is>
      </c>
      <c r="Q29" s="222" t="inlineStr">
        <is>
          <t>YTD Resource Unit Charge</t>
        </is>
      </c>
      <c r="R29" s="222" t="inlineStr">
        <is>
          <t>Forecast EOY Resource Unit Charge</t>
        </is>
      </c>
    </row>
    <row r="30" ht="13.2" customHeight="1" s="176">
      <c r="B30" s="192" t="inlineStr">
        <is>
          <t>Standard Desktops (CEDS)</t>
        </is>
      </c>
      <c r="C30" s="192" t="inlineStr">
        <is>
          <t>Desktops per location code</t>
        </is>
      </c>
      <c r="D30" s="226" t="n"/>
      <c r="E30" s="226" t="n"/>
      <c r="F30" s="226">
        <f>D30-E30</f>
        <v/>
      </c>
      <c r="G30" s="226" t="n"/>
      <c r="H30" s="226">
        <f>D30*G30</f>
        <v/>
      </c>
      <c r="I30" s="226" t="n"/>
      <c r="J30" s="226">
        <f>F30*I30</f>
        <v/>
      </c>
      <c r="K30" s="227">
        <f>H30+J30</f>
        <v/>
      </c>
      <c r="M30" s="226" t="n"/>
      <c r="N30" s="226" t="n"/>
      <c r="O30" s="226" t="n"/>
      <c r="P30" s="226" t="n"/>
      <c r="Q30" s="226" t="n"/>
      <c r="R30" s="226" t="n"/>
    </row>
    <row r="31" ht="13.2" customHeight="1" s="176">
      <c r="B31" s="195" t="inlineStr">
        <is>
          <t>Non-Standard Desktops (non CEDS)</t>
        </is>
      </c>
      <c r="C31" s="195" t="inlineStr">
        <is>
          <t>Desktops per location code</t>
        </is>
      </c>
      <c r="D31" s="227" t="n"/>
      <c r="E31" s="227" t="n"/>
      <c r="F31" s="227">
        <f>D31-E31</f>
        <v/>
      </c>
      <c r="G31" s="227" t="n"/>
      <c r="H31" s="227">
        <f>D31*G31</f>
        <v/>
      </c>
      <c r="I31" s="227" t="n"/>
      <c r="J31" s="227">
        <f>F31*I31</f>
        <v/>
      </c>
      <c r="K31" s="227">
        <f>H31+J31</f>
        <v/>
      </c>
      <c r="M31" s="227" t="n"/>
      <c r="N31" s="227" t="n"/>
      <c r="O31" s="227" t="n"/>
      <c r="P31" s="227" t="n"/>
      <c r="Q31" s="227" t="n"/>
      <c r="R31" s="227" t="n"/>
    </row>
    <row r="32" ht="13.2" customHeight="1" s="176">
      <c r="B32" s="204" t="inlineStr">
        <is>
          <t>Standard Laptops (CEDS)</t>
        </is>
      </c>
      <c r="C32" s="204" t="inlineStr">
        <is>
          <t>Laptops per User</t>
        </is>
      </c>
      <c r="D32" s="229" t="n"/>
      <c r="E32" s="229" t="n"/>
      <c r="F32" s="229">
        <f>D32-E32</f>
        <v/>
      </c>
      <c r="G32" s="229" t="n"/>
      <c r="H32" s="229">
        <f>D32*G32</f>
        <v/>
      </c>
      <c r="I32" s="229" t="n"/>
      <c r="J32" s="229">
        <f>F32*I32</f>
        <v/>
      </c>
      <c r="K32" s="227">
        <f>H32+J32</f>
        <v/>
      </c>
      <c r="M32" s="229" t="n"/>
      <c r="N32" s="229" t="n"/>
      <c r="O32" s="229" t="n"/>
      <c r="P32" s="229" t="n"/>
      <c r="Q32" s="229" t="n"/>
      <c r="R32" s="229" t="n"/>
    </row>
    <row r="33" ht="13.2" customHeight="1" s="176">
      <c r="B33" s="195" t="inlineStr">
        <is>
          <t>Non-Standard Laptops (non CEDS)</t>
        </is>
      </c>
      <c r="C33" s="195" t="inlineStr">
        <is>
          <t>Laptops per User</t>
        </is>
      </c>
      <c r="D33" s="227" t="n"/>
      <c r="E33" s="227" t="n"/>
      <c r="F33" s="227">
        <f>D33-E33</f>
        <v/>
      </c>
      <c r="G33" s="227" t="n"/>
      <c r="H33" s="227">
        <f>D33*G33</f>
        <v/>
      </c>
      <c r="I33" s="227" t="n"/>
      <c r="J33" s="227">
        <f>F33*I33</f>
        <v/>
      </c>
      <c r="K33" s="227">
        <f>H33+J33</f>
        <v/>
      </c>
      <c r="M33" s="227" t="n"/>
      <c r="N33" s="227" t="n"/>
      <c r="O33" s="227" t="n"/>
      <c r="P33" s="227" t="n"/>
      <c r="Q33" s="227" t="n"/>
      <c r="R33" s="227" t="n"/>
    </row>
    <row r="34" ht="13.2" customHeight="1" s="176">
      <c r="B34" s="204" t="inlineStr">
        <is>
          <t>Standard Local Printers</t>
        </is>
      </c>
      <c r="C34" s="204" t="inlineStr">
        <is>
          <t>Desktops per location code</t>
        </is>
      </c>
      <c r="D34" s="229" t="n"/>
      <c r="E34" s="229" t="n"/>
      <c r="F34" s="229">
        <f>D34-E34</f>
        <v/>
      </c>
      <c r="G34" s="229" t="n"/>
      <c r="H34" s="229">
        <f>D34*G34</f>
        <v/>
      </c>
      <c r="I34" s="229" t="n"/>
      <c r="J34" s="229">
        <f>F34*I34</f>
        <v/>
      </c>
      <c r="K34" s="227">
        <f>H34+J34</f>
        <v/>
      </c>
      <c r="M34" s="229" t="n"/>
      <c r="N34" s="229" t="n"/>
      <c r="O34" s="229" t="n"/>
      <c r="P34" s="229" t="n"/>
      <c r="Q34" s="229" t="n"/>
      <c r="R34" s="229" t="n"/>
    </row>
    <row r="35" ht="13.2" customHeight="1" s="176">
      <c r="B35" s="195" t="inlineStr">
        <is>
          <t>Non-Standard Local Printers</t>
        </is>
      </c>
      <c r="C35" s="195" t="inlineStr">
        <is>
          <t>Desktops per location code</t>
        </is>
      </c>
      <c r="D35" s="227" t="n"/>
      <c r="E35" s="227" t="n"/>
      <c r="F35" s="227">
        <f>D35-E35</f>
        <v/>
      </c>
      <c r="G35" s="227" t="n"/>
      <c r="H35" s="227">
        <f>D35*G35</f>
        <v/>
      </c>
      <c r="I35" s="227" t="n"/>
      <c r="J35" s="227">
        <f>F35*I35</f>
        <v/>
      </c>
      <c r="K35" s="227">
        <f>H35+J35</f>
        <v/>
      </c>
      <c r="M35" s="227" t="n"/>
      <c r="N35" s="227" t="n"/>
      <c r="O35" s="227" t="n"/>
      <c r="P35" s="227" t="n"/>
      <c r="Q35" s="227" t="n"/>
      <c r="R35" s="227" t="n"/>
    </row>
    <row r="36" ht="13.2" customHeight="1" s="176">
      <c r="B36" s="204" t="inlineStr">
        <is>
          <t>Standard Network Printers</t>
        </is>
      </c>
      <c r="C36" s="204" t="inlineStr">
        <is>
          <t>Desktops per location code</t>
        </is>
      </c>
      <c r="D36" s="229" t="n"/>
      <c r="E36" s="229" t="n"/>
      <c r="F36" s="229">
        <f>D36-E36</f>
        <v/>
      </c>
      <c r="G36" s="229" t="n"/>
      <c r="H36" s="229">
        <f>D36*G36</f>
        <v/>
      </c>
      <c r="I36" s="229" t="n"/>
      <c r="J36" s="229">
        <f>F36*I36</f>
        <v/>
      </c>
      <c r="K36" s="227">
        <f>H36+J36</f>
        <v/>
      </c>
      <c r="M36" s="229" t="n"/>
      <c r="N36" s="229" t="n"/>
      <c r="O36" s="229" t="n"/>
      <c r="P36" s="229" t="n"/>
      <c r="Q36" s="229" t="n"/>
      <c r="R36" s="229" t="n"/>
    </row>
    <row r="37" ht="13.2" customHeight="1" s="176">
      <c r="B37" s="195" t="inlineStr">
        <is>
          <t>Non-Standard Network Printers</t>
        </is>
      </c>
      <c r="C37" s="195" t="inlineStr">
        <is>
          <t>Desktops per location code</t>
        </is>
      </c>
      <c r="D37" s="227" t="n"/>
      <c r="E37" s="227" t="n"/>
      <c r="F37" s="227">
        <f>D37-E37</f>
        <v/>
      </c>
      <c r="G37" s="227" t="n"/>
      <c r="H37" s="227">
        <f>D37*G37</f>
        <v/>
      </c>
      <c r="I37" s="227" t="n"/>
      <c r="J37" s="227">
        <f>F37*I37</f>
        <v/>
      </c>
      <c r="K37" s="227">
        <f>H37+J37</f>
        <v/>
      </c>
      <c r="M37" s="227" t="n"/>
      <c r="N37" s="227" t="n"/>
      <c r="O37" s="227" t="n"/>
      <c r="P37" s="227" t="n"/>
      <c r="Q37" s="227" t="n"/>
      <c r="R37" s="227" t="n"/>
    </row>
    <row r="38" ht="13.8" customHeight="1" s="176">
      <c r="B38" s="230" t="inlineStr">
        <is>
          <t>Other Peripherals</t>
        </is>
      </c>
      <c r="C38" s="230" t="inlineStr">
        <is>
          <t>Desktops per location code</t>
        </is>
      </c>
      <c r="D38" s="231" t="n"/>
      <c r="E38" s="231" t="n"/>
      <c r="F38" s="231">
        <f>D38-E38</f>
        <v/>
      </c>
      <c r="G38" s="231" t="n"/>
      <c r="H38" s="231">
        <f>D38*G38</f>
        <v/>
      </c>
      <c r="I38" s="231" t="n"/>
      <c r="J38" s="231">
        <f>F38*I38</f>
        <v/>
      </c>
      <c r="K38" s="232">
        <f>H38+J38</f>
        <v/>
      </c>
      <c r="M38" s="231" t="n"/>
      <c r="N38" s="231" t="n"/>
      <c r="O38" s="231" t="n"/>
      <c r="P38" s="231" t="n"/>
      <c r="Q38" s="231" t="n"/>
      <c r="R38" s="231" t="n"/>
    </row>
    <row r="39" ht="13.8" customHeight="1" s="176">
      <c r="B39" s="233" t="n"/>
      <c r="C39" s="234" t="inlineStr">
        <is>
          <t>Subtotal:</t>
        </is>
      </c>
      <c r="D39" s="235">
        <f>SUM(D30:D38)</f>
        <v/>
      </c>
      <c r="E39" s="235">
        <f>SUM(E30:E38)</f>
        <v/>
      </c>
      <c r="F39" s="235">
        <f>SUM(F30:F38)</f>
        <v/>
      </c>
      <c r="G39" s="235" t="n"/>
      <c r="H39" s="235">
        <f>SUM(H30:H38)</f>
        <v/>
      </c>
      <c r="I39" s="235" t="n"/>
      <c r="J39" s="235">
        <f>SUM(J30:J38)</f>
        <v/>
      </c>
      <c r="K39" s="236">
        <f>SUM(K30:K38)</f>
        <v/>
      </c>
      <c r="M39" s="235">
        <f>SUM(M30:M38)</f>
        <v/>
      </c>
      <c r="N39" s="235">
        <f>SUM(N30:N38)</f>
        <v/>
      </c>
      <c r="O39" s="235">
        <f>SUM(O30:O38)</f>
        <v/>
      </c>
      <c r="P39" s="235">
        <f>SUM(P30:P38)</f>
        <v/>
      </c>
      <c r="Q39" s="235">
        <f>SUM(Q30:Q38)</f>
        <v/>
      </c>
      <c r="R39" s="235">
        <f>SUM(R30:R38)</f>
        <v/>
      </c>
    </row>
    <row r="40" ht="16.2" customHeight="1" s="176">
      <c r="B40" s="237" t="n"/>
      <c r="C40" s="238" t="n"/>
      <c r="D40" s="239" t="n"/>
      <c r="E40" s="239" t="n"/>
      <c r="F40" s="239" t="n"/>
      <c r="G40" s="239" t="n"/>
      <c r="H40" s="239" t="n"/>
      <c r="I40" s="239" t="n"/>
      <c r="J40" s="239" t="n"/>
      <c r="K40" s="239" t="n"/>
      <c r="M40" s="239" t="n"/>
      <c r="N40" s="239" t="n"/>
      <c r="O40" s="239" t="n"/>
      <c r="P40" s="239" t="n"/>
      <c r="Q40" s="239" t="n"/>
      <c r="R40" s="239" t="n"/>
    </row>
    <row r="41" ht="16.2" customHeight="1" s="176">
      <c r="B41" s="190" t="inlineStr">
        <is>
          <t>Installations</t>
        </is>
      </c>
      <c r="C41" s="216" t="n"/>
      <c r="D41" s="240" t="n"/>
      <c r="E41" s="240" t="n"/>
      <c r="F41" s="240" t="n"/>
      <c r="G41" s="240" t="n"/>
      <c r="H41" s="240" t="n"/>
      <c r="I41" s="240" t="n"/>
      <c r="J41" s="240" t="n"/>
      <c r="K41" s="240" t="n"/>
      <c r="M41" s="240" t="n"/>
      <c r="N41" s="240" t="n"/>
      <c r="O41" s="240" t="n"/>
      <c r="P41" s="240" t="n"/>
      <c r="Q41" s="240" t="n"/>
      <c r="R41" s="240" t="n"/>
    </row>
    <row r="42" ht="16.2" customHeight="1" s="176">
      <c r="B42" s="237" t="n"/>
      <c r="C42" s="238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M42" s="239" t="n"/>
      <c r="N42" s="239" t="n"/>
      <c r="O42" s="239" t="n"/>
      <c r="P42" s="239" t="n"/>
      <c r="Q42" s="239" t="n"/>
      <c r="R42" s="239" t="n"/>
    </row>
    <row r="43" ht="53.25" customHeight="1" s="176">
      <c r="B43" s="190" t="inlineStr">
        <is>
          <t>Category of Service</t>
        </is>
      </c>
      <c r="C43" s="221" t="inlineStr">
        <is>
          <t>Units</t>
        </is>
      </c>
      <c r="D43" s="222" t="inlineStr">
        <is>
          <t>Baseline/Volume</t>
        </is>
      </c>
      <c r="E43" s="222" t="inlineStr">
        <is>
          <t>Actual Volume</t>
        </is>
      </c>
      <c r="F43" s="222" t="inlineStr">
        <is>
          <t>Add./Red. Resource</t>
        </is>
      </c>
      <c r="G43" s="222" t="inlineStr">
        <is>
          <t>Price/Unit</t>
        </is>
      </c>
      <c r="H43" s="222" t="inlineStr">
        <is>
          <t>Period Base Charge</t>
        </is>
      </c>
      <c r="I43" s="222" t="inlineStr">
        <is>
          <t>ARC/RRC Rate</t>
        </is>
      </c>
      <c r="J43" s="222" t="inlineStr">
        <is>
          <t>Period ARC/RRC Amount</t>
        </is>
      </c>
      <c r="K43" s="223" t="inlineStr">
        <is>
          <t>Period Resource Unit Charge</t>
        </is>
      </c>
      <c r="M43" s="224" t="inlineStr">
        <is>
          <t>YTD Base Charge</t>
        </is>
      </c>
      <c r="N43" s="222" t="inlineStr">
        <is>
          <t>Forecast EOY Base Charge</t>
        </is>
      </c>
      <c r="O43" s="222" t="inlineStr">
        <is>
          <t>YTD ARC/RRC Amount</t>
        </is>
      </c>
      <c r="P43" s="222" t="inlineStr">
        <is>
          <t>Forecast EOYARC/RRC Amount</t>
        </is>
      </c>
      <c r="Q43" s="222" t="inlineStr">
        <is>
          <t>YTD Resource Unit Charge</t>
        </is>
      </c>
      <c r="R43" s="222" t="inlineStr">
        <is>
          <t>Forecast EOY Resource Unit Charge</t>
        </is>
      </c>
    </row>
    <row r="44" ht="13.2" customHeight="1" s="176">
      <c r="B44" s="204" t="inlineStr">
        <is>
          <t>Moves</t>
        </is>
      </c>
      <c r="C44" s="204" t="inlineStr">
        <is>
          <t>Desktops per location code</t>
        </is>
      </c>
      <c r="D44" s="229" t="n"/>
      <c r="E44" s="229" t="n"/>
      <c r="F44" s="229">
        <f>D44-E44</f>
        <v/>
      </c>
      <c r="G44" s="229" t="n"/>
      <c r="H44" s="229">
        <f>D44*G44</f>
        <v/>
      </c>
      <c r="I44" s="229" t="n"/>
      <c r="J44" s="229">
        <f>F44*I44</f>
        <v/>
      </c>
      <c r="K44" s="227">
        <f>H44+J44</f>
        <v/>
      </c>
      <c r="M44" s="229" t="n"/>
      <c r="N44" s="229" t="n"/>
      <c r="O44" s="229" t="n"/>
      <c r="P44" s="229" t="n"/>
      <c r="Q44" s="229" t="n"/>
      <c r="R44" s="229" t="n"/>
    </row>
    <row r="45" ht="13.2" customHeight="1" s="176">
      <c r="B45" s="195" t="inlineStr">
        <is>
          <t>Adds</t>
        </is>
      </c>
      <c r="C45" s="195" t="inlineStr">
        <is>
          <t>Desktops per location code</t>
        </is>
      </c>
      <c r="D45" s="227" t="n"/>
      <c r="E45" s="227" t="n"/>
      <c r="F45" s="227">
        <f>D45-E45</f>
        <v/>
      </c>
      <c r="G45" s="227" t="n"/>
      <c r="H45" s="227">
        <f>D45*G45</f>
        <v/>
      </c>
      <c r="I45" s="227" t="n"/>
      <c r="J45" s="227">
        <f>F45*I45</f>
        <v/>
      </c>
      <c r="K45" s="227">
        <f>H45+J45</f>
        <v/>
      </c>
      <c r="M45" s="227" t="n"/>
      <c r="N45" s="227" t="n"/>
      <c r="O45" s="227" t="n"/>
      <c r="P45" s="227" t="n"/>
      <c r="Q45" s="227" t="n"/>
      <c r="R45" s="227" t="n"/>
    </row>
    <row r="46" ht="13.8" customHeight="1" s="176">
      <c r="B46" s="230" t="inlineStr">
        <is>
          <t>Changes</t>
        </is>
      </c>
      <c r="C46" s="230" t="inlineStr">
        <is>
          <t>Desktops per location code</t>
        </is>
      </c>
      <c r="D46" s="231" t="n"/>
      <c r="E46" s="231" t="n"/>
      <c r="F46" s="231">
        <f>D46-E46</f>
        <v/>
      </c>
      <c r="G46" s="231" t="n"/>
      <c r="H46" s="231">
        <f>D46*G46</f>
        <v/>
      </c>
      <c r="I46" s="231" t="n"/>
      <c r="J46" s="231">
        <f>F46*I46</f>
        <v/>
      </c>
      <c r="K46" s="232">
        <f>H46+J46</f>
        <v/>
      </c>
      <c r="M46" s="231" t="n"/>
      <c r="N46" s="231" t="n"/>
      <c r="O46" s="231" t="n"/>
      <c r="P46" s="231" t="n"/>
      <c r="Q46" s="231" t="n"/>
      <c r="R46" s="231" t="n"/>
    </row>
    <row r="47" ht="13.8" customHeight="1" s="176">
      <c r="B47" s="233" t="n"/>
      <c r="C47" s="234" t="inlineStr">
        <is>
          <t>Subtotal:</t>
        </is>
      </c>
      <c r="D47" s="235">
        <f>SUM(D44:D46)</f>
        <v/>
      </c>
      <c r="E47" s="235">
        <f>SUM(E44:E46)</f>
        <v/>
      </c>
      <c r="F47" s="235">
        <f>SUM(F44:F46)</f>
        <v/>
      </c>
      <c r="G47" s="235" t="n"/>
      <c r="H47" s="235">
        <f>SUM(H44:H46)</f>
        <v/>
      </c>
      <c r="I47" s="235" t="n"/>
      <c r="J47" s="235">
        <f>SUM(J44:J46)</f>
        <v/>
      </c>
      <c r="K47" s="236">
        <f>SUM(K44:K46)</f>
        <v/>
      </c>
      <c r="M47" s="235">
        <f>SUM(M44:M46)</f>
        <v/>
      </c>
      <c r="N47" s="235">
        <f>SUM(N44:N46)</f>
        <v/>
      </c>
      <c r="O47" s="235">
        <f>SUM(O44:O46)</f>
        <v/>
      </c>
      <c r="P47" s="235">
        <f>SUM(P44:P46)</f>
        <v/>
      </c>
      <c r="Q47" s="235">
        <f>SUM(Q44:Q46)</f>
        <v/>
      </c>
      <c r="R47" s="235">
        <f>SUM(R44:R46)</f>
        <v/>
      </c>
    </row>
    <row r="48" ht="16.2" customHeight="1" s="176">
      <c r="B48" s="237" t="n"/>
      <c r="C48" s="238" t="n"/>
      <c r="D48" s="239" t="n"/>
      <c r="E48" s="239" t="n"/>
      <c r="F48" s="239" t="n"/>
      <c r="G48" s="239" t="n"/>
      <c r="H48" s="239" t="n"/>
      <c r="I48" s="239" t="n"/>
      <c r="J48" s="239" t="n"/>
      <c r="K48" s="239" t="n"/>
      <c r="M48" s="239" t="n"/>
      <c r="N48" s="239" t="n"/>
      <c r="O48" s="239" t="n"/>
      <c r="P48" s="239" t="n"/>
      <c r="Q48" s="239" t="n"/>
      <c r="R48" s="239" t="n"/>
    </row>
    <row r="49" ht="16.2" customHeight="1" s="176">
      <c r="B49" s="190" t="inlineStr">
        <is>
          <t>Packaging &amp; Distribution</t>
        </is>
      </c>
      <c r="C49" s="216" t="n"/>
      <c r="D49" s="240" t="n"/>
      <c r="E49" s="240" t="n"/>
      <c r="F49" s="240" t="n"/>
      <c r="G49" s="240" t="n"/>
      <c r="H49" s="240" t="n"/>
      <c r="I49" s="240" t="n"/>
      <c r="J49" s="240" t="n"/>
      <c r="K49" s="240" t="n"/>
      <c r="M49" s="240" t="n"/>
      <c r="N49" s="240" t="n"/>
      <c r="O49" s="240" t="n"/>
      <c r="P49" s="240" t="n"/>
      <c r="Q49" s="240" t="n"/>
      <c r="R49" s="240" t="n"/>
    </row>
    <row r="50" ht="16.2" customHeight="1" s="176">
      <c r="B50" s="237" t="n"/>
      <c r="C50" s="238" t="n"/>
      <c r="D50" s="239" t="n"/>
      <c r="E50" s="239" t="n"/>
      <c r="F50" s="239" t="n"/>
      <c r="G50" s="239" t="n"/>
      <c r="H50" s="239" t="n"/>
      <c r="I50" s="239" t="n"/>
      <c r="J50" s="239" t="n"/>
      <c r="K50" s="239" t="n"/>
      <c r="M50" s="239" t="n"/>
      <c r="N50" s="239" t="n"/>
      <c r="O50" s="239" t="n"/>
      <c r="P50" s="239" t="n"/>
      <c r="Q50" s="239" t="n"/>
      <c r="R50" s="239" t="n"/>
    </row>
    <row r="51" ht="53.25" customHeight="1" s="176">
      <c r="B51" s="190" t="inlineStr">
        <is>
          <t>Category of Service</t>
        </is>
      </c>
      <c r="C51" s="221" t="inlineStr">
        <is>
          <t>Units</t>
        </is>
      </c>
      <c r="D51" s="222" t="inlineStr">
        <is>
          <t>Baseline/Volume</t>
        </is>
      </c>
      <c r="E51" s="222" t="inlineStr">
        <is>
          <t>Actual Volume</t>
        </is>
      </c>
      <c r="F51" s="222" t="inlineStr">
        <is>
          <t>Add./Red. Resource</t>
        </is>
      </c>
      <c r="G51" s="222" t="inlineStr">
        <is>
          <t>Price/Unit</t>
        </is>
      </c>
      <c r="H51" s="222" t="inlineStr">
        <is>
          <t>Period Base Charge</t>
        </is>
      </c>
      <c r="I51" s="222" t="inlineStr">
        <is>
          <t>ARC/RRC Rate</t>
        </is>
      </c>
      <c r="J51" s="222" t="inlineStr">
        <is>
          <t>Period ARC/RRC Amount</t>
        </is>
      </c>
      <c r="K51" s="223" t="inlineStr">
        <is>
          <t>Period Resource Unit Charge</t>
        </is>
      </c>
      <c r="M51" s="224" t="inlineStr">
        <is>
          <t>YTD Base Charge</t>
        </is>
      </c>
      <c r="N51" s="222" t="inlineStr">
        <is>
          <t>Forecast EOY Base Charge</t>
        </is>
      </c>
      <c r="O51" s="222" t="inlineStr">
        <is>
          <t>YTD ARC/RRC Amount</t>
        </is>
      </c>
      <c r="P51" s="222" t="inlineStr">
        <is>
          <t>Forecast EOYARC/RRC Amount</t>
        </is>
      </c>
      <c r="Q51" s="222" t="inlineStr">
        <is>
          <t>YTD Resource Unit Charge</t>
        </is>
      </c>
      <c r="R51" s="222" t="inlineStr">
        <is>
          <t>Forecast EOY Resource Unit Charge</t>
        </is>
      </c>
    </row>
    <row r="52" ht="13.8" customHeight="1" s="176">
      <c r="B52" s="230" t="inlineStr">
        <is>
          <t>Packages Distributed per year</t>
        </is>
      </c>
      <c r="C52" s="230" t="inlineStr">
        <is>
          <t>Desktops per location code</t>
        </is>
      </c>
      <c r="D52" s="231" t="n"/>
      <c r="E52" s="231" t="n"/>
      <c r="F52" s="231">
        <f>D52-E52</f>
        <v/>
      </c>
      <c r="G52" s="231" t="n"/>
      <c r="H52" s="231">
        <f>D52*G52</f>
        <v/>
      </c>
      <c r="I52" s="231" t="n"/>
      <c r="J52" s="231">
        <f>F52*I52</f>
        <v/>
      </c>
      <c r="K52" s="232">
        <f>H52+J52</f>
        <v/>
      </c>
      <c r="M52" s="231" t="n"/>
      <c r="N52" s="231" t="n"/>
      <c r="O52" s="231" t="n"/>
      <c r="P52" s="231" t="n"/>
      <c r="Q52" s="231" t="n"/>
      <c r="R52" s="231" t="n"/>
    </row>
    <row r="53" ht="13.8" customHeight="1" s="176">
      <c r="B53" s="233" t="n"/>
      <c r="C53" s="234" t="inlineStr">
        <is>
          <t>Subtotal:</t>
        </is>
      </c>
      <c r="D53" s="235">
        <f>SUM(D52)</f>
        <v/>
      </c>
      <c r="E53" s="235">
        <f>SUM(E52)</f>
        <v/>
      </c>
      <c r="F53" s="235">
        <f>SUM(F52)</f>
        <v/>
      </c>
      <c r="G53" s="235" t="n"/>
      <c r="H53" s="235">
        <f>SUM(H52)</f>
        <v/>
      </c>
      <c r="I53" s="235" t="n"/>
      <c r="J53" s="235">
        <f>SUM(J52)</f>
        <v/>
      </c>
      <c r="K53" s="236">
        <f>SUM(K52)</f>
        <v/>
      </c>
      <c r="M53" s="235">
        <f>SUM(M52)</f>
        <v/>
      </c>
      <c r="N53" s="235">
        <f>SUM(N52)</f>
        <v/>
      </c>
      <c r="O53" s="235">
        <f>SUM(O52)</f>
        <v/>
      </c>
      <c r="P53" s="235">
        <f>SUM(P52)</f>
        <v/>
      </c>
      <c r="Q53" s="235">
        <f>SUM(Q52)</f>
        <v/>
      </c>
      <c r="R53" s="235">
        <f>SUM(R52)</f>
        <v/>
      </c>
    </row>
    <row r="54" ht="13.8" customHeight="1" s="176">
      <c r="B54" s="241" t="n"/>
      <c r="C54" s="242" t="n"/>
      <c r="D54" s="243" t="n"/>
      <c r="E54" s="243" t="n"/>
      <c r="F54" s="243" t="n"/>
      <c r="G54" s="243" t="n"/>
      <c r="H54" s="243" t="n"/>
      <c r="I54" s="243" t="n"/>
      <c r="J54" s="243" t="n"/>
      <c r="K54" s="244" t="n"/>
      <c r="M54" s="243" t="n"/>
      <c r="N54" s="243" t="n"/>
      <c r="O54" s="243" t="n"/>
      <c r="P54" s="243" t="n"/>
      <c r="Q54" s="243" t="n"/>
      <c r="R54" s="243" t="n"/>
    </row>
    <row r="55" ht="17.25" customHeight="1" s="176">
      <c r="B55" s="245" t="n"/>
      <c r="C55" s="246" t="inlineStr">
        <is>
          <t>Total End User Computing:</t>
        </is>
      </c>
      <c r="D55" s="247">
        <f>D17+D25+D39+D47+D53</f>
        <v/>
      </c>
      <c r="E55" s="247">
        <f>E17+E25+E39+E47+E53</f>
        <v/>
      </c>
      <c r="F55" s="247">
        <f>F17+F25+F39+F47+F53</f>
        <v/>
      </c>
      <c r="G55" s="247" t="n"/>
      <c r="H55" s="247">
        <f>H17+H25+H39+H47+H53</f>
        <v/>
      </c>
      <c r="I55" s="247" t="n"/>
      <c r="J55" s="247">
        <f>J17+J25+J39+J47+J53</f>
        <v/>
      </c>
      <c r="K55" s="248">
        <f>K17+K25+K39+K47+K53</f>
        <v/>
      </c>
      <c r="M55" s="247">
        <f>M17+M25+M39+M47+M53</f>
        <v/>
      </c>
      <c r="N55" s="247">
        <f>N17+N25+N39+N47+N53</f>
        <v/>
      </c>
      <c r="O55" s="247">
        <f>O17+O25+O39+O47+O53</f>
        <v/>
      </c>
      <c r="P55" s="247">
        <f>P17+P25+P39+P47+P53</f>
        <v/>
      </c>
      <c r="Q55" s="247">
        <f>Q17+Q25+Q39+Q47+Q53</f>
        <v/>
      </c>
      <c r="R55" s="247">
        <f>R17+R25+R39+R47+R53</f>
        <v/>
      </c>
    </row>
    <row r="56" ht="16.2" customHeight="1" s="176">
      <c r="B56" s="237" t="n"/>
      <c r="C56" s="238" t="n"/>
      <c r="D56" s="239" t="n"/>
      <c r="E56" s="239" t="n"/>
      <c r="F56" s="239" t="n"/>
      <c r="G56" s="239" t="n"/>
      <c r="H56" s="239" t="n"/>
      <c r="I56" s="239" t="n"/>
      <c r="J56" s="239" t="n"/>
      <c r="K56" s="239" t="n"/>
      <c r="M56" s="239" t="n"/>
      <c r="N56" s="239" t="n"/>
      <c r="O56" s="239" t="n"/>
      <c r="P56" s="239" t="n"/>
      <c r="Q56" s="239" t="n"/>
      <c r="R56" s="239" t="n"/>
    </row>
    <row r="57" ht="16.2" customHeight="1" s="176">
      <c r="B57" s="190" t="inlineStr">
        <is>
          <t>Service Desk - Vendor Gamma</t>
        </is>
      </c>
      <c r="C57" s="216" t="n"/>
      <c r="D57" s="240" t="n"/>
      <c r="E57" s="240" t="n"/>
      <c r="F57" s="240" t="n"/>
      <c r="G57" s="240" t="n"/>
      <c r="H57" s="240" t="n"/>
      <c r="I57" s="240" t="n"/>
      <c r="J57" s="240" t="n"/>
      <c r="K57" s="240" t="n"/>
      <c r="M57" s="240" t="n"/>
      <c r="N57" s="240" t="n"/>
      <c r="O57" s="240" t="n"/>
      <c r="P57" s="240" t="n"/>
      <c r="Q57" s="240" t="n"/>
      <c r="R57" s="240" t="n"/>
    </row>
    <row r="58" ht="16.2" customHeight="1" s="176">
      <c r="B58" s="237" t="n"/>
      <c r="C58" s="238" t="n"/>
      <c r="D58" s="239" t="n"/>
      <c r="E58" s="239" t="n"/>
      <c r="F58" s="239" t="n"/>
      <c r="G58" s="239" t="n"/>
      <c r="H58" s="239" t="n"/>
      <c r="I58" s="239" t="n"/>
      <c r="J58" s="239" t="n"/>
      <c r="K58" s="239" t="n"/>
      <c r="M58" s="239" t="n"/>
      <c r="N58" s="239" t="n"/>
      <c r="O58" s="239" t="n"/>
      <c r="P58" s="239" t="n"/>
      <c r="Q58" s="239" t="n"/>
      <c r="R58" s="239" t="n"/>
    </row>
    <row r="59" ht="53.25" customHeight="1" s="176">
      <c r="B59" s="190" t="inlineStr">
        <is>
          <t>Category of Service</t>
        </is>
      </c>
      <c r="C59" s="221" t="inlineStr">
        <is>
          <t>Units</t>
        </is>
      </c>
      <c r="D59" s="222" t="inlineStr">
        <is>
          <t>Baseline/Volume</t>
        </is>
      </c>
      <c r="E59" s="222" t="inlineStr">
        <is>
          <t>Actual Volume</t>
        </is>
      </c>
      <c r="F59" s="222" t="inlineStr">
        <is>
          <t>Add./Red. Resource</t>
        </is>
      </c>
      <c r="G59" s="222" t="inlineStr">
        <is>
          <t>Price/Unit</t>
        </is>
      </c>
      <c r="H59" s="222" t="inlineStr">
        <is>
          <t>Period Base Charge</t>
        </is>
      </c>
      <c r="I59" s="222" t="inlineStr">
        <is>
          <t>ARC/RRC Rate</t>
        </is>
      </c>
      <c r="J59" s="222" t="inlineStr">
        <is>
          <t>Period ARC/RRC Amount</t>
        </is>
      </c>
      <c r="K59" s="223" t="inlineStr">
        <is>
          <t>Period Resource Unit Charge</t>
        </is>
      </c>
      <c r="M59" s="224" t="inlineStr">
        <is>
          <t>YTD Base Charge</t>
        </is>
      </c>
      <c r="N59" s="222" t="inlineStr">
        <is>
          <t>Forecast EOY Base Charge</t>
        </is>
      </c>
      <c r="O59" s="222" t="inlineStr">
        <is>
          <t>YTD ARC/RRC Amount</t>
        </is>
      </c>
      <c r="P59" s="222" t="inlineStr">
        <is>
          <t>Forecast EOYARC/RRC Amount</t>
        </is>
      </c>
      <c r="Q59" s="222" t="inlineStr">
        <is>
          <t>YTD Resource Unit Charge</t>
        </is>
      </c>
      <c r="R59" s="222" t="inlineStr">
        <is>
          <t>Forecast EOY Resource Unit Charge</t>
        </is>
      </c>
    </row>
    <row r="60" ht="13.2" customHeight="1" s="176">
      <c r="B60" s="204" t="inlineStr">
        <is>
          <t>Seats Supported</t>
        </is>
      </c>
      <c r="C60" s="204" t="inlineStr">
        <is>
          <t>Physical users</t>
        </is>
      </c>
      <c r="D60" s="229" t="n"/>
      <c r="E60" s="229" t="n"/>
      <c r="F60" s="229">
        <f>D60-E60</f>
        <v/>
      </c>
      <c r="G60" s="229" t="n"/>
      <c r="H60" s="229">
        <f>D60*G60</f>
        <v/>
      </c>
      <c r="I60" s="229" t="n"/>
      <c r="J60" s="229">
        <f>F60*I60</f>
        <v/>
      </c>
      <c r="K60" s="227">
        <f>H60+J60</f>
        <v/>
      </c>
      <c r="M60" s="229" t="n"/>
      <c r="N60" s="229" t="n"/>
      <c r="O60" s="229" t="n"/>
      <c r="P60" s="229" t="n"/>
      <c r="Q60" s="229" t="n"/>
      <c r="R60" s="229" t="n"/>
    </row>
    <row r="61" ht="13.8" customHeight="1" s="176">
      <c r="B61" s="241" t="n"/>
      <c r="C61" s="242" t="n"/>
      <c r="D61" s="243" t="n"/>
      <c r="E61" s="243" t="n"/>
      <c r="F61" s="243" t="n"/>
      <c r="G61" s="243" t="n"/>
      <c r="H61" s="243" t="n"/>
      <c r="I61" s="243" t="n"/>
      <c r="J61" s="243" t="n"/>
      <c r="K61" s="244" t="n"/>
      <c r="M61" s="243" t="n"/>
      <c r="N61" s="243" t="n"/>
      <c r="O61" s="243" t="n"/>
      <c r="P61" s="243" t="n"/>
      <c r="Q61" s="243" t="n"/>
      <c r="R61" s="243" t="n"/>
    </row>
    <row r="62" ht="15.6" customHeight="1" s="176">
      <c r="B62" s="245" t="n"/>
      <c r="C62" s="246" t="inlineStr">
        <is>
          <t>Total Service Desk:</t>
        </is>
      </c>
      <c r="D62" s="247">
        <f>SUM(D60)</f>
        <v/>
      </c>
      <c r="E62" s="247">
        <f>SUM(E60)</f>
        <v/>
      </c>
      <c r="F62" s="247">
        <f>SUM(F60)</f>
        <v/>
      </c>
      <c r="G62" s="247" t="n"/>
      <c r="H62" s="247">
        <f>SUM(H60)</f>
        <v/>
      </c>
      <c r="I62" s="247" t="n"/>
      <c r="J62" s="247">
        <f>SUM(J60)</f>
        <v/>
      </c>
      <c r="K62" s="248">
        <f>SUM(K60)</f>
        <v/>
      </c>
      <c r="M62" s="247">
        <f>SUM(M60)</f>
        <v/>
      </c>
      <c r="N62" s="247">
        <f>SUM(N60)</f>
        <v/>
      </c>
      <c r="O62" s="247">
        <f>SUM(O60)</f>
        <v/>
      </c>
      <c r="P62" s="247">
        <f>SUM(P60)</f>
        <v/>
      </c>
      <c r="Q62" s="247">
        <f>SUM(Q60)</f>
        <v/>
      </c>
      <c r="R62" s="247">
        <f>SUM(R60)</f>
        <v/>
      </c>
    </row>
    <row r="63" ht="16.2" customHeight="1" s="176">
      <c r="B63" s="237" t="n"/>
      <c r="C63" s="238" t="n"/>
      <c r="D63" s="239" t="n"/>
      <c r="E63" s="239" t="n"/>
      <c r="F63" s="239" t="n"/>
      <c r="G63" s="239" t="n"/>
      <c r="H63" s="239" t="n"/>
      <c r="I63" s="239" t="n"/>
      <c r="J63" s="239" t="n"/>
      <c r="K63" s="239" t="n"/>
      <c r="M63" s="239" t="n"/>
      <c r="N63" s="239" t="n"/>
      <c r="O63" s="239" t="n"/>
      <c r="P63" s="239" t="n"/>
      <c r="Q63" s="239" t="n"/>
      <c r="R63" s="239" t="n"/>
    </row>
    <row r="64" ht="16.2" customHeight="1" s="176">
      <c r="B64" s="190" t="inlineStr">
        <is>
          <t>Lan Services - TelCo</t>
        </is>
      </c>
      <c r="C64" s="216" t="n"/>
      <c r="D64" s="240" t="n"/>
      <c r="E64" s="240" t="n"/>
      <c r="F64" s="240" t="n"/>
      <c r="G64" s="240" t="n"/>
      <c r="H64" s="240" t="n"/>
      <c r="I64" s="240" t="n"/>
      <c r="J64" s="240" t="n"/>
      <c r="K64" s="240" t="n"/>
      <c r="M64" s="240" t="n"/>
      <c r="N64" s="240" t="n"/>
      <c r="O64" s="240" t="n"/>
      <c r="P64" s="240" t="n"/>
      <c r="Q64" s="240" t="n"/>
      <c r="R64" s="240" t="n"/>
    </row>
    <row r="65" ht="16.2" customHeight="1" s="176">
      <c r="B65" s="237" t="n"/>
      <c r="C65" s="238" t="n"/>
      <c r="D65" s="239" t="n"/>
      <c r="E65" s="239" t="n"/>
      <c r="F65" s="239" t="n"/>
      <c r="G65" s="239" t="n"/>
      <c r="H65" s="239" t="n"/>
      <c r="I65" s="239" t="n"/>
      <c r="J65" s="239" t="n"/>
      <c r="K65" s="239" t="n"/>
      <c r="M65" s="239" t="n"/>
      <c r="N65" s="239" t="n"/>
      <c r="O65" s="239" t="n"/>
      <c r="P65" s="239" t="n"/>
      <c r="Q65" s="239" t="n"/>
      <c r="R65" s="239" t="n"/>
    </row>
    <row r="66" ht="53.25" customHeight="1" s="176">
      <c r="B66" s="190" t="inlineStr">
        <is>
          <t>Category of Service</t>
        </is>
      </c>
      <c r="C66" s="221" t="inlineStr">
        <is>
          <t>Units</t>
        </is>
      </c>
      <c r="D66" s="222" t="inlineStr">
        <is>
          <t>Baseline/Volume</t>
        </is>
      </c>
      <c r="E66" s="222" t="inlineStr">
        <is>
          <t>Actual Volume</t>
        </is>
      </c>
      <c r="F66" s="222" t="inlineStr">
        <is>
          <t>Add./Red. Resource</t>
        </is>
      </c>
      <c r="G66" s="222" t="inlineStr">
        <is>
          <t>Price/Unit</t>
        </is>
      </c>
      <c r="H66" s="222" t="inlineStr">
        <is>
          <t>Period Base Charge</t>
        </is>
      </c>
      <c r="I66" s="222" t="inlineStr">
        <is>
          <t>ARC/RRC Rate</t>
        </is>
      </c>
      <c r="J66" s="222" t="inlineStr">
        <is>
          <t>Period ARC/RRC Amount</t>
        </is>
      </c>
      <c r="K66" s="223" t="inlineStr">
        <is>
          <t>Period Resource Unit Charge</t>
        </is>
      </c>
      <c r="M66" s="224" t="inlineStr">
        <is>
          <t>YTD Base Charge</t>
        </is>
      </c>
      <c r="N66" s="222" t="inlineStr">
        <is>
          <t>Forecast EOY Base Charge</t>
        </is>
      </c>
      <c r="O66" s="222" t="inlineStr">
        <is>
          <t>YTD ARC/RRC Amount</t>
        </is>
      </c>
      <c r="P66" s="222" t="inlineStr">
        <is>
          <t>Forecast EOYARC/RRC Amount</t>
        </is>
      </c>
      <c r="Q66" s="222" t="inlineStr">
        <is>
          <t>YTD Resource Unit Charge</t>
        </is>
      </c>
      <c r="R66" s="222" t="inlineStr">
        <is>
          <t>Forecast EOY Resource Unit Charge</t>
        </is>
      </c>
    </row>
    <row r="67" ht="13.2" customHeight="1" s="176">
      <c r="B67" s="204" t="inlineStr">
        <is>
          <t>LAN-Attached Devices</t>
        </is>
      </c>
      <c r="C67" s="204" t="inlineStr">
        <is>
          <t>Active ports</t>
        </is>
      </c>
      <c r="D67" s="229" t="n"/>
      <c r="E67" s="229" t="n"/>
      <c r="F67" s="229">
        <f>D67-E67</f>
        <v/>
      </c>
      <c r="G67" s="229" t="n"/>
      <c r="H67" s="229">
        <f>D67*G67</f>
        <v/>
      </c>
      <c r="I67" s="229" t="n"/>
      <c r="J67" s="229">
        <f>F67*I67</f>
        <v/>
      </c>
      <c r="K67" s="227">
        <f>H67+J67</f>
        <v/>
      </c>
      <c r="M67" s="229" t="n"/>
      <c r="N67" s="229" t="n"/>
      <c r="O67" s="229" t="n"/>
      <c r="P67" s="229" t="n"/>
      <c r="Q67" s="229" t="n"/>
      <c r="R67" s="229" t="n"/>
    </row>
    <row r="68" ht="13.2" customHeight="1" s="176">
      <c r="B68" s="204" t="inlineStr">
        <is>
          <t>Monitoring LAN ports</t>
        </is>
      </c>
      <c r="C68" s="204" t="inlineStr">
        <is>
          <t>Active ports</t>
        </is>
      </c>
      <c r="D68" s="229" t="n"/>
      <c r="E68" s="229" t="n"/>
      <c r="F68" s="229">
        <f>D68-E68</f>
        <v/>
      </c>
      <c r="G68" s="229" t="n"/>
      <c r="H68" s="229">
        <f>D68*G68</f>
        <v/>
      </c>
      <c r="I68" s="229" t="n"/>
      <c r="J68" s="229">
        <f>F68*I68</f>
        <v/>
      </c>
      <c r="K68" s="227">
        <f>H68+J68</f>
        <v/>
      </c>
      <c r="M68" s="229" t="n"/>
      <c r="N68" s="229" t="n"/>
      <c r="O68" s="229" t="n"/>
      <c r="P68" s="229" t="n"/>
      <c r="Q68" s="229" t="n"/>
      <c r="R68" s="229" t="n"/>
    </row>
    <row r="69" ht="13.8" customHeight="1" s="176">
      <c r="B69" s="241" t="n"/>
      <c r="C69" s="242" t="n"/>
      <c r="D69" s="243" t="n"/>
      <c r="E69" s="243" t="n"/>
      <c r="F69" s="243" t="n"/>
      <c r="G69" s="243" t="n"/>
      <c r="H69" s="243" t="n"/>
      <c r="I69" s="243" t="n"/>
      <c r="J69" s="243" t="n"/>
      <c r="K69" s="244" t="n"/>
      <c r="M69" s="243" t="n"/>
      <c r="N69" s="243" t="n"/>
      <c r="O69" s="243" t="n"/>
      <c r="P69" s="243" t="n"/>
      <c r="Q69" s="243" t="n"/>
      <c r="R69" s="243" t="n"/>
    </row>
    <row r="70" ht="15.6" customHeight="1" s="176">
      <c r="B70" s="245" t="n"/>
      <c r="C70" s="246" t="inlineStr">
        <is>
          <t>Total LAN Services:</t>
        </is>
      </c>
      <c r="D70" s="247">
        <f>SUM(D67:D68)</f>
        <v/>
      </c>
      <c r="E70" s="247">
        <f>SUM(E67:E68)</f>
        <v/>
      </c>
      <c r="F70" s="247">
        <f>SUM(F67:F68)</f>
        <v/>
      </c>
      <c r="G70" s="247" t="n"/>
      <c r="H70" s="247">
        <f>SUM(H67:H68)</f>
        <v/>
      </c>
      <c r="I70" s="247" t="n"/>
      <c r="J70" s="247">
        <f>SUM(J67:J68)</f>
        <v/>
      </c>
      <c r="K70" s="247">
        <f>SUM(K67:K68)</f>
        <v/>
      </c>
      <c r="M70" s="247">
        <f>SUM(M67:M68)</f>
        <v/>
      </c>
      <c r="N70" s="247">
        <f>SUM(N67:N68)</f>
        <v/>
      </c>
      <c r="O70" s="247">
        <f>SUM(O67:O68)</f>
        <v/>
      </c>
      <c r="P70" s="247">
        <f>SUM(P67:P68)</f>
        <v/>
      </c>
      <c r="Q70" s="247">
        <f>SUM(Q67:Q68)</f>
        <v/>
      </c>
      <c r="R70" s="247">
        <f>SUM(R67:R68)</f>
        <v/>
      </c>
    </row>
    <row r="71" ht="16.2" customHeight="1" s="176">
      <c r="B71" s="237" t="n"/>
      <c r="C71" s="238" t="n"/>
      <c r="D71" s="239" t="n"/>
      <c r="E71" s="239" t="n"/>
      <c r="F71" s="239" t="n"/>
      <c r="G71" s="239" t="n"/>
      <c r="H71" s="239" t="n"/>
      <c r="I71" s="239" t="n"/>
      <c r="J71" s="239" t="n"/>
      <c r="K71" s="239" t="n"/>
      <c r="M71" s="239" t="n"/>
      <c r="N71" s="239" t="n"/>
      <c r="O71" s="239" t="n"/>
      <c r="P71" s="239" t="n"/>
      <c r="Q71" s="239" t="n"/>
      <c r="R71" s="239" t="n"/>
    </row>
    <row r="72" ht="16.2" customHeight="1" s="176">
      <c r="B72" s="190" t="inlineStr">
        <is>
          <t>Voice Services - TelCo</t>
        </is>
      </c>
      <c r="C72" s="216" t="n"/>
      <c r="D72" s="240" t="n"/>
      <c r="E72" s="240" t="n"/>
      <c r="F72" s="240" t="n"/>
      <c r="G72" s="240" t="n"/>
      <c r="H72" s="240" t="n"/>
      <c r="I72" s="240" t="n"/>
      <c r="J72" s="240" t="n"/>
      <c r="K72" s="240" t="n"/>
      <c r="M72" s="240" t="n"/>
      <c r="N72" s="240" t="n"/>
      <c r="O72" s="240" t="n"/>
      <c r="P72" s="240" t="n"/>
      <c r="Q72" s="240" t="n"/>
      <c r="R72" s="240" t="n"/>
    </row>
    <row r="73" ht="16.2" customHeight="1" s="176">
      <c r="B73" s="237" t="n"/>
      <c r="C73" s="238" t="n"/>
      <c r="D73" s="239" t="n"/>
      <c r="E73" s="239" t="n"/>
      <c r="F73" s="239" t="n"/>
      <c r="G73" s="239" t="n"/>
      <c r="H73" s="239" t="n"/>
      <c r="I73" s="239" t="n"/>
      <c r="J73" s="239" t="n"/>
      <c r="K73" s="239" t="n"/>
      <c r="M73" s="239" t="n"/>
      <c r="N73" s="239" t="n"/>
      <c r="O73" s="239" t="n"/>
      <c r="P73" s="239" t="n"/>
      <c r="Q73" s="239" t="n"/>
      <c r="R73" s="239" t="n"/>
    </row>
    <row r="74" ht="53.25" customHeight="1" s="176">
      <c r="B74" s="190" t="inlineStr">
        <is>
          <t>Category of Service</t>
        </is>
      </c>
      <c r="C74" s="221" t="inlineStr">
        <is>
          <t>Units</t>
        </is>
      </c>
      <c r="D74" s="222" t="inlineStr">
        <is>
          <t>Baseline/Volume</t>
        </is>
      </c>
      <c r="E74" s="222" t="inlineStr">
        <is>
          <t>Actual Volume</t>
        </is>
      </c>
      <c r="F74" s="222" t="inlineStr">
        <is>
          <t>Add./Red. Resource</t>
        </is>
      </c>
      <c r="G74" s="222" t="inlineStr">
        <is>
          <t>Price/Unit</t>
        </is>
      </c>
      <c r="H74" s="222" t="inlineStr">
        <is>
          <t>Period Base Charge</t>
        </is>
      </c>
      <c r="I74" s="222" t="inlineStr">
        <is>
          <t>ARC/RRC Rate</t>
        </is>
      </c>
      <c r="J74" s="222" t="inlineStr">
        <is>
          <t>Period ARC/RRC Amount</t>
        </is>
      </c>
      <c r="K74" s="223" t="inlineStr">
        <is>
          <t>Period Resource Unit Charge</t>
        </is>
      </c>
      <c r="M74" s="224" t="inlineStr">
        <is>
          <t>YTD Base Charge</t>
        </is>
      </c>
      <c r="N74" s="222" t="inlineStr">
        <is>
          <t>Forecast EOY Base Charge</t>
        </is>
      </c>
      <c r="O74" s="222" t="inlineStr">
        <is>
          <t>YTD ARC/RRC Amount</t>
        </is>
      </c>
      <c r="P74" s="222" t="inlineStr">
        <is>
          <t>Forecast EOYARC/RRC Amount</t>
        </is>
      </c>
      <c r="Q74" s="222" t="inlineStr">
        <is>
          <t>YTD Resource Unit Charge</t>
        </is>
      </c>
      <c r="R74" s="222" t="inlineStr">
        <is>
          <t>Forecast EOY Resource Unit Charge</t>
        </is>
      </c>
    </row>
    <row r="75" ht="13.2" customHeight="1" s="176">
      <c r="B75" s="192" t="inlineStr">
        <is>
          <t>Call Centers</t>
        </is>
      </c>
      <c r="C75" s="192" t="inlineStr">
        <is>
          <t>Seats</t>
        </is>
      </c>
      <c r="D75" s="226" t="n"/>
      <c r="E75" s="226" t="n"/>
      <c r="F75" s="226">
        <f>D75-E75</f>
        <v/>
      </c>
      <c r="G75" s="226" t="n"/>
      <c r="H75" s="226">
        <f>D75*G75</f>
        <v/>
      </c>
      <c r="I75" s="226" t="n"/>
      <c r="J75" s="226">
        <f>F75*I75</f>
        <v/>
      </c>
      <c r="K75" s="227">
        <f>H75+J75</f>
        <v/>
      </c>
      <c r="M75" s="226" t="n"/>
      <c r="N75" s="226" t="n"/>
      <c r="O75" s="226" t="n"/>
      <c r="P75" s="226" t="n"/>
      <c r="Q75" s="226" t="n"/>
      <c r="R75" s="226" t="n"/>
    </row>
    <row r="76" ht="13.2" customHeight="1" s="176">
      <c r="B76" s="195" t="inlineStr">
        <is>
          <t>Employee ISDN</t>
        </is>
      </c>
      <c r="C76" s="195" t="inlineStr">
        <is>
          <t>ISDN subscriptions</t>
        </is>
      </c>
      <c r="D76" s="227" t="n"/>
      <c r="E76" s="227" t="n"/>
      <c r="F76" s="227">
        <f>D76-E76</f>
        <v/>
      </c>
      <c r="G76" s="227" t="n"/>
      <c r="H76" s="227">
        <f>D76*G76</f>
        <v/>
      </c>
      <c r="I76" s="227" t="n"/>
      <c r="J76" s="227">
        <f>F76*I76</f>
        <v/>
      </c>
      <c r="K76" s="227">
        <f>H76+J76</f>
        <v/>
      </c>
      <c r="M76" s="227" t="n"/>
      <c r="N76" s="227" t="n"/>
      <c r="O76" s="227" t="n"/>
      <c r="P76" s="227" t="n"/>
      <c r="Q76" s="227" t="n"/>
      <c r="R76" s="227" t="n"/>
    </row>
    <row r="77" ht="13.2" customHeight="1" s="176">
      <c r="B77" s="195" t="inlineStr">
        <is>
          <t>Video conferencing</t>
        </is>
      </c>
      <c r="C77" s="195" t="inlineStr">
        <is>
          <t>Video conference rooms</t>
        </is>
      </c>
      <c r="D77" s="227" t="n"/>
      <c r="E77" s="227" t="n"/>
      <c r="F77" s="227">
        <f>D77-E77</f>
        <v/>
      </c>
      <c r="G77" s="227" t="n"/>
      <c r="H77" s="227">
        <f>D77*G77</f>
        <v/>
      </c>
      <c r="I77" s="227" t="n"/>
      <c r="J77" s="227">
        <f>F77*I77</f>
        <v/>
      </c>
      <c r="K77" s="227">
        <f>H77+J77</f>
        <v/>
      </c>
      <c r="M77" s="227" t="n"/>
      <c r="N77" s="227" t="n"/>
      <c r="O77" s="227" t="n"/>
      <c r="P77" s="227" t="n"/>
      <c r="Q77" s="227" t="n"/>
      <c r="R77" s="227" t="n"/>
    </row>
    <row r="78" ht="13.2" customHeight="1" s="176">
      <c r="B78" s="195" t="inlineStr">
        <is>
          <t>Handsets - Digital (incl. DECT)</t>
        </is>
      </c>
      <c r="C78" s="195" t="inlineStr">
        <is>
          <t>Sets</t>
        </is>
      </c>
      <c r="D78" s="227" t="n"/>
      <c r="E78" s="227" t="n"/>
      <c r="F78" s="227">
        <f>D78-E78</f>
        <v/>
      </c>
      <c r="G78" s="227" t="n"/>
      <c r="H78" s="227">
        <f>D78*G78</f>
        <v/>
      </c>
      <c r="I78" s="227" t="n"/>
      <c r="J78" s="227">
        <f>F78*I78</f>
        <v/>
      </c>
      <c r="K78" s="227">
        <f>H78+J78</f>
        <v/>
      </c>
      <c r="M78" s="227" t="n"/>
      <c r="N78" s="227" t="n"/>
      <c r="O78" s="227" t="n"/>
      <c r="P78" s="227" t="n"/>
      <c r="Q78" s="227" t="n"/>
      <c r="R78" s="227" t="n"/>
    </row>
    <row r="79" ht="13.2" customHeight="1" s="176">
      <c r="B79" s="204" t="inlineStr">
        <is>
          <t>Handsets - Analog</t>
        </is>
      </c>
      <c r="C79" s="204" t="inlineStr">
        <is>
          <t>Sets</t>
        </is>
      </c>
      <c r="D79" s="229" t="n"/>
      <c r="E79" s="229" t="n"/>
      <c r="F79" s="229">
        <f>D79-E79</f>
        <v/>
      </c>
      <c r="G79" s="229" t="n"/>
      <c r="H79" s="229">
        <f>D79*G79</f>
        <v/>
      </c>
      <c r="I79" s="229" t="n"/>
      <c r="J79" s="229">
        <f>F79*I79</f>
        <v/>
      </c>
      <c r="K79" s="227">
        <f>H79+J79</f>
        <v/>
      </c>
      <c r="M79" s="229" t="n"/>
      <c r="N79" s="229" t="n"/>
      <c r="O79" s="229" t="n"/>
      <c r="P79" s="229" t="n"/>
      <c r="Q79" s="229" t="n"/>
      <c r="R79" s="229" t="n"/>
    </row>
    <row r="80" ht="13.2" customHeight="1" s="176">
      <c r="B80" s="195" t="inlineStr">
        <is>
          <t>Cellular Phones management fee</t>
        </is>
      </c>
      <c r="C80" s="195" t="inlineStr">
        <is>
          <t>Subscriptions</t>
        </is>
      </c>
      <c r="D80" s="226" t="n"/>
      <c r="E80" s="226" t="n"/>
      <c r="F80" s="229">
        <f>D80-E80</f>
        <v/>
      </c>
      <c r="G80" s="229" t="n"/>
      <c r="H80" s="229">
        <f>D80*G80</f>
        <v/>
      </c>
      <c r="I80" s="229" t="n"/>
      <c r="J80" s="229">
        <f>F80*I80</f>
        <v/>
      </c>
      <c r="K80" s="227">
        <f>H80+J80</f>
        <v/>
      </c>
      <c r="M80" s="226" t="n"/>
      <c r="N80" s="226" t="n"/>
      <c r="O80" s="226" t="n"/>
      <c r="P80" s="226" t="n"/>
      <c r="Q80" s="226" t="n"/>
      <c r="R80" s="226" t="n"/>
    </row>
    <row r="81" ht="13.2" customHeight="1" s="176">
      <c r="B81" s="195" t="inlineStr">
        <is>
          <t>Cellular Phones subscription</t>
        </is>
      </c>
      <c r="C81" s="195" t="inlineStr">
        <is>
          <t>Subscriptions</t>
        </is>
      </c>
      <c r="D81" s="227" t="n"/>
      <c r="E81" s="227" t="n"/>
      <c r="F81" s="227">
        <f>D81-E81</f>
        <v/>
      </c>
      <c r="G81" s="227" t="n"/>
      <c r="H81" s="227">
        <f>D81*G81</f>
        <v/>
      </c>
      <c r="I81" s="227" t="n"/>
      <c r="J81" s="227">
        <f>F81*I81</f>
        <v/>
      </c>
      <c r="K81" s="227">
        <f>H81+J81</f>
        <v/>
      </c>
      <c r="M81" s="227" t="n"/>
      <c r="N81" s="227" t="n"/>
      <c r="O81" s="227" t="n"/>
      <c r="P81" s="227" t="n"/>
      <c r="Q81" s="227" t="n"/>
      <c r="R81" s="227" t="n"/>
    </row>
    <row r="82" ht="13.2" customHeight="1" s="176">
      <c r="B82" s="204" t="inlineStr">
        <is>
          <t>Cellular Phones refresh</t>
        </is>
      </c>
      <c r="C82" s="204" t="inlineStr">
        <is>
          <t>Devices</t>
        </is>
      </c>
      <c r="D82" s="229" t="n"/>
      <c r="E82" s="229" t="n"/>
      <c r="F82" s="229">
        <f>D82-E82</f>
        <v/>
      </c>
      <c r="G82" s="229" t="n"/>
      <c r="H82" s="229">
        <f>D82*G82</f>
        <v/>
      </c>
      <c r="I82" s="229" t="n"/>
      <c r="J82" s="229">
        <f>F82*I82</f>
        <v/>
      </c>
      <c r="K82" s="227">
        <f>H82+J82</f>
        <v/>
      </c>
      <c r="M82" s="229" t="n"/>
      <c r="N82" s="229" t="n"/>
      <c r="O82" s="229" t="n"/>
      <c r="P82" s="229" t="n"/>
      <c r="Q82" s="229" t="n"/>
      <c r="R82" s="229" t="n"/>
    </row>
    <row r="83" ht="13.2" customHeight="1" s="176">
      <c r="B83" s="195" t="inlineStr">
        <is>
          <t>GPRS/UMTS Cards or Devices management fee</t>
        </is>
      </c>
      <c r="C83" s="195" t="inlineStr">
        <is>
          <t>Subscriptions</t>
        </is>
      </c>
      <c r="D83" s="226" t="n"/>
      <c r="E83" s="226" t="n"/>
      <c r="F83" s="229">
        <f>D83-E83</f>
        <v/>
      </c>
      <c r="G83" s="229" t="n"/>
      <c r="H83" s="229">
        <f>D83*G83</f>
        <v/>
      </c>
      <c r="I83" s="229" t="n"/>
      <c r="J83" s="229">
        <f>F83*I83</f>
        <v/>
      </c>
      <c r="K83" s="227">
        <f>H83+J83</f>
        <v/>
      </c>
      <c r="M83" s="226" t="n"/>
      <c r="N83" s="226" t="n"/>
      <c r="O83" s="226" t="n"/>
      <c r="P83" s="226" t="n"/>
      <c r="Q83" s="226" t="n"/>
      <c r="R83" s="226" t="n"/>
    </row>
    <row r="84" ht="13.2" customHeight="1" s="176">
      <c r="B84" s="195" t="inlineStr">
        <is>
          <t>GPRS/UMTS Cards or Devices subscription</t>
        </is>
      </c>
      <c r="C84" s="195" t="inlineStr">
        <is>
          <t>Subscriptions</t>
        </is>
      </c>
      <c r="D84" s="227" t="n"/>
      <c r="E84" s="227" t="n"/>
      <c r="F84" s="227">
        <f>D84-E84</f>
        <v/>
      </c>
      <c r="G84" s="227" t="n"/>
      <c r="H84" s="227">
        <f>D84*G84</f>
        <v/>
      </c>
      <c r="I84" s="227" t="n"/>
      <c r="J84" s="227">
        <f>F84*I84</f>
        <v/>
      </c>
      <c r="K84" s="227">
        <f>H84+J84</f>
        <v/>
      </c>
      <c r="M84" s="227" t="n"/>
      <c r="N84" s="227" t="n"/>
      <c r="O84" s="227" t="n"/>
      <c r="P84" s="227" t="n"/>
      <c r="Q84" s="227" t="n"/>
      <c r="R84" s="227" t="n"/>
    </row>
    <row r="85" ht="13.2" customHeight="1" s="176">
      <c r="B85" s="204" t="inlineStr">
        <is>
          <t>GPRS/UMTS Cards or Devices refresh</t>
        </is>
      </c>
      <c r="C85" s="204" t="inlineStr">
        <is>
          <t>Devices</t>
        </is>
      </c>
      <c r="D85" s="229" t="n"/>
      <c r="E85" s="229" t="n"/>
      <c r="F85" s="229">
        <f>D85-E85</f>
        <v/>
      </c>
      <c r="G85" s="229" t="n"/>
      <c r="H85" s="229">
        <f>D85*G85</f>
        <v/>
      </c>
      <c r="I85" s="229" t="n"/>
      <c r="J85" s="229">
        <f>F85*I85</f>
        <v/>
      </c>
      <c r="K85" s="227">
        <f>H85+J85</f>
        <v/>
      </c>
      <c r="M85" s="229" t="n"/>
      <c r="N85" s="229" t="n"/>
      <c r="O85" s="229" t="n"/>
      <c r="P85" s="229" t="n"/>
      <c r="Q85" s="229" t="n"/>
      <c r="R85" s="229" t="n"/>
    </row>
    <row r="86" ht="13.2" customHeight="1" s="176">
      <c r="B86" s="195" t="inlineStr">
        <is>
          <t>Blackberries management fee</t>
        </is>
      </c>
      <c r="C86" s="195" t="inlineStr">
        <is>
          <t>Subscriptions</t>
        </is>
      </c>
      <c r="D86" s="226" t="n"/>
      <c r="E86" s="226" t="n"/>
      <c r="F86" s="229">
        <f>D86-E86</f>
        <v/>
      </c>
      <c r="G86" s="229" t="n"/>
      <c r="H86" s="229">
        <f>D86*G86</f>
        <v/>
      </c>
      <c r="I86" s="229" t="n"/>
      <c r="J86" s="229">
        <f>F86*I86</f>
        <v/>
      </c>
      <c r="K86" s="227">
        <f>H86+J86</f>
        <v/>
      </c>
      <c r="M86" s="226" t="n"/>
      <c r="N86" s="226" t="n"/>
      <c r="O86" s="226" t="n"/>
      <c r="P86" s="226" t="n"/>
      <c r="Q86" s="226" t="n"/>
      <c r="R86" s="226" t="n"/>
    </row>
    <row r="87" ht="13.2" customHeight="1" s="176">
      <c r="B87" s="195" t="inlineStr">
        <is>
          <t>Blackberries subscription (data)</t>
        </is>
      </c>
      <c r="C87" s="195" t="inlineStr">
        <is>
          <t>Subscriptions</t>
        </is>
      </c>
      <c r="D87" s="227" t="n"/>
      <c r="E87" s="227" t="n"/>
      <c r="F87" s="227">
        <f>D87-E87</f>
        <v/>
      </c>
      <c r="G87" s="227" t="n"/>
      <c r="H87" s="227">
        <f>D87*G87</f>
        <v/>
      </c>
      <c r="I87" s="227" t="n"/>
      <c r="J87" s="227">
        <f>F87*I87</f>
        <v/>
      </c>
      <c r="K87" s="227">
        <f>H87+J87</f>
        <v/>
      </c>
      <c r="M87" s="227" t="n"/>
      <c r="N87" s="227" t="n"/>
      <c r="O87" s="227" t="n"/>
      <c r="P87" s="227" t="n"/>
      <c r="Q87" s="227" t="n"/>
      <c r="R87" s="227" t="n"/>
    </row>
    <row r="88" ht="13.2" customHeight="1" s="176">
      <c r="B88" s="204" t="inlineStr">
        <is>
          <t>Blackberries refresh incl CAL licence</t>
        </is>
      </c>
      <c r="C88" s="204" t="inlineStr">
        <is>
          <t>Devices</t>
        </is>
      </c>
      <c r="D88" s="229" t="n"/>
      <c r="E88" s="229" t="n"/>
      <c r="F88" s="229">
        <f>D88-E88</f>
        <v/>
      </c>
      <c r="G88" s="229" t="n"/>
      <c r="H88" s="229">
        <f>D88*G88</f>
        <v/>
      </c>
      <c r="I88" s="229" t="n"/>
      <c r="J88" s="229">
        <f>F88*I88</f>
        <v/>
      </c>
      <c r="K88" s="227">
        <f>H88+J88</f>
        <v/>
      </c>
      <c r="M88" s="229" t="n"/>
      <c r="N88" s="229" t="n"/>
      <c r="O88" s="229" t="n"/>
      <c r="P88" s="229" t="n"/>
      <c r="Q88" s="229" t="n"/>
      <c r="R88" s="229" t="n"/>
    </row>
    <row r="89" ht="13.2" customHeight="1" s="176">
      <c r="B89" s="195" t="inlineStr">
        <is>
          <t>Internal Pagers management fee</t>
        </is>
      </c>
      <c r="C89" s="195" t="inlineStr">
        <is>
          <t>Devices</t>
        </is>
      </c>
      <c r="D89" s="226" t="n"/>
      <c r="E89" s="226" t="n"/>
      <c r="F89" s="229">
        <f>D89-E89</f>
        <v/>
      </c>
      <c r="G89" s="229" t="n"/>
      <c r="H89" s="229">
        <f>D89*G89</f>
        <v/>
      </c>
      <c r="I89" s="229" t="n"/>
      <c r="J89" s="229">
        <f>F89*I89</f>
        <v/>
      </c>
      <c r="K89" s="227">
        <f>H89+J89</f>
        <v/>
      </c>
      <c r="M89" s="226" t="n"/>
      <c r="N89" s="226" t="n"/>
      <c r="O89" s="226" t="n"/>
      <c r="P89" s="226" t="n"/>
      <c r="Q89" s="226" t="n"/>
      <c r="R89" s="226" t="n"/>
    </row>
    <row r="90" ht="13.2" customHeight="1" s="176">
      <c r="B90" s="195" t="inlineStr">
        <is>
          <t>Internal Pagers refresh</t>
        </is>
      </c>
      <c r="C90" s="195" t="inlineStr">
        <is>
          <t>Devices</t>
        </is>
      </c>
      <c r="D90" s="227" t="n"/>
      <c r="E90" s="227" t="n"/>
      <c r="F90" s="227">
        <f>D90-E90</f>
        <v/>
      </c>
      <c r="G90" s="227" t="n"/>
      <c r="H90" s="227">
        <f>D90*G90</f>
        <v/>
      </c>
      <c r="I90" s="227" t="n"/>
      <c r="J90" s="227">
        <f>F90*I90</f>
        <v/>
      </c>
      <c r="K90" s="227">
        <f>H90+J90</f>
        <v/>
      </c>
      <c r="M90" s="227" t="n"/>
      <c r="N90" s="227" t="n"/>
      <c r="O90" s="227" t="n"/>
      <c r="P90" s="227" t="n"/>
      <c r="Q90" s="227" t="n"/>
      <c r="R90" s="227" t="n"/>
    </row>
    <row r="91" ht="13.2" customHeight="1" s="176">
      <c r="B91" s="249" t="inlineStr">
        <is>
          <t>External Pagers management fee</t>
        </is>
      </c>
      <c r="C91" s="249" t="inlineStr">
        <is>
          <t>Devices</t>
        </is>
      </c>
      <c r="D91" s="232" t="n"/>
      <c r="E91" s="232" t="n"/>
      <c r="F91" s="229">
        <f>D91-E91</f>
        <v/>
      </c>
      <c r="G91" s="229" t="n"/>
      <c r="H91" s="229">
        <f>D91*G91</f>
        <v/>
      </c>
      <c r="I91" s="229" t="n"/>
      <c r="J91" s="229">
        <f>F91*I91</f>
        <v/>
      </c>
      <c r="K91" s="227">
        <f>H91+J91</f>
        <v/>
      </c>
      <c r="M91" s="232" t="n"/>
      <c r="N91" s="232" t="n"/>
      <c r="O91" s="232" t="n"/>
      <c r="P91" s="232" t="n"/>
      <c r="Q91" s="232" t="n"/>
      <c r="R91" s="232" t="n"/>
    </row>
    <row r="92" ht="13.8" customHeight="1" s="176">
      <c r="B92" s="230" t="inlineStr">
        <is>
          <t>External Pagers refresh</t>
        </is>
      </c>
      <c r="C92" s="230" t="inlineStr">
        <is>
          <t>Devices</t>
        </is>
      </c>
      <c r="D92" s="231" t="n"/>
      <c r="E92" s="231" t="n"/>
      <c r="F92" s="231">
        <f>D92-E92</f>
        <v/>
      </c>
      <c r="G92" s="231" t="n"/>
      <c r="H92" s="231">
        <f>D92*G92</f>
        <v/>
      </c>
      <c r="I92" s="231" t="n"/>
      <c r="J92" s="231">
        <f>F92*I92</f>
        <v/>
      </c>
      <c r="K92" s="232">
        <f>H92+J92</f>
        <v/>
      </c>
      <c r="M92" s="231" t="n"/>
      <c r="N92" s="231" t="n"/>
      <c r="O92" s="231" t="n"/>
      <c r="P92" s="231" t="n"/>
      <c r="Q92" s="231" t="n"/>
      <c r="R92" s="231" t="n"/>
    </row>
    <row r="93" ht="13.8" customHeight="1" s="176">
      <c r="B93" s="233" t="n"/>
      <c r="C93" s="234" t="inlineStr">
        <is>
          <t>Subtotal:</t>
        </is>
      </c>
      <c r="D93" s="235">
        <f>SUM(D75:D92)</f>
        <v/>
      </c>
      <c r="E93" s="235">
        <f>SUM(E75:E92)</f>
        <v/>
      </c>
      <c r="F93" s="235">
        <f>SUM(F75:F92)</f>
        <v/>
      </c>
      <c r="G93" s="235" t="n"/>
      <c r="H93" s="235">
        <f>SUM(H75:H92)</f>
        <v/>
      </c>
      <c r="I93" s="235" t="n"/>
      <c r="J93" s="235">
        <f>SUM(J75:J92)</f>
        <v/>
      </c>
      <c r="K93" s="236">
        <f>SUM(K75:K92)</f>
        <v/>
      </c>
      <c r="M93" s="235">
        <f>SUM(M75:M92)</f>
        <v/>
      </c>
      <c r="N93" s="235">
        <f>SUM(N75:N92)</f>
        <v/>
      </c>
      <c r="O93" s="235">
        <f>SUM(O75:O92)</f>
        <v/>
      </c>
      <c r="P93" s="235">
        <f>SUM(P75:P92)</f>
        <v/>
      </c>
      <c r="Q93" s="235">
        <f>SUM(Q75:Q92)</f>
        <v/>
      </c>
      <c r="R93" s="235">
        <f>SUM(R75:R92)</f>
        <v/>
      </c>
    </row>
    <row r="94" ht="16.2" customHeight="1" s="176">
      <c r="B94" s="237" t="n"/>
      <c r="C94" s="238" t="n"/>
      <c r="D94" s="239" t="n"/>
      <c r="E94" s="239" t="n"/>
      <c r="F94" s="239" t="n"/>
      <c r="G94" s="239" t="n"/>
      <c r="H94" s="239" t="n"/>
      <c r="I94" s="239" t="n"/>
      <c r="J94" s="239" t="n"/>
      <c r="K94" s="239" t="n"/>
      <c r="M94" s="239" t="n"/>
      <c r="N94" s="239" t="n"/>
      <c r="O94" s="239" t="n"/>
      <c r="P94" s="239" t="n"/>
      <c r="Q94" s="239" t="n"/>
      <c r="R94" s="239" t="n"/>
    </row>
    <row r="95" ht="16.2" customHeight="1" s="176">
      <c r="B95" s="190" t="inlineStr">
        <is>
          <t>Voice consumption</t>
        </is>
      </c>
      <c r="C95" s="216" t="n"/>
      <c r="D95" s="240" t="n"/>
      <c r="E95" s="240" t="n"/>
      <c r="F95" s="240" t="n"/>
      <c r="G95" s="240" t="n"/>
      <c r="H95" s="240" t="n"/>
      <c r="I95" s="240" t="n"/>
      <c r="J95" s="240" t="n"/>
      <c r="K95" s="240" t="n"/>
      <c r="M95" s="240" t="n"/>
      <c r="N95" s="240" t="n"/>
      <c r="O95" s="240" t="n"/>
      <c r="P95" s="240" t="n"/>
      <c r="Q95" s="240" t="n"/>
      <c r="R95" s="240" t="n"/>
    </row>
    <row r="96" ht="16.2" customHeight="1" s="176">
      <c r="B96" s="237" t="n"/>
      <c r="C96" s="238" t="n"/>
      <c r="D96" s="239" t="n"/>
      <c r="E96" s="239" t="n"/>
      <c r="F96" s="239" t="n"/>
      <c r="G96" s="239" t="n"/>
      <c r="H96" s="239" t="n"/>
      <c r="I96" s="239" t="n"/>
      <c r="J96" s="239" t="n"/>
      <c r="K96" s="239" t="n"/>
      <c r="M96" s="239" t="n"/>
      <c r="N96" s="239" t="n"/>
      <c r="O96" s="239" t="n"/>
      <c r="P96" s="239" t="n"/>
      <c r="Q96" s="239" t="n"/>
      <c r="R96" s="239" t="n"/>
    </row>
    <row r="97" ht="53.25" customHeight="1" s="176">
      <c r="B97" s="190" t="inlineStr">
        <is>
          <t>Category of Service</t>
        </is>
      </c>
      <c r="C97" s="221" t="inlineStr">
        <is>
          <t>Units</t>
        </is>
      </c>
      <c r="D97" s="222" t="inlineStr">
        <is>
          <t>Baseline/Volume</t>
        </is>
      </c>
      <c r="E97" s="222" t="inlineStr">
        <is>
          <t>Actual Volume</t>
        </is>
      </c>
      <c r="F97" s="222" t="inlineStr">
        <is>
          <t>Add./Red. Resource</t>
        </is>
      </c>
      <c r="G97" s="222" t="inlineStr">
        <is>
          <t>Price/Unit</t>
        </is>
      </c>
      <c r="H97" s="222" t="inlineStr">
        <is>
          <t>Period Base Charge</t>
        </is>
      </c>
      <c r="I97" s="222" t="inlineStr">
        <is>
          <t>ARC/RRC Rate</t>
        </is>
      </c>
      <c r="J97" s="222" t="inlineStr">
        <is>
          <t>Period ARC/RRC Amount</t>
        </is>
      </c>
      <c r="K97" s="223" t="inlineStr">
        <is>
          <t>Period Resource Unit Charge</t>
        </is>
      </c>
      <c r="M97" s="224" t="inlineStr">
        <is>
          <t>YTD Base Charge</t>
        </is>
      </c>
      <c r="N97" s="222" t="inlineStr">
        <is>
          <t>Forecast EOY Base Charge</t>
        </is>
      </c>
      <c r="O97" s="222" t="inlineStr">
        <is>
          <t>YTD ARC/RRC Amount</t>
        </is>
      </c>
      <c r="P97" s="222" t="inlineStr">
        <is>
          <t>Forecast EOYARC/RRC Amount</t>
        </is>
      </c>
      <c r="Q97" s="222" t="inlineStr">
        <is>
          <t>YTD Resource Unit Charge</t>
        </is>
      </c>
      <c r="R97" s="222" t="inlineStr">
        <is>
          <t>Forecast EOY Resource Unit Charge</t>
        </is>
      </c>
    </row>
    <row r="98" ht="13.2" customHeight="1" s="176">
      <c r="B98" s="192" t="inlineStr">
        <is>
          <t>Domestic Outbound Calls - Local</t>
        </is>
      </c>
      <c r="C98" s="192" t="inlineStr">
        <is>
          <t>Minutes</t>
        </is>
      </c>
      <c r="D98" s="226" t="n"/>
      <c r="E98" s="226" t="n"/>
      <c r="F98" s="226">
        <f>D98-E98</f>
        <v/>
      </c>
      <c r="G98" s="226" t="n"/>
      <c r="H98" s="226">
        <f>D98*G98</f>
        <v/>
      </c>
      <c r="I98" s="226" t="n"/>
      <c r="J98" s="226">
        <f>F98*I98</f>
        <v/>
      </c>
      <c r="K98" s="227">
        <f>H98+J98</f>
        <v/>
      </c>
      <c r="M98" s="226" t="n"/>
      <c r="N98" s="226" t="n"/>
      <c r="O98" s="226" t="n"/>
      <c r="P98" s="226" t="n"/>
      <c r="Q98" s="226" t="n"/>
      <c r="R98" s="226" t="n"/>
    </row>
    <row r="99" ht="13.2" customHeight="1" s="176">
      <c r="B99" s="195" t="inlineStr">
        <is>
          <t>Domestic Outbound Calls - Long Distance</t>
        </is>
      </c>
      <c r="C99" s="195" t="inlineStr">
        <is>
          <t>Minutes</t>
        </is>
      </c>
      <c r="D99" s="227" t="n"/>
      <c r="E99" s="227" t="n"/>
      <c r="F99" s="227">
        <f>D99-E99</f>
        <v/>
      </c>
      <c r="G99" s="227" t="n"/>
      <c r="H99" s="227">
        <f>D99*G99</f>
        <v/>
      </c>
      <c r="I99" s="227" t="n"/>
      <c r="J99" s="227">
        <f>F99*I99</f>
        <v/>
      </c>
      <c r="K99" s="227">
        <f>H99+J99</f>
        <v/>
      </c>
      <c r="M99" s="227" t="n"/>
      <c r="N99" s="227" t="n"/>
      <c r="O99" s="227" t="n"/>
      <c r="P99" s="227" t="n"/>
      <c r="Q99" s="227" t="n"/>
      <c r="R99" s="227" t="n"/>
    </row>
    <row r="100" ht="13.2" customHeight="1" s="176">
      <c r="B100" s="204" t="inlineStr">
        <is>
          <t>Domestic Outbound Calls - Cellular</t>
        </is>
      </c>
      <c r="C100" s="204" t="inlineStr">
        <is>
          <t>Minutes</t>
        </is>
      </c>
      <c r="D100" s="229" t="n"/>
      <c r="E100" s="229" t="n"/>
      <c r="F100" s="229">
        <f>D100-E100</f>
        <v/>
      </c>
      <c r="G100" s="229" t="n"/>
      <c r="H100" s="229">
        <f>D100*G100</f>
        <v/>
      </c>
      <c r="I100" s="229" t="n"/>
      <c r="J100" s="229">
        <f>F100*I100</f>
        <v/>
      </c>
      <c r="K100" s="227">
        <f>H100+J100</f>
        <v/>
      </c>
      <c r="M100" s="229" t="n"/>
      <c r="N100" s="229" t="n"/>
      <c r="O100" s="229" t="n"/>
      <c r="P100" s="229" t="n"/>
      <c r="Q100" s="229" t="n"/>
      <c r="R100" s="229" t="n"/>
    </row>
    <row r="101" ht="13.2" customHeight="1" s="176">
      <c r="B101" s="195" t="inlineStr">
        <is>
          <t>International Outbound Calls</t>
        </is>
      </c>
      <c r="C101" s="195" t="inlineStr">
        <is>
          <t>Minutes</t>
        </is>
      </c>
      <c r="D101" s="227" t="n"/>
      <c r="E101" s="227" t="n"/>
      <c r="F101" s="227">
        <f>D101-E101</f>
        <v/>
      </c>
      <c r="G101" s="227" t="n"/>
      <c r="H101" s="227">
        <f>D101*G101</f>
        <v/>
      </c>
      <c r="I101" s="227" t="n"/>
      <c r="J101" s="227">
        <f>F101*I101</f>
        <v/>
      </c>
      <c r="K101" s="227">
        <f>H101+J101</f>
        <v/>
      </c>
      <c r="M101" s="227" t="n"/>
      <c r="N101" s="227" t="n"/>
      <c r="O101" s="227" t="n"/>
      <c r="P101" s="227" t="n"/>
      <c r="Q101" s="227" t="n"/>
      <c r="R101" s="227" t="n"/>
    </row>
    <row r="102" ht="13.2" customHeight="1" s="176">
      <c r="B102" s="192" t="inlineStr">
        <is>
          <t>Mobile - national</t>
        </is>
      </c>
      <c r="C102" s="192" t="inlineStr">
        <is>
          <t>Minutes</t>
        </is>
      </c>
      <c r="D102" s="226" t="n"/>
      <c r="E102" s="226" t="n"/>
      <c r="F102" s="226">
        <f>D102-E102</f>
        <v/>
      </c>
      <c r="G102" s="226" t="n"/>
      <c r="H102" s="226">
        <f>D102*G102</f>
        <v/>
      </c>
      <c r="I102" s="226" t="n"/>
      <c r="J102" s="226">
        <f>F102*I102</f>
        <v/>
      </c>
      <c r="K102" s="227">
        <f>H102+J102</f>
        <v/>
      </c>
      <c r="M102" s="226" t="n"/>
      <c r="N102" s="226" t="n"/>
      <c r="O102" s="226" t="n"/>
      <c r="P102" s="226" t="n"/>
      <c r="Q102" s="226" t="n"/>
      <c r="R102" s="226" t="n"/>
    </row>
    <row r="103" ht="13.2" customHeight="1" s="176">
      <c r="B103" s="195" t="inlineStr">
        <is>
          <t>Mobile - international</t>
        </is>
      </c>
      <c r="C103" s="195" t="inlineStr">
        <is>
          <t>Minutes</t>
        </is>
      </c>
      <c r="D103" s="227" t="n"/>
      <c r="E103" s="227" t="n"/>
      <c r="F103" s="227">
        <f>D103-E103</f>
        <v/>
      </c>
      <c r="G103" s="227" t="n"/>
      <c r="H103" s="227">
        <f>D103*G103</f>
        <v/>
      </c>
      <c r="I103" s="227" t="n"/>
      <c r="J103" s="227">
        <f>F103*I103</f>
        <v/>
      </c>
      <c r="K103" s="227">
        <f>H103+J103</f>
        <v/>
      </c>
      <c r="M103" s="227" t="n"/>
      <c r="N103" s="227" t="n"/>
      <c r="O103" s="227" t="n"/>
      <c r="P103" s="227" t="n"/>
      <c r="Q103" s="227" t="n"/>
      <c r="R103" s="227" t="n"/>
    </row>
    <row r="104" ht="13.2" customHeight="1" s="176">
      <c r="B104" s="204" t="inlineStr">
        <is>
          <t>Mobile - roaming outbound</t>
        </is>
      </c>
      <c r="C104" s="204" t="inlineStr">
        <is>
          <t>Minutes</t>
        </is>
      </c>
      <c r="D104" s="229" t="n"/>
      <c r="E104" s="229" t="n"/>
      <c r="F104" s="229">
        <f>D104-E104</f>
        <v/>
      </c>
      <c r="G104" s="229" t="n"/>
      <c r="H104" s="229">
        <f>D104*G104</f>
        <v/>
      </c>
      <c r="I104" s="229" t="n"/>
      <c r="J104" s="229">
        <f>F104*I104</f>
        <v/>
      </c>
      <c r="K104" s="227">
        <f>H104+J104</f>
        <v/>
      </c>
      <c r="M104" s="229" t="n"/>
      <c r="N104" s="229" t="n"/>
      <c r="O104" s="229" t="n"/>
      <c r="P104" s="229" t="n"/>
      <c r="Q104" s="229" t="n"/>
      <c r="R104" s="229" t="n"/>
    </row>
    <row r="105" ht="13.2" customHeight="1" s="176">
      <c r="B105" s="195" t="inlineStr">
        <is>
          <t>Mobile - roaming inbound</t>
        </is>
      </c>
      <c r="C105" s="195" t="inlineStr">
        <is>
          <t>Minutes</t>
        </is>
      </c>
      <c r="D105" s="227" t="n"/>
      <c r="E105" s="227" t="n"/>
      <c r="F105" s="227">
        <f>D105-E105</f>
        <v/>
      </c>
      <c r="G105" s="227" t="n"/>
      <c r="H105" s="227">
        <f>D105*G105</f>
        <v/>
      </c>
      <c r="I105" s="227" t="n"/>
      <c r="J105" s="227">
        <f>F105*I105</f>
        <v/>
      </c>
      <c r="K105" s="227">
        <f>H105+J105</f>
        <v/>
      </c>
      <c r="M105" s="227" t="n"/>
      <c r="N105" s="227" t="n"/>
      <c r="O105" s="227" t="n"/>
      <c r="P105" s="227" t="n"/>
      <c r="Q105" s="227" t="n"/>
      <c r="R105" s="227" t="n"/>
    </row>
    <row r="106" ht="13.2" customHeight="1" s="176">
      <c r="B106" s="204" t="inlineStr">
        <is>
          <t>Free phone Service Calls</t>
        </is>
      </c>
      <c r="C106" s="204" t="inlineStr">
        <is>
          <t>Calls</t>
        </is>
      </c>
      <c r="D106" s="229" t="n"/>
      <c r="E106" s="229" t="n"/>
      <c r="F106" s="229">
        <f>D106-E106</f>
        <v/>
      </c>
      <c r="G106" s="229" t="n"/>
      <c r="H106" s="229">
        <f>D106*G106</f>
        <v/>
      </c>
      <c r="I106" s="229" t="n"/>
      <c r="J106" s="229">
        <f>F106*I106</f>
        <v/>
      </c>
      <c r="K106" s="227">
        <f>H106+J106</f>
        <v/>
      </c>
      <c r="M106" s="229" t="n"/>
      <c r="N106" s="229" t="n"/>
      <c r="O106" s="229" t="n"/>
      <c r="P106" s="229" t="n"/>
      <c r="Q106" s="229" t="n"/>
      <c r="R106" s="229" t="n"/>
    </row>
    <row r="107" ht="13.2" customHeight="1" s="176">
      <c r="B107" s="195" t="inlineStr">
        <is>
          <t>Free phone Services Dedicated per min.</t>
        </is>
      </c>
      <c r="C107" s="195" t="inlineStr">
        <is>
          <t>Minutes</t>
        </is>
      </c>
      <c r="D107" s="227" t="n"/>
      <c r="E107" s="227" t="n"/>
      <c r="F107" s="227">
        <f>D107-E107</f>
        <v/>
      </c>
      <c r="G107" s="227" t="n"/>
      <c r="H107" s="227">
        <f>D107*G107</f>
        <v/>
      </c>
      <c r="I107" s="227" t="n"/>
      <c r="J107" s="227">
        <f>F107*I107</f>
        <v/>
      </c>
      <c r="K107" s="227">
        <f>H107+J107</f>
        <v/>
      </c>
      <c r="M107" s="227" t="n"/>
      <c r="N107" s="227" t="n"/>
      <c r="O107" s="227" t="n"/>
      <c r="P107" s="227" t="n"/>
      <c r="Q107" s="227" t="n"/>
      <c r="R107" s="227" t="n"/>
    </row>
    <row r="108" ht="13.2" customHeight="1" s="176">
      <c r="B108" s="204" t="inlineStr">
        <is>
          <t>High Tariff Outbound Calls (0900)</t>
        </is>
      </c>
      <c r="C108" s="204" t="inlineStr">
        <is>
          <t>Minutes</t>
        </is>
      </c>
      <c r="D108" s="229" t="n"/>
      <c r="E108" s="229" t="n"/>
      <c r="F108" s="229">
        <f>D108-E108</f>
        <v/>
      </c>
      <c r="G108" s="229" t="n"/>
      <c r="H108" s="229">
        <f>D108*G108</f>
        <v/>
      </c>
      <c r="I108" s="229" t="n"/>
      <c r="J108" s="229">
        <f>F108*I108</f>
        <v/>
      </c>
      <c r="K108" s="227">
        <f>H108+J108</f>
        <v/>
      </c>
      <c r="M108" s="229" t="n"/>
      <c r="N108" s="229" t="n"/>
      <c r="O108" s="229" t="n"/>
      <c r="P108" s="229" t="n"/>
      <c r="Q108" s="229" t="n"/>
      <c r="R108" s="229" t="n"/>
    </row>
    <row r="109" ht="13.2" customHeight="1" s="176">
      <c r="B109" s="195" t="inlineStr">
        <is>
          <t>High Tariff Outbound Calls (0676 internet)</t>
        </is>
      </c>
      <c r="C109" s="195" t="inlineStr">
        <is>
          <t>Minutes</t>
        </is>
      </c>
      <c r="D109" s="227" t="n"/>
      <c r="E109" s="227" t="n"/>
      <c r="F109" s="227">
        <f>D109-E109</f>
        <v/>
      </c>
      <c r="G109" s="227" t="n"/>
      <c r="H109" s="227">
        <f>D109*G109</f>
        <v/>
      </c>
      <c r="I109" s="227" t="n"/>
      <c r="J109" s="227">
        <f>F109*I109</f>
        <v/>
      </c>
      <c r="K109" s="227">
        <f>H109+J109</f>
        <v/>
      </c>
      <c r="M109" s="227" t="n"/>
      <c r="N109" s="227" t="n"/>
      <c r="O109" s="227" t="n"/>
      <c r="P109" s="227" t="n"/>
      <c r="Q109" s="227" t="n"/>
      <c r="R109" s="227" t="n"/>
    </row>
    <row r="110" ht="13.2" customHeight="1" s="176">
      <c r="B110" s="204" t="inlineStr">
        <is>
          <t>High Tariff Outbound Calls  Other</t>
        </is>
      </c>
      <c r="C110" s="204" t="inlineStr">
        <is>
          <t>Minutes</t>
        </is>
      </c>
      <c r="D110" s="229" t="n"/>
      <c r="E110" s="229" t="n"/>
      <c r="F110" s="229">
        <f>D110-E110</f>
        <v/>
      </c>
      <c r="G110" s="229" t="n"/>
      <c r="H110" s="229">
        <f>D110*G110</f>
        <v/>
      </c>
      <c r="I110" s="229" t="n"/>
      <c r="J110" s="229">
        <f>F110*I110</f>
        <v/>
      </c>
      <c r="K110" s="227">
        <f>H110+J110</f>
        <v/>
      </c>
      <c r="M110" s="229" t="n"/>
      <c r="N110" s="229" t="n"/>
      <c r="O110" s="229" t="n"/>
      <c r="P110" s="229" t="n"/>
      <c r="Q110" s="229" t="n"/>
      <c r="R110" s="229" t="n"/>
    </row>
    <row r="111" ht="13.2" customHeight="1" s="176">
      <c r="B111" s="195" t="inlineStr">
        <is>
          <t>Voice - Directory Assistance Calls per call</t>
        </is>
      </c>
      <c r="C111" s="195" t="inlineStr">
        <is>
          <t>Calls</t>
        </is>
      </c>
      <c r="D111" s="227" t="n"/>
      <c r="E111" s="227" t="n"/>
      <c r="F111" s="227">
        <f>D111-E111</f>
        <v/>
      </c>
      <c r="G111" s="227" t="n"/>
      <c r="H111" s="227">
        <f>D111*G111</f>
        <v/>
      </c>
      <c r="I111" s="227" t="n"/>
      <c r="J111" s="227">
        <f>F111*I111</f>
        <v/>
      </c>
      <c r="K111" s="227">
        <f>H111+J111</f>
        <v/>
      </c>
      <c r="M111" s="227" t="n"/>
      <c r="N111" s="227" t="n"/>
      <c r="O111" s="227" t="n"/>
      <c r="P111" s="227" t="n"/>
      <c r="Q111" s="227" t="n"/>
      <c r="R111" s="227" t="n"/>
    </row>
    <row r="112" ht="13.8" customHeight="1" s="176">
      <c r="B112" s="230" t="inlineStr">
        <is>
          <t>Voice - IMACS</t>
        </is>
      </c>
      <c r="C112" s="230" t="inlineStr">
        <is>
          <t>IMACS</t>
        </is>
      </c>
      <c r="D112" s="231" t="n"/>
      <c r="E112" s="231" t="n"/>
      <c r="F112" s="231">
        <f>D112-E112</f>
        <v/>
      </c>
      <c r="G112" s="231" t="n"/>
      <c r="H112" s="231">
        <f>D112*G112</f>
        <v/>
      </c>
      <c r="I112" s="231" t="n"/>
      <c r="J112" s="231">
        <f>F112*I112</f>
        <v/>
      </c>
      <c r="K112" s="232">
        <f>H112+J112</f>
        <v/>
      </c>
      <c r="M112" s="231" t="n"/>
      <c r="N112" s="231" t="n"/>
      <c r="O112" s="231" t="n"/>
      <c r="P112" s="231" t="n"/>
      <c r="Q112" s="231" t="n"/>
      <c r="R112" s="231" t="n"/>
    </row>
    <row r="113" ht="13.8" customHeight="1" s="176">
      <c r="B113" s="233" t="n"/>
      <c r="C113" s="234" t="inlineStr">
        <is>
          <t>Subtotal:</t>
        </is>
      </c>
      <c r="D113" s="235">
        <f>SUM(D98:D112)</f>
        <v/>
      </c>
      <c r="E113" s="235">
        <f>SUM(E98:E112)</f>
        <v/>
      </c>
      <c r="F113" s="235">
        <f>SUM(F98:F112)</f>
        <v/>
      </c>
      <c r="G113" s="235" t="n"/>
      <c r="H113" s="235">
        <f>SUM(H98:H112)</f>
        <v/>
      </c>
      <c r="I113" s="235" t="n"/>
      <c r="J113" s="235">
        <f>SUM(J98:J112)</f>
        <v/>
      </c>
      <c r="K113" s="236">
        <f>SUM(K98:K112)</f>
        <v/>
      </c>
      <c r="M113" s="235">
        <f>SUM(M98:M112)</f>
        <v/>
      </c>
      <c r="N113" s="235">
        <f>SUM(N98:N112)</f>
        <v/>
      </c>
      <c r="O113" s="235">
        <f>SUM(O98:O112)</f>
        <v/>
      </c>
      <c r="P113" s="235">
        <f>SUM(P98:P112)</f>
        <v/>
      </c>
      <c r="Q113" s="235">
        <f>SUM(Q98:Q112)</f>
        <v/>
      </c>
      <c r="R113" s="235">
        <f>SUM(R98:R112)</f>
        <v/>
      </c>
    </row>
    <row r="114" ht="16.2" customHeight="1" s="176">
      <c r="B114" s="237" t="n"/>
      <c r="C114" s="238" t="n"/>
      <c r="D114" s="239" t="n"/>
      <c r="E114" s="239" t="n"/>
      <c r="F114" s="239" t="n"/>
      <c r="G114" s="239" t="n"/>
      <c r="H114" s="239" t="n"/>
      <c r="I114" s="239" t="n"/>
      <c r="J114" s="239" t="n"/>
      <c r="K114" s="239" t="n"/>
      <c r="M114" s="239" t="n"/>
      <c r="N114" s="239" t="n"/>
      <c r="O114" s="239" t="n"/>
      <c r="P114" s="239" t="n"/>
      <c r="Q114" s="239" t="n"/>
      <c r="R114" s="239" t="n"/>
    </row>
    <row r="115" ht="16.2" customHeight="1" s="176">
      <c r="B115" s="190" t="inlineStr">
        <is>
          <t>Voice subscriptions</t>
        </is>
      </c>
      <c r="C115" s="216" t="n"/>
      <c r="D115" s="240" t="n"/>
      <c r="E115" s="240" t="n"/>
      <c r="F115" s="240" t="n"/>
      <c r="G115" s="240" t="n"/>
      <c r="H115" s="240" t="n"/>
      <c r="I115" s="240" t="n"/>
      <c r="J115" s="240" t="n"/>
      <c r="K115" s="240" t="n"/>
      <c r="M115" s="240" t="n"/>
      <c r="N115" s="240" t="n"/>
      <c r="O115" s="240" t="n"/>
      <c r="P115" s="240" t="n"/>
      <c r="Q115" s="240" t="n"/>
      <c r="R115" s="240" t="n"/>
    </row>
    <row r="116" ht="16.2" customHeight="1" s="176">
      <c r="B116" s="237" t="n"/>
      <c r="C116" s="238" t="n"/>
      <c r="D116" s="239" t="n"/>
      <c r="E116" s="239" t="n"/>
      <c r="F116" s="239" t="n"/>
      <c r="G116" s="239" t="n"/>
      <c r="H116" s="239" t="n"/>
      <c r="I116" s="239" t="n"/>
      <c r="J116" s="239" t="n"/>
      <c r="K116" s="239" t="n"/>
      <c r="M116" s="239" t="n"/>
      <c r="N116" s="239" t="n"/>
      <c r="O116" s="239" t="n"/>
      <c r="P116" s="239" t="n"/>
      <c r="Q116" s="239" t="n"/>
      <c r="R116" s="239" t="n"/>
    </row>
    <row r="117" ht="53.25" customHeight="1" s="176">
      <c r="B117" s="190" t="inlineStr">
        <is>
          <t>Category of Service</t>
        </is>
      </c>
      <c r="C117" s="221" t="inlineStr">
        <is>
          <t>Units</t>
        </is>
      </c>
      <c r="D117" s="222" t="inlineStr">
        <is>
          <t>Baseline/Volume</t>
        </is>
      </c>
      <c r="E117" s="222" t="inlineStr">
        <is>
          <t>Actual Volume</t>
        </is>
      </c>
      <c r="F117" s="222" t="inlineStr">
        <is>
          <t>Add./Red. Resource</t>
        </is>
      </c>
      <c r="G117" s="222" t="inlineStr">
        <is>
          <t>Price/Unit</t>
        </is>
      </c>
      <c r="H117" s="222" t="inlineStr">
        <is>
          <t>Period Base Charge</t>
        </is>
      </c>
      <c r="I117" s="222" t="inlineStr">
        <is>
          <t>ARC/RRC Rate</t>
        </is>
      </c>
      <c r="J117" s="222" t="inlineStr">
        <is>
          <t>Period ARC/RRC Amount</t>
        </is>
      </c>
      <c r="K117" s="223" t="inlineStr">
        <is>
          <t>Period Resource Unit Charge</t>
        </is>
      </c>
      <c r="M117" s="224" t="inlineStr">
        <is>
          <t>YTD Base Charge</t>
        </is>
      </c>
      <c r="N117" s="222" t="inlineStr">
        <is>
          <t>Forecast EOY Base Charge</t>
        </is>
      </c>
      <c r="O117" s="222" t="inlineStr">
        <is>
          <t>YTD ARC/RRC Amount</t>
        </is>
      </c>
      <c r="P117" s="222" t="inlineStr">
        <is>
          <t>Forecast EOYARC/RRC Amount</t>
        </is>
      </c>
      <c r="Q117" s="222" t="inlineStr">
        <is>
          <t>YTD Resource Unit Charge</t>
        </is>
      </c>
      <c r="R117" s="222" t="inlineStr">
        <is>
          <t>Forecast EOY Resource Unit Charge</t>
        </is>
      </c>
    </row>
    <row r="118" ht="13.2" customHeight="1" s="176">
      <c r="B118" s="195" t="inlineStr">
        <is>
          <t>ISDN 1</t>
        </is>
      </c>
      <c r="C118" s="195" t="inlineStr">
        <is>
          <t>Subscriptions</t>
        </is>
      </c>
      <c r="D118" s="227" t="n"/>
      <c r="E118" s="227" t="n"/>
      <c r="F118" s="227">
        <f>D118-E118</f>
        <v/>
      </c>
      <c r="G118" s="227" t="n"/>
      <c r="H118" s="227">
        <f>D118*G118</f>
        <v/>
      </c>
      <c r="I118" s="227" t="n"/>
      <c r="J118" s="227">
        <f>F118*I118</f>
        <v/>
      </c>
      <c r="K118" s="227">
        <f>H118+J118</f>
        <v/>
      </c>
      <c r="M118" s="227" t="n"/>
      <c r="N118" s="227" t="n"/>
      <c r="O118" s="227" t="n"/>
      <c r="P118" s="227" t="n"/>
      <c r="Q118" s="227" t="n"/>
      <c r="R118" s="227" t="n"/>
    </row>
    <row r="119" ht="13.2" customHeight="1" s="176">
      <c r="B119" s="192" t="inlineStr">
        <is>
          <t>ISDN 2</t>
        </is>
      </c>
      <c r="C119" s="192" t="inlineStr">
        <is>
          <t>Subscriptions</t>
        </is>
      </c>
      <c r="D119" s="226" t="n"/>
      <c r="E119" s="226" t="n"/>
      <c r="F119" s="226">
        <f>D119-E119</f>
        <v/>
      </c>
      <c r="G119" s="226" t="n"/>
      <c r="H119" s="226">
        <f>D119*G119</f>
        <v/>
      </c>
      <c r="I119" s="226" t="n"/>
      <c r="J119" s="226">
        <f>F119*I119</f>
        <v/>
      </c>
      <c r="K119" s="227">
        <f>H119+J119</f>
        <v/>
      </c>
      <c r="M119" s="226" t="n"/>
      <c r="N119" s="226" t="n"/>
      <c r="O119" s="226" t="n"/>
      <c r="P119" s="226" t="n"/>
      <c r="Q119" s="226" t="n"/>
      <c r="R119" s="226" t="n"/>
    </row>
    <row r="120" ht="13.2" customHeight="1" s="176">
      <c r="B120" s="195" t="inlineStr">
        <is>
          <t>ISDN 15</t>
        </is>
      </c>
      <c r="C120" s="192" t="inlineStr">
        <is>
          <t>Subscriptions</t>
        </is>
      </c>
      <c r="D120" s="227" t="n"/>
      <c r="E120" s="227" t="n"/>
      <c r="F120" s="227">
        <f>D120-E120</f>
        <v/>
      </c>
      <c r="G120" s="227" t="n"/>
      <c r="H120" s="227">
        <f>D120*G120</f>
        <v/>
      </c>
      <c r="I120" s="227" t="n"/>
      <c r="J120" s="227">
        <f>F120*I120</f>
        <v/>
      </c>
      <c r="K120" s="227">
        <f>H120+J120</f>
        <v/>
      </c>
      <c r="M120" s="227" t="n"/>
      <c r="N120" s="227" t="n"/>
      <c r="O120" s="227" t="n"/>
      <c r="P120" s="227" t="n"/>
      <c r="Q120" s="227" t="n"/>
      <c r="R120" s="227" t="n"/>
    </row>
    <row r="121" ht="13.2" customHeight="1" s="176">
      <c r="B121" s="204" t="inlineStr">
        <is>
          <t xml:space="preserve">ISDN 30  </t>
        </is>
      </c>
      <c r="C121" s="192" t="inlineStr">
        <is>
          <t>Subscriptions</t>
        </is>
      </c>
      <c r="D121" s="229" t="n"/>
      <c r="E121" s="229" t="n"/>
      <c r="F121" s="229">
        <f>D121-E121</f>
        <v/>
      </c>
      <c r="G121" s="229" t="n"/>
      <c r="H121" s="229">
        <f>D121*G121</f>
        <v/>
      </c>
      <c r="I121" s="229" t="n"/>
      <c r="J121" s="229">
        <f>F121*I121</f>
        <v/>
      </c>
      <c r="K121" s="227">
        <f>H121+J121</f>
        <v/>
      </c>
      <c r="M121" s="229" t="n"/>
      <c r="N121" s="229" t="n"/>
      <c r="O121" s="229" t="n"/>
      <c r="P121" s="229" t="n"/>
      <c r="Q121" s="229" t="n"/>
      <c r="R121" s="229" t="n"/>
    </row>
    <row r="122" ht="13.2" customHeight="1" s="176">
      <c r="B122" s="195" t="inlineStr">
        <is>
          <t>ISDN 30 (CPA)</t>
        </is>
      </c>
      <c r="C122" s="192" t="inlineStr">
        <is>
          <t>Subscriptions</t>
        </is>
      </c>
      <c r="D122" s="227" t="n"/>
      <c r="E122" s="227" t="n"/>
      <c r="F122" s="227">
        <f>D122-E122</f>
        <v/>
      </c>
      <c r="G122" s="227" t="n"/>
      <c r="H122" s="227">
        <f>D122*G122</f>
        <v/>
      </c>
      <c r="I122" s="227" t="n"/>
      <c r="J122" s="227">
        <f>F122*I122</f>
        <v/>
      </c>
      <c r="K122" s="227">
        <f>H122+J122</f>
        <v/>
      </c>
      <c r="M122" s="227" t="n"/>
      <c r="N122" s="227" t="n"/>
      <c r="O122" s="227" t="n"/>
      <c r="P122" s="227" t="n"/>
      <c r="Q122" s="227" t="n"/>
      <c r="R122" s="227" t="n"/>
    </row>
    <row r="123" ht="13.2" customHeight="1" s="176">
      <c r="B123" s="192" t="inlineStr">
        <is>
          <t>Dual homing telephony</t>
        </is>
      </c>
      <c r="C123" s="192" t="inlineStr">
        <is>
          <t>Subscriptions</t>
        </is>
      </c>
      <c r="D123" s="226" t="n"/>
      <c r="E123" s="226" t="n"/>
      <c r="F123" s="226">
        <f>D123-E123</f>
        <v/>
      </c>
      <c r="G123" s="226" t="n"/>
      <c r="H123" s="226">
        <f>D123*G123</f>
        <v/>
      </c>
      <c r="I123" s="226" t="n"/>
      <c r="J123" s="226">
        <f>F123*I123</f>
        <v/>
      </c>
      <c r="K123" s="227">
        <f>H123+J123</f>
        <v/>
      </c>
      <c r="M123" s="226" t="n"/>
      <c r="N123" s="226" t="n"/>
      <c r="O123" s="226" t="n"/>
      <c r="P123" s="226" t="n"/>
      <c r="Q123" s="226" t="n"/>
      <c r="R123" s="226" t="n"/>
    </row>
    <row r="124" ht="13.2" customHeight="1" s="176">
      <c r="B124" s="195" t="inlineStr">
        <is>
          <t>DDI reserved numbers (10)</t>
        </is>
      </c>
      <c r="C124" s="192" t="inlineStr">
        <is>
          <t>Subscriptions</t>
        </is>
      </c>
      <c r="D124" s="227" t="n"/>
      <c r="E124" s="227" t="n"/>
      <c r="F124" s="227">
        <f>D124-E124</f>
        <v/>
      </c>
      <c r="G124" s="227" t="n"/>
      <c r="H124" s="227">
        <f>D124*G124</f>
        <v/>
      </c>
      <c r="I124" s="227" t="n"/>
      <c r="J124" s="227">
        <f>F124*I124</f>
        <v/>
      </c>
      <c r="K124" s="227">
        <f>H124+J124</f>
        <v/>
      </c>
      <c r="M124" s="227" t="n"/>
      <c r="N124" s="227" t="n"/>
      <c r="O124" s="227" t="n"/>
      <c r="P124" s="227" t="n"/>
      <c r="Q124" s="227" t="n"/>
      <c r="R124" s="227" t="n"/>
    </row>
    <row r="125" ht="13.2" customHeight="1" s="176">
      <c r="B125" s="204" t="inlineStr">
        <is>
          <t>DDI reserved numbers (100)</t>
        </is>
      </c>
      <c r="C125" s="192" t="inlineStr">
        <is>
          <t>Subscriptions</t>
        </is>
      </c>
      <c r="D125" s="229" t="n"/>
      <c r="E125" s="229" t="n"/>
      <c r="F125" s="229">
        <f>D125-E125</f>
        <v/>
      </c>
      <c r="G125" s="229" t="n"/>
      <c r="H125" s="229">
        <f>D125*G125</f>
        <v/>
      </c>
      <c r="I125" s="229" t="n"/>
      <c r="J125" s="229">
        <f>F125*I125</f>
        <v/>
      </c>
      <c r="K125" s="227">
        <f>H125+J125</f>
        <v/>
      </c>
      <c r="M125" s="229" t="n"/>
      <c r="N125" s="229" t="n"/>
      <c r="O125" s="229" t="n"/>
      <c r="P125" s="229" t="n"/>
      <c r="Q125" s="229" t="n"/>
      <c r="R125" s="229" t="n"/>
    </row>
    <row r="126" ht="13.2" customHeight="1" s="176">
      <c r="B126" s="195" t="inlineStr">
        <is>
          <t>DDI reserved numbers (1000)</t>
        </is>
      </c>
      <c r="C126" s="192" t="inlineStr">
        <is>
          <t>Subscriptions</t>
        </is>
      </c>
      <c r="D126" s="227" t="n"/>
      <c r="E126" s="227" t="n"/>
      <c r="F126" s="227">
        <f>D126-E126</f>
        <v/>
      </c>
      <c r="G126" s="227" t="n"/>
      <c r="H126" s="227">
        <f>D126*G126</f>
        <v/>
      </c>
      <c r="I126" s="227" t="n"/>
      <c r="J126" s="227">
        <f>F126*I126</f>
        <v/>
      </c>
      <c r="K126" s="227">
        <f>H126+J126</f>
        <v/>
      </c>
      <c r="M126" s="227" t="n"/>
      <c r="N126" s="227" t="n"/>
      <c r="O126" s="227" t="n"/>
      <c r="P126" s="227" t="n"/>
      <c r="Q126" s="227" t="n"/>
      <c r="R126" s="227" t="n"/>
    </row>
    <row r="127" ht="13.2" customHeight="1" s="176">
      <c r="B127" s="204" t="inlineStr">
        <is>
          <t>DDI reserved numbers (10000)</t>
        </is>
      </c>
      <c r="C127" s="192" t="inlineStr">
        <is>
          <t>Subscriptions</t>
        </is>
      </c>
      <c r="D127" s="229" t="n"/>
      <c r="E127" s="229" t="n"/>
      <c r="F127" s="229">
        <f>D127-E127</f>
        <v/>
      </c>
      <c r="G127" s="229" t="n"/>
      <c r="H127" s="229">
        <f>D127*G127</f>
        <v/>
      </c>
      <c r="I127" s="229" t="n"/>
      <c r="J127" s="229">
        <f>F127*I127</f>
        <v/>
      </c>
      <c r="K127" s="227">
        <f>H127+J127</f>
        <v/>
      </c>
      <c r="M127" s="229" t="n"/>
      <c r="N127" s="229" t="n"/>
      <c r="O127" s="229" t="n"/>
      <c r="P127" s="229" t="n"/>
      <c r="Q127" s="229" t="n"/>
      <c r="R127" s="229" t="n"/>
    </row>
    <row r="128" ht="13.2" customHeight="1" s="176">
      <c r="B128" s="195" t="inlineStr">
        <is>
          <t>DDI facilities</t>
        </is>
      </c>
      <c r="C128" s="192" t="inlineStr">
        <is>
          <t>Subscriptions</t>
        </is>
      </c>
      <c r="D128" s="227" t="n"/>
      <c r="E128" s="227" t="n"/>
      <c r="F128" s="227">
        <f>D128-E128</f>
        <v/>
      </c>
      <c r="G128" s="227" t="n"/>
      <c r="H128" s="227">
        <f>D128*G128</f>
        <v/>
      </c>
      <c r="I128" s="227" t="n"/>
      <c r="J128" s="227">
        <f>F128*I128</f>
        <v/>
      </c>
      <c r="K128" s="227">
        <f>H128+J128</f>
        <v/>
      </c>
      <c r="M128" s="227" t="n"/>
      <c r="N128" s="227" t="n"/>
      <c r="O128" s="227" t="n"/>
      <c r="P128" s="227" t="n"/>
      <c r="Q128" s="227" t="n"/>
      <c r="R128" s="227" t="n"/>
    </row>
    <row r="129" ht="13.2" customHeight="1" s="176">
      <c r="B129" s="204" t="inlineStr">
        <is>
          <t>Calamity services</t>
        </is>
      </c>
      <c r="C129" s="204" t="inlineStr">
        <is>
          <t>Services</t>
        </is>
      </c>
      <c r="D129" s="229" t="n"/>
      <c r="E129" s="229" t="n"/>
      <c r="F129" s="229">
        <f>D129-E129</f>
        <v/>
      </c>
      <c r="G129" s="229" t="n"/>
      <c r="H129" s="229">
        <f>D129*G129</f>
        <v/>
      </c>
      <c r="I129" s="229" t="n"/>
      <c r="J129" s="229">
        <f>F129*I129</f>
        <v/>
      </c>
      <c r="K129" s="227">
        <f>H129+J129</f>
        <v/>
      </c>
      <c r="M129" s="229" t="n"/>
      <c r="N129" s="229" t="n"/>
      <c r="O129" s="229" t="n"/>
      <c r="P129" s="229" t="n"/>
      <c r="Q129" s="229" t="n"/>
      <c r="R129" s="229" t="n"/>
    </row>
    <row r="130" ht="13.2" customHeight="1" s="176">
      <c r="B130" s="195" t="inlineStr">
        <is>
          <t>Infrastructure services</t>
        </is>
      </c>
      <c r="C130" s="195" t="inlineStr">
        <is>
          <t>Services</t>
        </is>
      </c>
      <c r="D130" s="227" t="n"/>
      <c r="E130" s="227" t="n"/>
      <c r="F130" s="227">
        <f>D130-E130</f>
        <v/>
      </c>
      <c r="G130" s="227" t="n"/>
      <c r="H130" s="227">
        <f>D130*G130</f>
        <v/>
      </c>
      <c r="I130" s="227" t="n"/>
      <c r="J130" s="227">
        <f>F130*I130</f>
        <v/>
      </c>
      <c r="K130" s="227">
        <f>H130+J130</f>
        <v/>
      </c>
      <c r="M130" s="227" t="n"/>
      <c r="N130" s="227" t="n"/>
      <c r="O130" s="227" t="n"/>
      <c r="P130" s="227" t="n"/>
      <c r="Q130" s="227" t="n"/>
      <c r="R130" s="227" t="n"/>
    </row>
    <row r="131" ht="13.2" customHeight="1" s="176">
      <c r="B131" s="204" t="inlineStr">
        <is>
          <t>ADSL</t>
        </is>
      </c>
      <c r="C131" s="192" t="inlineStr">
        <is>
          <t>Subscriptions</t>
        </is>
      </c>
      <c r="D131" s="229" t="n"/>
      <c r="E131" s="229" t="n"/>
      <c r="F131" s="229">
        <f>D131-E131</f>
        <v/>
      </c>
      <c r="G131" s="229" t="n"/>
      <c r="H131" s="229">
        <f>D131*G131</f>
        <v/>
      </c>
      <c r="I131" s="229" t="n"/>
      <c r="J131" s="229">
        <f>F131*I131</f>
        <v/>
      </c>
      <c r="K131" s="227">
        <f>H131+J131</f>
        <v/>
      </c>
      <c r="M131" s="229" t="n"/>
      <c r="N131" s="229" t="n"/>
      <c r="O131" s="229" t="n"/>
      <c r="P131" s="229" t="n"/>
      <c r="Q131" s="229" t="n"/>
      <c r="R131" s="229" t="n"/>
    </row>
    <row r="132" ht="13.2" customHeight="1" s="176">
      <c r="B132" s="195" t="inlineStr">
        <is>
          <t>PSTN</t>
        </is>
      </c>
      <c r="C132" s="192" t="inlineStr">
        <is>
          <t>Subscriptions</t>
        </is>
      </c>
      <c r="D132" s="227" t="n"/>
      <c r="E132" s="227" t="n"/>
      <c r="F132" s="227">
        <f>D132-E132</f>
        <v/>
      </c>
      <c r="G132" s="227" t="n"/>
      <c r="H132" s="227">
        <f>D132*G132</f>
        <v/>
      </c>
      <c r="I132" s="227" t="n"/>
      <c r="J132" s="227">
        <f>F132*I132</f>
        <v/>
      </c>
      <c r="K132" s="227">
        <f>H132+J132</f>
        <v/>
      </c>
      <c r="M132" s="227" t="n"/>
      <c r="N132" s="227" t="n"/>
      <c r="O132" s="227" t="n"/>
      <c r="P132" s="227" t="n"/>
      <c r="Q132" s="227" t="n"/>
      <c r="R132" s="227" t="n"/>
    </row>
    <row r="133" ht="13.8" customHeight="1" s="176">
      <c r="B133" s="230" t="inlineStr">
        <is>
          <t>Telex</t>
        </is>
      </c>
      <c r="C133" s="230" t="inlineStr">
        <is>
          <t>Subscriptions</t>
        </is>
      </c>
      <c r="D133" s="231" t="n"/>
      <c r="E133" s="231" t="n"/>
      <c r="F133" s="231">
        <f>D133-E133</f>
        <v/>
      </c>
      <c r="G133" s="231" t="n"/>
      <c r="H133" s="231">
        <f>D133*G133</f>
        <v/>
      </c>
      <c r="I133" s="231" t="n"/>
      <c r="J133" s="231">
        <f>F133*I133</f>
        <v/>
      </c>
      <c r="K133" s="232">
        <f>H133+J133</f>
        <v/>
      </c>
      <c r="M133" s="231" t="n"/>
      <c r="N133" s="231" t="n"/>
      <c r="O133" s="231" t="n"/>
      <c r="P133" s="231" t="n"/>
      <c r="Q133" s="231" t="n"/>
      <c r="R133" s="231" t="n"/>
    </row>
    <row r="134" ht="13.8" customHeight="1" s="176">
      <c r="B134" s="233" t="n"/>
      <c r="C134" s="234" t="inlineStr">
        <is>
          <t>Subtotal:</t>
        </is>
      </c>
      <c r="D134" s="235">
        <f>SUM(D118:D133)</f>
        <v/>
      </c>
      <c r="E134" s="235">
        <f>SUM(E118:E133)</f>
        <v/>
      </c>
      <c r="F134" s="235">
        <f>SUM(F118:F133)</f>
        <v/>
      </c>
      <c r="G134" s="235" t="n"/>
      <c r="H134" s="235">
        <f>SUM(H118:H133)</f>
        <v/>
      </c>
      <c r="I134" s="235" t="n"/>
      <c r="J134" s="235">
        <f>SUM(J118:J133)</f>
        <v/>
      </c>
      <c r="K134" s="236">
        <f>SUM(K118:K133)</f>
        <v/>
      </c>
      <c r="M134" s="235">
        <f>SUM(M118:M133)</f>
        <v/>
      </c>
      <c r="N134" s="235">
        <f>SUM(N118:N133)</f>
        <v/>
      </c>
      <c r="O134" s="235">
        <f>SUM(O118:O133)</f>
        <v/>
      </c>
      <c r="P134" s="235">
        <f>SUM(P118:P133)</f>
        <v/>
      </c>
      <c r="Q134" s="235">
        <f>SUM(Q118:Q133)</f>
        <v/>
      </c>
      <c r="R134" s="235">
        <f>SUM(R118:R133)</f>
        <v/>
      </c>
    </row>
    <row r="135" ht="13.8" customHeight="1" s="176">
      <c r="B135" s="241" t="n"/>
      <c r="C135" s="242" t="n"/>
      <c r="D135" s="250" t="n"/>
      <c r="E135" s="250" t="n"/>
      <c r="F135" s="250" t="n"/>
      <c r="G135" s="250" t="n"/>
      <c r="H135" s="250" t="n"/>
      <c r="I135" s="250" t="n"/>
      <c r="J135" s="250" t="n"/>
      <c r="K135" s="251" t="n"/>
      <c r="M135" s="250" t="n"/>
      <c r="N135" s="250" t="n"/>
      <c r="O135" s="250" t="n"/>
      <c r="P135" s="250" t="n"/>
      <c r="Q135" s="250" t="n"/>
      <c r="R135" s="250" t="n"/>
    </row>
    <row r="136" ht="15.6" customHeight="1" s="176">
      <c r="B136" s="245" t="n"/>
      <c r="C136" s="246" t="inlineStr">
        <is>
          <t>Total Voice:</t>
        </is>
      </c>
      <c r="D136" s="247">
        <f>D93+D113+D134</f>
        <v/>
      </c>
      <c r="E136" s="247">
        <f>E93+E113+E134</f>
        <v/>
      </c>
      <c r="F136" s="247">
        <f>F93+F113+F134</f>
        <v/>
      </c>
      <c r="G136" s="247" t="n"/>
      <c r="H136" s="247">
        <f>H93+H113+H134</f>
        <v/>
      </c>
      <c r="I136" s="247" t="n"/>
      <c r="J136" s="247">
        <f>J93+J113+J134</f>
        <v/>
      </c>
      <c r="K136" s="248">
        <f>K93+K113+K134</f>
        <v/>
      </c>
      <c r="M136" s="247">
        <f>M93+M113+M134</f>
        <v/>
      </c>
      <c r="N136" s="247">
        <f>N93+N113+N134</f>
        <v/>
      </c>
      <c r="O136" s="247">
        <f>O93+O113+O134</f>
        <v/>
      </c>
      <c r="P136" s="247">
        <f>P93+P113+P134</f>
        <v/>
      </c>
      <c r="Q136" s="247">
        <f>Q93+Q113+Q134</f>
        <v/>
      </c>
      <c r="R136" s="247">
        <f>R93+R113+R134</f>
        <v/>
      </c>
    </row>
    <row r="137" ht="16.2" customHeight="1" s="176">
      <c r="B137" s="237" t="n"/>
      <c r="C137" s="238" t="n"/>
      <c r="D137" s="239" t="n"/>
      <c r="E137" s="239" t="n"/>
      <c r="F137" s="239" t="n"/>
      <c r="G137" s="239" t="n"/>
      <c r="H137" s="239" t="n"/>
      <c r="I137" s="239" t="n"/>
      <c r="J137" s="239" t="n"/>
      <c r="K137" s="239" t="n"/>
      <c r="M137" s="239" t="n"/>
      <c r="N137" s="239" t="n"/>
      <c r="O137" s="239" t="n"/>
      <c r="P137" s="239" t="n"/>
      <c r="Q137" s="239" t="n"/>
      <c r="R137" s="239" t="n"/>
    </row>
    <row r="138" ht="16.2" customHeight="1" s="176">
      <c r="B138" s="190" t="inlineStr">
        <is>
          <t>Server Management – Vendor Alpha</t>
        </is>
      </c>
      <c r="C138" s="216" t="n"/>
      <c r="D138" s="240" t="n"/>
      <c r="E138" s="240" t="n"/>
      <c r="F138" s="240" t="n"/>
      <c r="G138" s="240" t="n"/>
      <c r="H138" s="240" t="n"/>
      <c r="I138" s="240" t="n"/>
      <c r="J138" s="240" t="n"/>
      <c r="K138" s="240" t="n"/>
      <c r="M138" s="240" t="n"/>
      <c r="N138" s="240" t="n"/>
      <c r="O138" s="240" t="n"/>
      <c r="P138" s="240" t="n"/>
      <c r="Q138" s="240" t="n"/>
      <c r="R138" s="240" t="n"/>
    </row>
    <row r="139" ht="16.2" customHeight="1" s="176">
      <c r="B139" s="237" t="n"/>
      <c r="C139" s="238" t="n"/>
      <c r="D139" s="239" t="n"/>
      <c r="E139" s="239" t="n"/>
      <c r="F139" s="239" t="n"/>
      <c r="G139" s="239" t="n"/>
      <c r="H139" s="239" t="n"/>
      <c r="I139" s="239" t="n"/>
      <c r="J139" s="239" t="n"/>
      <c r="K139" s="239" t="n"/>
      <c r="M139" s="239" t="n"/>
      <c r="N139" s="239" t="n"/>
      <c r="O139" s="239" t="n"/>
      <c r="P139" s="239" t="n"/>
      <c r="Q139" s="239" t="n"/>
      <c r="R139" s="239" t="n"/>
    </row>
    <row r="140" ht="53.25" customHeight="1" s="176">
      <c r="B140" s="190" t="inlineStr">
        <is>
          <t>Category of Service</t>
        </is>
      </c>
      <c r="C140" s="221" t="inlineStr">
        <is>
          <t>Units</t>
        </is>
      </c>
      <c r="D140" s="222" t="inlineStr">
        <is>
          <t>Baseline/Volume</t>
        </is>
      </c>
      <c r="E140" s="222" t="inlineStr">
        <is>
          <t>Actual Volume</t>
        </is>
      </c>
      <c r="F140" s="222" t="inlineStr">
        <is>
          <t>Add./Red. Resource</t>
        </is>
      </c>
      <c r="G140" s="222" t="inlineStr">
        <is>
          <t>Price/Unit</t>
        </is>
      </c>
      <c r="H140" s="222" t="inlineStr">
        <is>
          <t>Period Base Charge</t>
        </is>
      </c>
      <c r="I140" s="222" t="inlineStr">
        <is>
          <t>ARC/RRC Rate</t>
        </is>
      </c>
      <c r="J140" s="222" t="inlineStr">
        <is>
          <t>Period ARC/RRC Amount</t>
        </is>
      </c>
      <c r="K140" s="223" t="inlineStr">
        <is>
          <t>Period Resource Unit Charge</t>
        </is>
      </c>
      <c r="M140" s="224" t="inlineStr">
        <is>
          <t>YTD Base Charge</t>
        </is>
      </c>
      <c r="N140" s="222" t="inlineStr">
        <is>
          <t>Forecast EOY Base Charge</t>
        </is>
      </c>
      <c r="O140" s="222" t="inlineStr">
        <is>
          <t>YTD ARC/RRC Amount</t>
        </is>
      </c>
      <c r="P140" s="222" t="inlineStr">
        <is>
          <t>Forecast EOYARC/RRC Amount</t>
        </is>
      </c>
      <c r="Q140" s="222" t="inlineStr">
        <is>
          <t>YTD Resource Unit Charge</t>
        </is>
      </c>
      <c r="R140" s="222" t="inlineStr">
        <is>
          <t>Forecast EOY Resource Unit Charge</t>
        </is>
      </c>
    </row>
    <row r="141" ht="13.2" customHeight="1" s="176">
      <c r="B141" s="192" t="inlineStr">
        <is>
          <t>Number of servers</t>
        </is>
      </c>
      <c r="C141" s="192" t="inlineStr">
        <is>
          <t>(Virtual) systems/Nodes</t>
        </is>
      </c>
      <c r="D141" s="226" t="n"/>
      <c r="E141" s="226" t="n"/>
      <c r="F141" s="226">
        <f>D141-E141</f>
        <v/>
      </c>
      <c r="G141" s="226" t="n"/>
      <c r="H141" s="226">
        <f>D141*G141</f>
        <v/>
      </c>
      <c r="I141" s="226" t="n"/>
      <c r="J141" s="226">
        <f>F141*I141</f>
        <v/>
      </c>
      <c r="K141" s="227">
        <f>H141+J141</f>
        <v/>
      </c>
      <c r="M141" s="226" t="n"/>
      <c r="N141" s="226" t="n"/>
      <c r="O141" s="226" t="n"/>
      <c r="P141" s="226" t="n"/>
      <c r="Q141" s="226" t="n"/>
      <c r="R141" s="226" t="n"/>
    </row>
    <row r="142" ht="13.2" customHeight="1" s="176">
      <c r="B142" s="204" t="inlineStr">
        <is>
          <t>GB</t>
        </is>
      </c>
      <c r="C142" s="204" t="inlineStr">
        <is>
          <t>TB per user/group/application</t>
        </is>
      </c>
      <c r="D142" s="229" t="n"/>
      <c r="E142" s="229" t="n"/>
      <c r="F142" s="229">
        <f>D142-E142</f>
        <v/>
      </c>
      <c r="G142" s="229" t="n"/>
      <c r="H142" s="229">
        <f>D142*G142</f>
        <v/>
      </c>
      <c r="I142" s="229" t="n"/>
      <c r="J142" s="229">
        <f>F142*I142</f>
        <v/>
      </c>
      <c r="K142" s="227">
        <f>H142+J142</f>
        <v/>
      </c>
      <c r="M142" s="229" t="n"/>
      <c r="N142" s="229" t="n"/>
      <c r="O142" s="229" t="n"/>
      <c r="P142" s="229" t="n"/>
      <c r="Q142" s="229" t="n"/>
      <c r="R142" s="229" t="n"/>
    </row>
    <row r="143" ht="13.2" customHeight="1" s="176">
      <c r="B143" s="195" t="inlineStr">
        <is>
          <t>E-mail Accounts (1)</t>
        </is>
      </c>
      <c r="C143" s="195" t="inlineStr">
        <is>
          <t>Mailboxes</t>
        </is>
      </c>
      <c r="D143" s="227" t="n"/>
      <c r="E143" s="227" t="n"/>
      <c r="F143" s="227">
        <f>D143-E143</f>
        <v/>
      </c>
      <c r="G143" s="227" t="n"/>
      <c r="H143" s="227">
        <f>D143*G143</f>
        <v/>
      </c>
      <c r="I143" s="227" t="n"/>
      <c r="J143" s="227">
        <f>F143*I143</f>
        <v/>
      </c>
      <c r="K143" s="227">
        <f>H143+J143</f>
        <v/>
      </c>
      <c r="M143" s="227" t="n"/>
      <c r="N143" s="227" t="n"/>
      <c r="O143" s="227" t="n"/>
      <c r="P143" s="227" t="n"/>
      <c r="Q143" s="227" t="n"/>
      <c r="R143" s="227" t="n"/>
    </row>
    <row r="144" ht="13.2" customHeight="1" s="176">
      <c r="B144" s="252" t="inlineStr">
        <is>
          <t>E-mail Accounts (2)</t>
        </is>
      </c>
      <c r="C144" s="252" t="inlineStr">
        <is>
          <t>Group mailboxes</t>
        </is>
      </c>
      <c r="D144" s="253" t="n"/>
      <c r="E144" s="253" t="n"/>
      <c r="F144" s="253">
        <f>D144-E144</f>
        <v/>
      </c>
      <c r="G144" s="253" t="n"/>
      <c r="H144" s="253">
        <f>D144*G144</f>
        <v/>
      </c>
      <c r="I144" s="253" t="n"/>
      <c r="J144" s="253">
        <f>F144*I144</f>
        <v/>
      </c>
      <c r="K144" s="254">
        <f>H144+J144</f>
        <v/>
      </c>
      <c r="M144" s="253" t="n"/>
      <c r="N144" s="253" t="n"/>
      <c r="O144" s="253" t="n"/>
      <c r="P144" s="253" t="n"/>
      <c r="Q144" s="253" t="n"/>
      <c r="R144" s="253" t="n"/>
    </row>
    <row r="145" ht="13.8" customHeight="1" s="176">
      <c r="B145" s="241" t="n"/>
      <c r="C145" s="242" t="n"/>
      <c r="D145" s="243" t="n"/>
      <c r="E145" s="243" t="n"/>
      <c r="F145" s="243">
        <f>D145-E145</f>
        <v/>
      </c>
      <c r="G145" s="243" t="n"/>
      <c r="H145" s="243">
        <f>D145*G145</f>
        <v/>
      </c>
      <c r="I145" s="243" t="n"/>
      <c r="J145" s="243">
        <f>F145*I145</f>
        <v/>
      </c>
      <c r="K145" s="244">
        <f>H145+J145</f>
        <v/>
      </c>
      <c r="M145" s="243" t="n"/>
      <c r="N145" s="243" t="n"/>
      <c r="O145" s="243" t="n"/>
      <c r="P145" s="243" t="n"/>
      <c r="Q145" s="243" t="n"/>
      <c r="R145" s="243" t="n"/>
    </row>
    <row r="146" ht="15.6" customHeight="1" s="176">
      <c r="B146" s="245" t="n"/>
      <c r="C146" s="246" t="inlineStr">
        <is>
          <t>Total Server Management:</t>
        </is>
      </c>
      <c r="D146" s="247">
        <f>SUM(D141:D144)</f>
        <v/>
      </c>
      <c r="E146" s="247">
        <f>SUM(E141:E144)</f>
        <v/>
      </c>
      <c r="F146" s="247">
        <f>SUM(F141:F144)</f>
        <v/>
      </c>
      <c r="G146" s="247" t="n"/>
      <c r="H146" s="247">
        <f>SUM(H141:H144)</f>
        <v/>
      </c>
      <c r="I146" s="247" t="n"/>
      <c r="J146" s="247">
        <f>SUM(J141:J144)</f>
        <v/>
      </c>
      <c r="K146" s="248">
        <f>SUM(K141:K144)</f>
        <v/>
      </c>
      <c r="M146" s="247">
        <f>SUM(M141:M144)</f>
        <v/>
      </c>
      <c r="N146" s="247">
        <f>SUM(N141:N144)</f>
        <v/>
      </c>
      <c r="O146" s="247">
        <f>SUM(O141:O144)</f>
        <v/>
      </c>
      <c r="P146" s="247">
        <f>SUM(P141:P144)</f>
        <v/>
      </c>
      <c r="Q146" s="247">
        <f>SUM(Q141:Q144)</f>
        <v/>
      </c>
      <c r="R146" s="247">
        <f>SUM(R141:R144)</f>
        <v/>
      </c>
    </row>
    <row r="147" ht="13.8" customHeight="1" s="176">
      <c r="B147" s="211" t="n"/>
      <c r="D147" s="255" t="n"/>
      <c r="E147" s="255" t="n"/>
      <c r="F147" s="255" t="n"/>
      <c r="G147" s="255" t="n"/>
      <c r="H147" s="255" t="n"/>
      <c r="I147" s="255" t="n"/>
      <c r="J147" s="255" t="n"/>
      <c r="K147" s="255" t="n"/>
      <c r="M147" s="255" t="n"/>
      <c r="N147" s="255" t="n"/>
      <c r="O147" s="255" t="n"/>
      <c r="P147" s="255" t="n"/>
      <c r="Q147" s="255" t="n"/>
      <c r="R147" s="255" t="n"/>
    </row>
    <row r="148" ht="53.25" customHeight="1" s="176">
      <c r="B148" s="190" t="inlineStr">
        <is>
          <t>Category of Service</t>
        </is>
      </c>
      <c r="C148" s="221" t="inlineStr">
        <is>
          <t>Units</t>
        </is>
      </c>
      <c r="D148" s="222" t="inlineStr">
        <is>
          <t>Baseline/Volume</t>
        </is>
      </c>
      <c r="E148" s="222" t="inlineStr">
        <is>
          <t>Actual Volume</t>
        </is>
      </c>
      <c r="F148" s="222" t="inlineStr">
        <is>
          <t>Add./Red. Resource</t>
        </is>
      </c>
      <c r="G148" s="222" t="inlineStr">
        <is>
          <t>Price/Unit</t>
        </is>
      </c>
      <c r="H148" s="222" t="inlineStr">
        <is>
          <t>Period Base Charge</t>
        </is>
      </c>
      <c r="I148" s="222" t="inlineStr">
        <is>
          <t>ARC/RRC Rate</t>
        </is>
      </c>
      <c r="J148" s="222" t="inlineStr">
        <is>
          <t>Period ARC/RRC Amount</t>
        </is>
      </c>
      <c r="K148" s="223" t="inlineStr">
        <is>
          <t>Period Resource Unit Charge</t>
        </is>
      </c>
      <c r="M148" s="224" t="inlineStr">
        <is>
          <t>YTD Base Charge</t>
        </is>
      </c>
      <c r="N148" s="222" t="inlineStr">
        <is>
          <t>Forecast EOY Base Charge</t>
        </is>
      </c>
      <c r="O148" s="222" t="inlineStr">
        <is>
          <t>YTD ARC/RRC Amount</t>
        </is>
      </c>
      <c r="P148" s="222" t="inlineStr">
        <is>
          <t>Forecast EOYARC/RRC Amount</t>
        </is>
      </c>
      <c r="Q148" s="222" t="inlineStr">
        <is>
          <t>YTD Resource Unit Charge</t>
        </is>
      </c>
      <c r="R148" s="222" t="inlineStr">
        <is>
          <t>Forecast EOY Resource Unit Charge</t>
        </is>
      </c>
    </row>
    <row r="149" ht="13.2" customHeight="1" s="176">
      <c r="B149" s="204" t="inlineStr">
        <is>
          <t>2IM</t>
        </is>
      </c>
      <c r="C149" s="204" t="inlineStr">
        <is>
          <t>Fixed Charges</t>
        </is>
      </c>
      <c r="D149" s="229" t="n"/>
      <c r="E149" s="229" t="n"/>
      <c r="F149" s="229" t="n"/>
      <c r="G149" s="229" t="n"/>
      <c r="H149" s="229" t="n"/>
      <c r="I149" s="229" t="n"/>
      <c r="J149" s="229" t="n"/>
      <c r="K149" s="227">
        <f>H149+J149</f>
        <v/>
      </c>
      <c r="M149" s="229" t="n"/>
      <c r="N149" s="229" t="n"/>
      <c r="O149" s="229" t="n"/>
      <c r="P149" s="229" t="n"/>
      <c r="Q149" s="229" t="n"/>
      <c r="R149" s="229" t="n"/>
    </row>
    <row r="150" ht="13.8" customHeight="1" s="176">
      <c r="B150" s="241" t="n"/>
      <c r="C150" s="242" t="n"/>
      <c r="D150" s="243" t="n"/>
      <c r="E150" s="243" t="n"/>
      <c r="F150" s="243" t="n"/>
      <c r="G150" s="243" t="n"/>
      <c r="H150" s="243" t="n"/>
      <c r="I150" s="243" t="n"/>
      <c r="J150" s="243" t="n"/>
      <c r="K150" s="244" t="n"/>
      <c r="M150" s="243" t="n"/>
      <c r="N150" s="243" t="n"/>
      <c r="O150" s="243" t="n"/>
      <c r="P150" s="243" t="n"/>
      <c r="Q150" s="243" t="n"/>
      <c r="R150" s="243" t="n"/>
    </row>
    <row r="151" ht="15.6" customHeight="1" s="176">
      <c r="B151" s="245" t="n"/>
      <c r="C151" s="246" t="inlineStr">
        <is>
          <t>Total 2IM Charges:</t>
        </is>
      </c>
      <c r="D151" s="247">
        <f>SUM(D149)</f>
        <v/>
      </c>
      <c r="E151" s="247">
        <f>SUM(E149)</f>
        <v/>
      </c>
      <c r="F151" s="247">
        <f>SUM(F149)</f>
        <v/>
      </c>
      <c r="G151" s="247" t="n"/>
      <c r="H151" s="247">
        <f>SUM(H149)</f>
        <v/>
      </c>
      <c r="I151" s="247" t="n"/>
      <c r="J151" s="247">
        <f>SUM(J149)</f>
        <v/>
      </c>
      <c r="K151" s="248">
        <f>SUM(K149)</f>
        <v/>
      </c>
      <c r="M151" s="247">
        <f>SUM(M149)</f>
        <v/>
      </c>
      <c r="N151" s="247">
        <f>SUM(N149)</f>
        <v/>
      </c>
      <c r="O151" s="247">
        <f>SUM(O149)</f>
        <v/>
      </c>
      <c r="P151" s="247">
        <f>SUM(P149)</f>
        <v/>
      </c>
      <c r="Q151" s="247">
        <f>SUM(Q149)</f>
        <v/>
      </c>
      <c r="R151" s="247">
        <f>SUM(R149)</f>
        <v/>
      </c>
    </row>
    <row r="152" ht="13.8" customHeight="1" s="176">
      <c r="B152" s="211" t="n"/>
      <c r="D152" s="255" t="n"/>
      <c r="E152" s="255" t="n"/>
      <c r="F152" s="255" t="n"/>
      <c r="G152" s="255" t="n"/>
      <c r="H152" s="255" t="n"/>
      <c r="I152" s="255" t="n"/>
      <c r="J152" s="255" t="n"/>
      <c r="K152" s="255" t="n"/>
      <c r="M152" s="255" t="n"/>
      <c r="N152" s="255" t="n"/>
      <c r="O152" s="255" t="n"/>
      <c r="P152" s="255" t="n"/>
      <c r="Q152" s="255" t="n"/>
      <c r="R152" s="255" t="n"/>
    </row>
    <row r="153" ht="15.6" customHeight="1" s="176">
      <c r="B153" s="245" t="n"/>
      <c r="C153" s="246" t="inlineStr">
        <is>
          <t>Total Charge</t>
        </is>
      </c>
      <c r="D153" s="247" t="n"/>
      <c r="E153" s="247" t="n"/>
      <c r="F153" s="247" t="n"/>
      <c r="G153" s="247" t="n"/>
      <c r="H153" s="247">
        <f>H55+H62+H70+H136+H146+H151</f>
        <v/>
      </c>
      <c r="I153" s="247" t="n"/>
      <c r="J153" s="247">
        <f>J55+J62+J70+J136+J146+J151</f>
        <v/>
      </c>
      <c r="K153" s="248">
        <f>K55+K62+K70+K136+K146+K151</f>
        <v/>
      </c>
      <c r="M153" s="247">
        <f>M55+M62+M70+M136+M146+M151</f>
        <v/>
      </c>
      <c r="N153" s="247">
        <f>N55+N62+N70+N136+N146+N151</f>
        <v/>
      </c>
      <c r="O153" s="247">
        <f>O55+O62+O70+O136+O146+O151</f>
        <v/>
      </c>
      <c r="P153" s="247">
        <f>P55+P62+P70+P136+P146+P151</f>
        <v/>
      </c>
      <c r="Q153" s="247">
        <f>Q55+Q62+Q70+Q136+Q146+Q151</f>
        <v/>
      </c>
      <c r="R153" s="247">
        <f>R55+R62+R70+R136+R146+R151</f>
        <v/>
      </c>
    </row>
    <row r="154" ht="13.2" customHeight="1" s="176">
      <c r="B154" s="211" t="n"/>
      <c r="D154" s="255" t="n"/>
      <c r="E154" s="255" t="n"/>
      <c r="F154" s="255" t="n"/>
      <c r="G154" s="255" t="n"/>
      <c r="H154" s="255" t="n"/>
      <c r="I154" s="255" t="n"/>
      <c r="J154" s="255" t="n"/>
      <c r="K154" s="255" t="n"/>
      <c r="M154" s="255" t="n"/>
      <c r="N154" s="255" t="n"/>
      <c r="O154" s="255" t="n"/>
      <c r="P154" s="255" t="n"/>
      <c r="Q154" s="255" t="n"/>
      <c r="R154" s="255" t="n"/>
    </row>
    <row r="155" ht="13.2" customHeight="1" s="176">
      <c r="B155" s="211" t="n"/>
      <c r="D155" s="255" t="n"/>
      <c r="E155" s="255" t="n"/>
      <c r="F155" s="255" t="n"/>
      <c r="G155" s="255" t="n"/>
      <c r="H155" s="255" t="n"/>
      <c r="I155" s="255" t="n"/>
      <c r="J155" s="255" t="n"/>
      <c r="K155" s="255" t="n"/>
      <c r="M155" s="255" t="n"/>
      <c r="N155" s="255" t="n"/>
      <c r="O155" s="255" t="n"/>
      <c r="P155" s="255" t="n"/>
      <c r="Q155" s="255" t="n"/>
      <c r="R155" s="255" t="n"/>
    </row>
    <row r="156" ht="13.2" customHeight="1" s="176">
      <c r="B156" s="211" t="n"/>
      <c r="D156" s="255" t="n"/>
      <c r="E156" s="255" t="n"/>
      <c r="F156" s="255" t="n"/>
      <c r="G156" s="255" t="n"/>
      <c r="H156" s="255" t="n"/>
      <c r="I156" s="255" t="n"/>
      <c r="J156" s="255" t="n"/>
      <c r="K156" s="255" t="n"/>
      <c r="M156" s="255" t="n"/>
      <c r="N156" s="255" t="n"/>
      <c r="O156" s="255" t="n"/>
      <c r="P156" s="255" t="n"/>
      <c r="Q156" s="255" t="n"/>
      <c r="R156" s="255" t="n"/>
    </row>
    <row r="157" ht="13.2" customHeight="1" s="176">
      <c r="B157" s="211" t="n"/>
      <c r="D157" s="255" t="n"/>
      <c r="E157" s="255" t="n"/>
      <c r="F157" s="255" t="n"/>
      <c r="G157" s="255" t="n"/>
      <c r="H157" s="255" t="n"/>
      <c r="I157" s="255" t="n"/>
      <c r="J157" s="255" t="n"/>
      <c r="K157" s="255" t="n"/>
      <c r="M157" s="255" t="n"/>
      <c r="N157" s="255" t="n"/>
      <c r="O157" s="255" t="n"/>
      <c r="P157" s="255" t="n"/>
      <c r="Q157" s="255" t="n"/>
      <c r="R157" s="255" t="n"/>
    </row>
    <row r="158" ht="13.2" customHeight="1" s="176">
      <c r="B158" s="211" t="n"/>
      <c r="D158" s="255" t="n"/>
      <c r="E158" s="255" t="n"/>
      <c r="F158" s="255" t="n"/>
      <c r="G158" s="255" t="n"/>
      <c r="H158" s="255" t="n"/>
      <c r="I158" s="255" t="n"/>
      <c r="J158" s="255" t="n"/>
      <c r="K158" s="255" t="n"/>
      <c r="M158" s="255" t="n"/>
      <c r="N158" s="255" t="n"/>
      <c r="O158" s="255" t="n"/>
      <c r="P158" s="255" t="n"/>
      <c r="Q158" s="255" t="n"/>
      <c r="R158" s="255" t="n"/>
    </row>
    <row r="159" ht="13.2" customHeight="1" s="176">
      <c r="B159" s="211" t="n"/>
      <c r="D159" s="255" t="n"/>
      <c r="E159" s="255" t="n"/>
      <c r="F159" s="255" t="n"/>
      <c r="G159" s="255" t="n"/>
      <c r="H159" s="255" t="n"/>
      <c r="I159" s="255" t="n"/>
      <c r="J159" s="255" t="n"/>
      <c r="K159" s="255" t="n"/>
      <c r="M159" s="255" t="n"/>
      <c r="N159" s="255" t="n"/>
      <c r="O159" s="255" t="n"/>
      <c r="P159" s="255" t="n"/>
      <c r="Q159" s="255" t="n"/>
      <c r="R159" s="255" t="n"/>
    </row>
    <row r="160" ht="13.2" customHeight="1" s="176">
      <c r="B160" s="211" t="n"/>
      <c r="D160" s="255" t="n"/>
      <c r="E160" s="255" t="n"/>
      <c r="F160" s="255" t="n"/>
      <c r="G160" s="255" t="n"/>
      <c r="H160" s="255" t="n"/>
      <c r="I160" s="255" t="n"/>
      <c r="J160" s="255" t="n"/>
      <c r="K160" s="255" t="n"/>
      <c r="M160" s="255" t="n"/>
      <c r="N160" s="255" t="n"/>
      <c r="O160" s="255" t="n"/>
      <c r="P160" s="255" t="n"/>
      <c r="Q160" s="255" t="n"/>
      <c r="R160" s="255" t="n"/>
    </row>
    <row r="161" ht="13.2" customHeight="1" s="176">
      <c r="B161" s="211" t="n"/>
      <c r="D161" s="255" t="n"/>
      <c r="E161" s="255" t="n"/>
      <c r="F161" s="255" t="n"/>
      <c r="G161" s="255" t="n"/>
      <c r="H161" s="255" t="n"/>
      <c r="I161" s="255" t="n"/>
      <c r="J161" s="255" t="n"/>
      <c r="K161" s="255" t="n"/>
      <c r="M161" s="255" t="n"/>
      <c r="N161" s="255" t="n"/>
      <c r="O161" s="255" t="n"/>
      <c r="P161" s="255" t="n"/>
      <c r="Q161" s="255" t="n"/>
      <c r="R161" s="255" t="n"/>
    </row>
    <row r="162" ht="13.2" customHeight="1" s="176">
      <c r="B162" s="211" t="n"/>
      <c r="D162" s="255" t="n"/>
      <c r="E162" s="255" t="n"/>
      <c r="F162" s="255" t="n"/>
      <c r="G162" s="255" t="n"/>
      <c r="H162" s="255" t="n"/>
      <c r="I162" s="255" t="n"/>
      <c r="J162" s="255" t="n"/>
      <c r="K162" s="255" t="n"/>
      <c r="M162" s="255" t="n"/>
      <c r="N162" s="255" t="n"/>
      <c r="O162" s="255" t="n"/>
      <c r="P162" s="255" t="n"/>
      <c r="Q162" s="255" t="n"/>
      <c r="R162" s="255" t="n"/>
    </row>
    <row r="163" ht="13.2" customHeight="1" s="176">
      <c r="B163" s="211" t="n"/>
      <c r="D163" s="255" t="n"/>
      <c r="E163" s="255" t="n"/>
      <c r="F163" s="255" t="n"/>
      <c r="G163" s="255" t="n"/>
      <c r="H163" s="255" t="n"/>
      <c r="I163" s="255" t="n"/>
      <c r="J163" s="255" t="n"/>
      <c r="K163" s="255" t="n"/>
      <c r="M163" s="255" t="n"/>
      <c r="N163" s="255" t="n"/>
      <c r="O163" s="255" t="n"/>
      <c r="P163" s="255" t="n"/>
      <c r="Q163" s="255" t="n"/>
      <c r="R163" s="255" t="n"/>
    </row>
    <row r="164" ht="13.2" customHeight="1" s="176">
      <c r="B164" s="211" t="n"/>
      <c r="D164" s="255" t="n"/>
      <c r="E164" s="255" t="n"/>
      <c r="F164" s="255" t="n"/>
      <c r="G164" s="255" t="n"/>
      <c r="H164" s="255" t="n"/>
      <c r="I164" s="255" t="n"/>
      <c r="J164" s="255" t="n"/>
      <c r="K164" s="255" t="n"/>
      <c r="M164" s="255" t="n"/>
      <c r="N164" s="255" t="n"/>
      <c r="O164" s="255" t="n"/>
      <c r="P164" s="255" t="n"/>
      <c r="Q164" s="255" t="n"/>
      <c r="R164" s="255" t="n"/>
    </row>
    <row r="165" ht="13.2" customHeight="1" s="176">
      <c r="B165" s="211" t="n"/>
      <c r="D165" s="255" t="n"/>
      <c r="E165" s="255" t="n"/>
      <c r="F165" s="255" t="n"/>
      <c r="G165" s="255" t="n"/>
      <c r="H165" s="255" t="n"/>
      <c r="I165" s="255" t="n"/>
      <c r="J165" s="255" t="n"/>
      <c r="K165" s="255" t="n"/>
      <c r="M165" s="255" t="n"/>
      <c r="N165" s="255" t="n"/>
      <c r="O165" s="255" t="n"/>
      <c r="P165" s="255" t="n"/>
      <c r="Q165" s="255" t="n"/>
      <c r="R165" s="255" t="n"/>
    </row>
    <row r="166" ht="13.2" customHeight="1" s="176">
      <c r="B166" s="211" t="n"/>
      <c r="D166" s="255" t="n"/>
      <c r="E166" s="255" t="n"/>
      <c r="F166" s="255" t="n"/>
      <c r="G166" s="255" t="n"/>
      <c r="H166" s="255" t="n"/>
      <c r="I166" s="255" t="n"/>
      <c r="J166" s="255" t="n"/>
      <c r="K166" s="255" t="n"/>
      <c r="M166" s="255" t="n"/>
      <c r="N166" s="255" t="n"/>
      <c r="O166" s="255" t="n"/>
      <c r="P166" s="255" t="n"/>
      <c r="Q166" s="255" t="n"/>
      <c r="R166" s="255" t="n"/>
    </row>
    <row r="167" ht="13.2" customHeight="1" s="176">
      <c r="B167" s="211" t="n"/>
      <c r="D167" s="255" t="n"/>
      <c r="E167" s="255" t="n"/>
      <c r="F167" s="255" t="n"/>
      <c r="G167" s="255" t="n"/>
      <c r="H167" s="255" t="n"/>
      <c r="I167" s="255" t="n"/>
      <c r="J167" s="255" t="n"/>
      <c r="K167" s="255" t="n"/>
      <c r="M167" s="255" t="n"/>
      <c r="N167" s="255" t="n"/>
      <c r="O167" s="255" t="n"/>
      <c r="P167" s="255" t="n"/>
      <c r="Q167" s="255" t="n"/>
      <c r="R167" s="255" t="n"/>
    </row>
    <row r="168" ht="13.2" customHeight="1" s="176">
      <c r="B168" s="211" t="n"/>
      <c r="D168" s="255" t="n"/>
      <c r="E168" s="255" t="n"/>
      <c r="F168" s="255" t="n"/>
      <c r="G168" s="255" t="n"/>
      <c r="H168" s="255" t="n"/>
      <c r="I168" s="255" t="n"/>
      <c r="J168" s="255" t="n"/>
      <c r="K168" s="255" t="n"/>
      <c r="M168" s="255" t="n"/>
      <c r="N168" s="255" t="n"/>
      <c r="O168" s="255" t="n"/>
      <c r="P168" s="255" t="n"/>
      <c r="Q168" s="255" t="n"/>
      <c r="R168" s="255" t="n"/>
    </row>
    <row r="169" ht="13.2" customHeight="1" s="176">
      <c r="B169" s="211" t="n"/>
      <c r="D169" s="255" t="n"/>
      <c r="E169" s="255" t="n"/>
      <c r="F169" s="255" t="n"/>
      <c r="G169" s="255" t="n"/>
      <c r="H169" s="255" t="n"/>
      <c r="I169" s="255" t="n"/>
      <c r="J169" s="255" t="n"/>
      <c r="K169" s="255" t="n"/>
      <c r="M169" s="255" t="n"/>
      <c r="N169" s="255" t="n"/>
      <c r="O169" s="255" t="n"/>
      <c r="P169" s="255" t="n"/>
      <c r="Q169" s="255" t="n"/>
      <c r="R169" s="255" t="n"/>
    </row>
    <row r="170" ht="13.2" customHeight="1" s="176">
      <c r="B170" s="211" t="n"/>
      <c r="D170" s="255" t="n"/>
      <c r="E170" s="255" t="n"/>
      <c r="F170" s="255" t="n"/>
      <c r="G170" s="255" t="n"/>
      <c r="H170" s="255" t="n"/>
      <c r="I170" s="255" t="n"/>
      <c r="J170" s="255" t="n"/>
      <c r="K170" s="255" t="n"/>
      <c r="M170" s="255" t="n"/>
      <c r="N170" s="255" t="n"/>
      <c r="O170" s="255" t="n"/>
      <c r="P170" s="255" t="n"/>
      <c r="Q170" s="255" t="n"/>
      <c r="R170" s="255" t="n"/>
    </row>
    <row r="171" ht="13.2" customHeight="1" s="176">
      <c r="B171" s="211" t="n"/>
      <c r="D171" s="255" t="n"/>
      <c r="E171" s="255" t="n"/>
      <c r="F171" s="255" t="n"/>
      <c r="G171" s="255" t="n"/>
      <c r="H171" s="255" t="n"/>
      <c r="I171" s="255" t="n"/>
      <c r="J171" s="255" t="n"/>
      <c r="K171" s="255" t="n"/>
      <c r="M171" s="255" t="n"/>
      <c r="N171" s="255" t="n"/>
      <c r="O171" s="255" t="n"/>
      <c r="P171" s="255" t="n"/>
      <c r="Q171" s="255" t="n"/>
      <c r="R171" s="255" t="n"/>
    </row>
    <row r="172" ht="13.2" customHeight="1" s="176">
      <c r="B172" s="211" t="n"/>
      <c r="D172" s="255" t="n"/>
      <c r="E172" s="255" t="n"/>
      <c r="F172" s="255" t="n"/>
      <c r="G172" s="255" t="n"/>
      <c r="H172" s="255" t="n"/>
      <c r="I172" s="255" t="n"/>
      <c r="J172" s="255" t="n"/>
      <c r="K172" s="255" t="n"/>
      <c r="M172" s="255" t="n"/>
      <c r="N172" s="255" t="n"/>
      <c r="O172" s="255" t="n"/>
      <c r="P172" s="255" t="n"/>
      <c r="Q172" s="255" t="n"/>
      <c r="R172" s="255" t="n"/>
    </row>
    <row r="173" ht="13.2" customHeight="1" s="176">
      <c r="B173" s="211" t="n"/>
      <c r="D173" s="255" t="n"/>
      <c r="E173" s="255" t="n"/>
      <c r="F173" s="255" t="n"/>
      <c r="G173" s="255" t="n"/>
      <c r="H173" s="255" t="n"/>
      <c r="I173" s="255" t="n"/>
      <c r="J173" s="255" t="n"/>
      <c r="K173" s="255" t="n"/>
      <c r="M173" s="255" t="n"/>
      <c r="N173" s="255" t="n"/>
      <c r="O173" s="255" t="n"/>
      <c r="P173" s="255" t="n"/>
      <c r="Q173" s="255" t="n"/>
      <c r="R173" s="255" t="n"/>
    </row>
    <row r="174" ht="13.2" customHeight="1" s="176">
      <c r="B174" s="211" t="n"/>
      <c r="D174" s="255" t="n"/>
      <c r="E174" s="255" t="n"/>
      <c r="F174" s="255" t="n"/>
      <c r="G174" s="255" t="n"/>
      <c r="H174" s="255" t="n"/>
      <c r="I174" s="255" t="n"/>
      <c r="J174" s="255" t="n"/>
      <c r="K174" s="255" t="n"/>
      <c r="M174" s="255" t="n"/>
      <c r="N174" s="255" t="n"/>
      <c r="O174" s="255" t="n"/>
      <c r="P174" s="255" t="n"/>
      <c r="Q174" s="255" t="n"/>
      <c r="R174" s="255" t="n"/>
    </row>
    <row r="175" ht="13.2" customHeight="1" s="176">
      <c r="B175" s="211" t="n"/>
      <c r="D175" s="255" t="n"/>
      <c r="E175" s="255" t="n"/>
      <c r="F175" s="255" t="n"/>
      <c r="G175" s="255" t="n"/>
      <c r="H175" s="255" t="n"/>
      <c r="I175" s="255" t="n"/>
      <c r="J175" s="255" t="n"/>
      <c r="K175" s="255" t="n"/>
      <c r="M175" s="255" t="n"/>
      <c r="N175" s="255" t="n"/>
      <c r="O175" s="255" t="n"/>
      <c r="P175" s="255" t="n"/>
      <c r="Q175" s="255" t="n"/>
      <c r="R175" s="255" t="n"/>
    </row>
    <row r="176" ht="13.2" customHeight="1" s="176">
      <c r="B176" s="211" t="n"/>
      <c r="D176" s="255" t="n"/>
      <c r="E176" s="255" t="n"/>
      <c r="F176" s="255" t="n"/>
      <c r="G176" s="255" t="n"/>
      <c r="H176" s="255" t="n"/>
      <c r="I176" s="255" t="n"/>
      <c r="J176" s="255" t="n"/>
      <c r="K176" s="255" t="n"/>
      <c r="M176" s="255" t="n"/>
      <c r="N176" s="255" t="n"/>
      <c r="O176" s="255" t="n"/>
      <c r="P176" s="255" t="n"/>
      <c r="Q176" s="255" t="n"/>
      <c r="R176" s="255" t="n"/>
    </row>
    <row r="177" ht="13.2" customHeight="1" s="176">
      <c r="B177" s="211" t="n"/>
      <c r="D177" s="255" t="n"/>
      <c r="E177" s="255" t="n"/>
      <c r="F177" s="255" t="n"/>
      <c r="G177" s="255" t="n"/>
      <c r="H177" s="255" t="n"/>
      <c r="I177" s="255" t="n"/>
      <c r="J177" s="255" t="n"/>
      <c r="K177" s="255" t="n"/>
      <c r="M177" s="255" t="n"/>
      <c r="N177" s="255" t="n"/>
      <c r="O177" s="255" t="n"/>
      <c r="P177" s="255" t="n"/>
      <c r="Q177" s="255" t="n"/>
      <c r="R177" s="255" t="n"/>
    </row>
    <row r="178" ht="13.2" customHeight="1" s="176">
      <c r="B178" s="211" t="n"/>
      <c r="D178" s="255" t="n"/>
      <c r="E178" s="255" t="n"/>
      <c r="F178" s="255" t="n"/>
      <c r="G178" s="255" t="n"/>
      <c r="H178" s="255" t="n"/>
      <c r="I178" s="255" t="n"/>
      <c r="J178" s="255" t="n"/>
      <c r="K178" s="255" t="n"/>
      <c r="M178" s="255" t="n"/>
      <c r="N178" s="255" t="n"/>
      <c r="O178" s="255" t="n"/>
      <c r="P178" s="255" t="n"/>
      <c r="Q178" s="255" t="n"/>
      <c r="R178" s="255" t="n"/>
    </row>
    <row r="179" ht="13.2" customHeight="1" s="176">
      <c r="B179" s="211" t="n"/>
      <c r="D179" s="255" t="n"/>
      <c r="E179" s="255" t="n"/>
      <c r="F179" s="255" t="n"/>
      <c r="G179" s="255" t="n"/>
      <c r="H179" s="255" t="n"/>
      <c r="I179" s="255" t="n"/>
      <c r="J179" s="255" t="n"/>
      <c r="K179" s="255" t="n"/>
      <c r="M179" s="255" t="n"/>
      <c r="N179" s="255" t="n"/>
      <c r="O179" s="255" t="n"/>
      <c r="P179" s="255" t="n"/>
      <c r="Q179" s="255" t="n"/>
      <c r="R179" s="255" t="n"/>
    </row>
    <row r="180" ht="13.2" customHeight="1" s="176">
      <c r="B180" s="211" t="n"/>
      <c r="D180" s="255" t="n"/>
      <c r="E180" s="255" t="n"/>
      <c r="F180" s="255" t="n"/>
      <c r="G180" s="255" t="n"/>
      <c r="H180" s="255" t="n"/>
      <c r="I180" s="255" t="n"/>
      <c r="J180" s="255" t="n"/>
      <c r="K180" s="255" t="n"/>
      <c r="M180" s="255" t="n"/>
      <c r="N180" s="255" t="n"/>
      <c r="O180" s="255" t="n"/>
      <c r="P180" s="255" t="n"/>
      <c r="Q180" s="255" t="n"/>
      <c r="R180" s="255" t="n"/>
    </row>
    <row r="181" ht="13.2" customHeight="1" s="176">
      <c r="B181" s="211" t="n"/>
      <c r="D181" s="255" t="n"/>
      <c r="E181" s="255" t="n"/>
      <c r="F181" s="255" t="n"/>
      <c r="G181" s="255" t="n"/>
      <c r="H181" s="255" t="n"/>
      <c r="I181" s="255" t="n"/>
      <c r="J181" s="255" t="n"/>
      <c r="K181" s="255" t="n"/>
      <c r="M181" s="255" t="n"/>
      <c r="N181" s="255" t="n"/>
      <c r="O181" s="255" t="n"/>
      <c r="P181" s="255" t="n"/>
      <c r="Q181" s="255" t="n"/>
      <c r="R181" s="255" t="n"/>
    </row>
    <row r="182" ht="13.2" customHeight="1" s="176">
      <c r="B182" s="211" t="n"/>
      <c r="D182" s="255" t="n"/>
      <c r="E182" s="255" t="n"/>
      <c r="F182" s="255" t="n"/>
      <c r="G182" s="255" t="n"/>
      <c r="H182" s="255" t="n"/>
      <c r="I182" s="255" t="n"/>
      <c r="J182" s="255" t="n"/>
      <c r="K182" s="255" t="n"/>
      <c r="M182" s="255" t="n"/>
      <c r="N182" s="255" t="n"/>
      <c r="O182" s="255" t="n"/>
      <c r="P182" s="255" t="n"/>
      <c r="Q182" s="255" t="n"/>
      <c r="R182" s="255" t="n"/>
    </row>
    <row r="183" ht="13.2" customHeight="1" s="176">
      <c r="B183" s="211" t="n"/>
      <c r="D183" s="255" t="n"/>
      <c r="E183" s="255" t="n"/>
      <c r="F183" s="255" t="n"/>
      <c r="G183" s="255" t="n"/>
      <c r="H183" s="255" t="n"/>
      <c r="I183" s="255" t="n"/>
      <c r="J183" s="255" t="n"/>
      <c r="K183" s="255" t="n"/>
      <c r="M183" s="255" t="n"/>
      <c r="N183" s="255" t="n"/>
      <c r="O183" s="255" t="n"/>
      <c r="P183" s="255" t="n"/>
      <c r="Q183" s="255" t="n"/>
      <c r="R183" s="255" t="n"/>
    </row>
    <row r="184" ht="13.2" customHeight="1" s="176">
      <c r="B184" s="211" t="n"/>
      <c r="D184" s="255" t="n"/>
      <c r="E184" s="255" t="n"/>
      <c r="F184" s="255" t="n"/>
      <c r="G184" s="255" t="n"/>
      <c r="H184" s="255" t="n"/>
      <c r="I184" s="255" t="n"/>
      <c r="J184" s="255" t="n"/>
      <c r="K184" s="255" t="n"/>
      <c r="M184" s="255" t="n"/>
      <c r="N184" s="255" t="n"/>
      <c r="O184" s="255" t="n"/>
      <c r="P184" s="255" t="n"/>
      <c r="Q184" s="255" t="n"/>
      <c r="R184" s="255" t="n"/>
    </row>
    <row r="185" ht="13.2" customHeight="1" s="176">
      <c r="B185" s="211" t="n"/>
      <c r="D185" s="255" t="n"/>
      <c r="E185" s="255" t="n"/>
      <c r="F185" s="255" t="n"/>
      <c r="G185" s="255" t="n"/>
      <c r="H185" s="255" t="n"/>
      <c r="I185" s="255" t="n"/>
      <c r="J185" s="255" t="n"/>
      <c r="K185" s="255" t="n"/>
      <c r="M185" s="255" t="n"/>
      <c r="N185" s="255" t="n"/>
      <c r="O185" s="255" t="n"/>
      <c r="P185" s="255" t="n"/>
      <c r="Q185" s="255" t="n"/>
      <c r="R185" s="255" t="n"/>
    </row>
    <row r="186" ht="13.2" customHeight="1" s="176">
      <c r="B186" s="211" t="n"/>
      <c r="D186" s="255" t="n"/>
      <c r="E186" s="255" t="n"/>
      <c r="F186" s="255" t="n"/>
      <c r="G186" s="255" t="n"/>
      <c r="H186" s="255" t="n"/>
      <c r="I186" s="255" t="n"/>
      <c r="J186" s="255" t="n"/>
      <c r="K186" s="255" t="n"/>
      <c r="M186" s="255" t="n"/>
      <c r="N186" s="255" t="n"/>
      <c r="O186" s="255" t="n"/>
      <c r="P186" s="255" t="n"/>
      <c r="Q186" s="255" t="n"/>
      <c r="R186" s="255" t="n"/>
    </row>
    <row r="187" ht="13.2" customHeight="1" s="176">
      <c r="B187" s="211" t="n"/>
    </row>
    <row r="188" ht="13.2" customHeight="1" s="176">
      <c r="B188" s="211" t="n"/>
    </row>
    <row r="189" ht="13.2" customHeight="1" s="176">
      <c r="B189" s="211" t="n"/>
    </row>
    <row r="190" ht="13.2" customHeight="1" s="176">
      <c r="B190" s="211" t="n"/>
    </row>
    <row r="191" ht="13.2" customHeight="1" s="176">
      <c r="B191" s="211" t="n"/>
    </row>
    <row r="192" ht="13.2" customHeight="1" s="176">
      <c r="B192" s="211" t="n"/>
    </row>
    <row r="193" ht="13.2" customHeight="1" s="176">
      <c r="B193" s="211" t="n"/>
    </row>
    <row r="194" ht="13.2" customHeight="1" s="176">
      <c r="B194" s="211" t="n"/>
    </row>
    <row r="195" ht="13.2" customHeight="1" s="176">
      <c r="B195" s="211" t="n"/>
    </row>
    <row r="196" ht="13.2" customHeight="1" s="176">
      <c r="B196" s="211" t="n"/>
    </row>
    <row r="197" ht="13.2" customHeight="1" s="176">
      <c r="B197" s="211" t="n"/>
    </row>
    <row r="198" ht="13.2" customHeight="1" s="176">
      <c r="B198" s="211" t="n"/>
    </row>
    <row r="199" ht="13.2" customHeight="1" s="176">
      <c r="B199" s="211" t="n"/>
    </row>
    <row r="200" ht="13.2" customHeight="1" s="176">
      <c r="B200" s="211" t="n"/>
    </row>
    <row r="201" ht="13.2" customHeight="1" s="176">
      <c r="B201" s="211" t="n"/>
    </row>
    <row r="202" ht="13.2" customHeight="1" s="176">
      <c r="B202" s="211" t="n"/>
    </row>
    <row r="203" ht="13.2" customHeight="1" s="176">
      <c r="B203" s="211" t="n"/>
    </row>
    <row r="204" ht="13.2" customHeight="1" s="176">
      <c r="B204" s="211" t="n"/>
    </row>
    <row r="205" ht="13.2" customHeight="1" s="176">
      <c r="B205" s="211" t="n"/>
    </row>
    <row r="206" ht="13.2" customHeight="1" s="176">
      <c r="B206" s="211" t="n"/>
    </row>
    <row r="207" ht="13.2" customHeight="1" s="176">
      <c r="B207" s="211" t="n"/>
    </row>
    <row r="208" ht="13.2" customHeight="1" s="176">
      <c r="B208" s="211" t="n"/>
    </row>
    <row r="209" ht="13.2" customHeight="1" s="176">
      <c r="B209" s="211" t="n"/>
    </row>
    <row r="210" ht="13.2" customHeight="1" s="176">
      <c r="B210" s="211" t="n"/>
    </row>
    <row r="211" ht="13.2" customHeight="1" s="176">
      <c r="B211" s="211" t="n"/>
    </row>
    <row r="212" ht="13.2" customHeight="1" s="176">
      <c r="B212" s="211" t="n"/>
    </row>
    <row r="213" ht="13.2" customHeight="1" s="176">
      <c r="B213" s="211" t="n"/>
    </row>
    <row r="214" ht="13.2" customHeight="1" s="176">
      <c r="B214" s="211" t="n"/>
    </row>
    <row r="215" ht="13.2" customHeight="1" s="176">
      <c r="B215" s="211" t="n"/>
    </row>
    <row r="216" ht="13.2" customHeight="1" s="176">
      <c r="B216" s="211" t="n"/>
    </row>
    <row r="217" ht="13.2" customHeight="1" s="176">
      <c r="B217" s="211" t="n"/>
    </row>
    <row r="218" ht="13.2" customHeight="1" s="176">
      <c r="B218" s="211" t="n"/>
    </row>
    <row r="219" ht="13.2" customHeight="1" s="176">
      <c r="B219" s="211" t="n"/>
    </row>
    <row r="220" ht="13.2" customHeight="1" s="176">
      <c r="B220" s="211" t="n"/>
    </row>
    <row r="221" ht="13.2" customHeight="1" s="176">
      <c r="B221" s="211" t="n"/>
    </row>
    <row r="222" ht="13.2" customHeight="1" s="176">
      <c r="B222" s="211" t="n"/>
    </row>
    <row r="223" ht="13.2" customHeight="1" s="176">
      <c r="B223" s="211" t="n"/>
    </row>
    <row r="224" ht="13.2" customHeight="1" s="176">
      <c r="B224" s="211" t="n"/>
    </row>
    <row r="225" ht="13.2" customHeight="1" s="176">
      <c r="B225" s="211" t="n"/>
    </row>
    <row r="226" ht="13.2" customHeight="1" s="176">
      <c r="B226" s="211" t="n"/>
    </row>
    <row r="227" ht="13.2" customHeight="1" s="176">
      <c r="B227" s="211" t="n"/>
    </row>
    <row r="228" ht="13.2" customHeight="1" s="176">
      <c r="B228" s="211" t="n"/>
    </row>
    <row r="229" ht="13.2" customHeight="1" s="176">
      <c r="B229" s="211" t="n"/>
    </row>
    <row r="230" ht="13.2" customHeight="1" s="176">
      <c r="B230" s="211" t="n"/>
    </row>
    <row r="231" ht="13.2" customHeight="1" s="176">
      <c r="B231" s="211" t="n"/>
    </row>
    <row r="232" ht="13.2" customHeight="1" s="176">
      <c r="B232" s="211" t="n"/>
    </row>
    <row r="233" ht="13.2" customHeight="1" s="176">
      <c r="B233" s="211" t="n"/>
    </row>
    <row r="234" ht="13.2" customHeight="1" s="176">
      <c r="B234" s="211" t="n"/>
    </row>
    <row r="235" ht="13.2" customHeight="1" s="176">
      <c r="B235" s="211" t="n"/>
    </row>
    <row r="236" ht="13.2" customHeight="1" s="176">
      <c r="B236" s="211" t="n"/>
    </row>
    <row r="237" ht="13.2" customHeight="1" s="176">
      <c r="B237" s="211" t="n"/>
    </row>
    <row r="238" ht="13.2" customHeight="1" s="176">
      <c r="B238" s="211" t="n"/>
    </row>
    <row r="239" ht="13.2" customHeight="1" s="176">
      <c r="B239" s="211" t="n"/>
    </row>
    <row r="240" ht="13.2" customHeight="1" s="176">
      <c r="B240" s="211" t="n"/>
    </row>
    <row r="241" ht="13.2" customHeight="1" s="176">
      <c r="B241" s="211" t="n"/>
    </row>
    <row r="242" ht="13.2" customHeight="1" s="176">
      <c r="B242" s="211" t="n"/>
    </row>
    <row r="243" ht="13.2" customHeight="1" s="176">
      <c r="B243" s="211" t="n"/>
    </row>
    <row r="244" ht="13.2" customHeight="1" s="176">
      <c r="B244" s="211" t="n"/>
    </row>
    <row r="245" ht="13.2" customHeight="1" s="176">
      <c r="B245" s="211" t="n"/>
    </row>
    <row r="246" ht="13.2" customHeight="1" s="176">
      <c r="B246" s="211" t="n"/>
    </row>
    <row r="247" ht="13.2" customHeight="1" s="176">
      <c r="B247" s="211" t="n"/>
    </row>
    <row r="248" ht="13.2" customHeight="1" s="176">
      <c r="B248" s="211" t="n"/>
    </row>
    <row r="249" ht="13.2" customHeight="1" s="176">
      <c r="B249" s="211" t="n"/>
    </row>
    <row r="250" ht="13.2" customHeight="1" s="176">
      <c r="B250" s="211" t="n"/>
    </row>
    <row r="251" ht="13.2" customHeight="1" s="176">
      <c r="B251" s="211" t="n"/>
    </row>
    <row r="252" ht="13.2" customHeight="1" s="176">
      <c r="B252" s="211" t="n"/>
    </row>
    <row r="253" ht="13.2" customHeight="1" s="176">
      <c r="B253" s="211" t="n"/>
    </row>
    <row r="254" ht="13.2" customHeight="1" s="176">
      <c r="B254" s="211" t="n"/>
    </row>
    <row r="255" ht="13.2" customHeight="1" s="176">
      <c r="B255" s="211" t="n"/>
    </row>
    <row r="256" ht="13.2" customHeight="1" s="176">
      <c r="B256" s="211" t="n"/>
    </row>
    <row r="257" ht="13.2" customHeight="1" s="176">
      <c r="B257" s="211" t="n"/>
    </row>
    <row r="258" ht="13.2" customHeight="1" s="176">
      <c r="B258" s="211" t="n"/>
    </row>
    <row r="259" ht="13.2" customHeight="1" s="176">
      <c r="B259" s="211" t="n"/>
    </row>
    <row r="260" ht="13.2" customHeight="1" s="176">
      <c r="B260" s="211" t="n"/>
    </row>
    <row r="261" ht="13.2" customHeight="1" s="176">
      <c r="B261" s="211" t="n"/>
    </row>
    <row r="262" ht="13.2" customHeight="1" s="176">
      <c r="B262" s="211" t="n"/>
    </row>
    <row r="263" ht="13.2" customHeight="1" s="176">
      <c r="B263" s="211" t="n"/>
    </row>
    <row r="264" ht="13.2" customHeight="1" s="176">
      <c r="B264" s="211" t="n"/>
    </row>
    <row r="265" ht="13.2" customHeight="1" s="176">
      <c r="B265" s="211" t="n"/>
    </row>
    <row r="266" ht="13.2" customHeight="1" s="176">
      <c r="B266" s="211" t="n"/>
    </row>
    <row r="267" ht="13.2" customHeight="1" s="176">
      <c r="B267" s="211" t="n"/>
    </row>
    <row r="268" ht="13.2" customHeight="1" s="176">
      <c r="B268" s="211" t="n"/>
    </row>
    <row r="269" ht="13.2" customHeight="1" s="176">
      <c r="B269" s="211" t="n"/>
    </row>
    <row r="270" ht="13.2" customHeight="1" s="176">
      <c r="B270" s="211" t="n"/>
    </row>
    <row r="271" ht="13.2" customHeight="1" s="176">
      <c r="B271" s="211" t="n"/>
    </row>
    <row r="272" ht="13.2" customHeight="1" s="176">
      <c r="B272" s="211" t="n"/>
    </row>
    <row r="273" ht="13.2" customHeight="1" s="176">
      <c r="B273" s="211" t="n"/>
    </row>
    <row r="274" ht="13.2" customHeight="1" s="176">
      <c r="B274" s="211" t="n"/>
    </row>
    <row r="275" ht="13.2" customHeight="1" s="176">
      <c r="B275" s="211" t="n"/>
    </row>
    <row r="276" ht="13.2" customHeight="1" s="176">
      <c r="B276" s="211" t="n"/>
    </row>
    <row r="277" ht="13.2" customHeight="1" s="176">
      <c r="B277" s="211" t="n"/>
    </row>
    <row r="278" ht="13.2" customHeight="1" s="176">
      <c r="B278" s="211" t="n"/>
    </row>
    <row r="279" ht="13.2" customHeight="1" s="176">
      <c r="B279" s="211" t="n"/>
    </row>
    <row r="280" ht="13.2" customHeight="1" s="176">
      <c r="B280" s="211" t="n"/>
    </row>
    <row r="281" ht="13.2" customHeight="1" s="176">
      <c r="B281" s="211" t="n"/>
    </row>
    <row r="282" ht="13.2" customHeight="1" s="176">
      <c r="B282" s="211" t="n"/>
    </row>
    <row r="283" ht="13.2" customHeight="1" s="176">
      <c r="B283" s="211" t="n"/>
    </row>
    <row r="284" ht="13.2" customHeight="1" s="176">
      <c r="B284" s="211" t="n"/>
    </row>
    <row r="285" ht="13.2" customHeight="1" s="176">
      <c r="B285" s="211" t="n"/>
    </row>
    <row r="286" ht="13.2" customHeight="1" s="176">
      <c r="B286" s="211" t="n"/>
    </row>
    <row r="287" ht="13.2" customHeight="1" s="176">
      <c r="B287" s="211" t="n"/>
    </row>
    <row r="288" ht="13.2" customHeight="1" s="176">
      <c r="B288" s="211" t="n"/>
    </row>
    <row r="289" ht="13.2" customHeight="1" s="176">
      <c r="B289" s="211" t="n"/>
    </row>
    <row r="290" ht="13.2" customHeight="1" s="176">
      <c r="B290" s="211" t="n"/>
    </row>
    <row r="291" ht="13.2" customHeight="1" s="176">
      <c r="B291" s="211" t="n"/>
    </row>
    <row r="292" ht="13.2" customHeight="1" s="176">
      <c r="B292" s="211" t="n"/>
    </row>
    <row r="293" ht="13.2" customHeight="1" s="176">
      <c r="B293" s="211" t="n"/>
    </row>
    <row r="294" ht="13.2" customHeight="1" s="176">
      <c r="B294" s="211" t="n"/>
    </row>
    <row r="295" ht="13.2" customHeight="1" s="176">
      <c r="B295" s="211" t="n"/>
    </row>
    <row r="296" ht="13.2" customHeight="1" s="176">
      <c r="B296" s="211" t="n"/>
    </row>
    <row r="297" ht="13.2" customHeight="1" s="176">
      <c r="B297" s="211" t="n"/>
    </row>
    <row r="298" ht="13.2" customHeight="1" s="176">
      <c r="B298" s="211" t="n"/>
    </row>
    <row r="299" ht="13.2" customHeight="1" s="176">
      <c r="B299" s="211" t="n"/>
    </row>
    <row r="300" ht="13.2" customHeight="1" s="176">
      <c r="B300" s="211" t="n"/>
    </row>
    <row r="301" ht="13.2" customHeight="1" s="176">
      <c r="B301" s="211" t="n"/>
    </row>
    <row r="302" ht="13.2" customHeight="1" s="176">
      <c r="B302" s="211" t="n"/>
    </row>
    <row r="303" ht="13.2" customHeight="1" s="176">
      <c r="B303" s="211" t="n"/>
    </row>
    <row r="304" ht="13.2" customHeight="1" s="176">
      <c r="B304" s="211" t="n"/>
    </row>
    <row r="305" ht="13.2" customHeight="1" s="176">
      <c r="B305" s="211" t="n"/>
    </row>
    <row r="306" ht="13.2" customHeight="1" s="176">
      <c r="B306" s="211" t="n"/>
    </row>
    <row r="307" ht="13.2" customHeight="1" s="176">
      <c r="B307" s="211" t="n"/>
    </row>
    <row r="308" ht="13.2" customHeight="1" s="176">
      <c r="B308" s="211" t="n"/>
    </row>
    <row r="309" ht="13.2" customHeight="1" s="176">
      <c r="B309" s="211" t="n"/>
    </row>
    <row r="310" ht="13.2" customHeight="1" s="176">
      <c r="B310" s="211" t="n"/>
    </row>
    <row r="311" ht="13.2" customHeight="1" s="176">
      <c r="B311" s="211" t="n"/>
    </row>
    <row r="312" ht="13.2" customHeight="1" s="176">
      <c r="B312" s="211" t="n"/>
    </row>
    <row r="313" ht="13.2" customHeight="1" s="176">
      <c r="B313" s="211" t="n"/>
    </row>
    <row r="314" ht="13.2" customHeight="1" s="176">
      <c r="B314" s="211" t="n"/>
    </row>
    <row r="315" ht="13.2" customHeight="1" s="176">
      <c r="B315" s="211" t="n"/>
    </row>
    <row r="316" ht="13.2" customHeight="1" s="176">
      <c r="B316" s="211" t="n"/>
    </row>
    <row r="317" ht="13.2" customHeight="1" s="176">
      <c r="B317" s="211" t="n"/>
    </row>
    <row r="318" ht="13.2" customHeight="1" s="176">
      <c r="B318" s="211" t="n"/>
    </row>
    <row r="319" ht="13.2" customHeight="1" s="176">
      <c r="B319" s="211" t="n"/>
    </row>
    <row r="320" ht="13.2" customHeight="1" s="176">
      <c r="B320" s="211" t="n"/>
    </row>
    <row r="321" ht="13.2" customHeight="1" s="176">
      <c r="B321" s="211" t="n"/>
    </row>
    <row r="322" ht="13.2" customHeight="1" s="176">
      <c r="B322" s="211" t="n"/>
    </row>
    <row r="323" ht="13.2" customHeight="1" s="176">
      <c r="B323" s="211" t="n"/>
    </row>
    <row r="324" ht="13.2" customHeight="1" s="176">
      <c r="B324" s="211" t="n"/>
    </row>
    <row r="325" ht="13.2" customHeight="1" s="176">
      <c r="B325" s="211" t="n"/>
    </row>
    <row r="326" ht="13.2" customHeight="1" s="176">
      <c r="B326" s="211" t="n"/>
    </row>
    <row r="327" ht="13.2" customHeight="1" s="176">
      <c r="B327" s="211" t="n"/>
    </row>
    <row r="328" ht="13.2" customHeight="1" s="176">
      <c r="B328" s="211" t="n"/>
    </row>
    <row r="329" ht="13.2" customHeight="1" s="176">
      <c r="B329" s="211" t="n"/>
    </row>
    <row r="330" ht="13.2" customHeight="1" s="176">
      <c r="B330" s="211" t="n"/>
    </row>
    <row r="331" ht="13.2" customHeight="1" s="176">
      <c r="B331" s="211" t="n"/>
    </row>
    <row r="332" ht="13.2" customHeight="1" s="176">
      <c r="B332" s="211" t="n"/>
    </row>
    <row r="333" ht="13.2" customHeight="1" s="176">
      <c r="B333" s="211" t="n"/>
    </row>
    <row r="334" ht="13.2" customHeight="1" s="176">
      <c r="B334" s="211" t="n"/>
    </row>
    <row r="335" ht="13.2" customHeight="1" s="176">
      <c r="B335" s="211" t="n"/>
    </row>
    <row r="336" ht="13.2" customHeight="1" s="176">
      <c r="B336" s="211" t="n"/>
    </row>
    <row r="337" ht="13.2" customHeight="1" s="176">
      <c r="B337" s="211" t="n"/>
    </row>
    <row r="338" ht="13.2" customHeight="1" s="176">
      <c r="B338" s="211" t="n"/>
    </row>
    <row r="339" ht="13.2" customHeight="1" s="176">
      <c r="B339" s="211" t="n"/>
    </row>
    <row r="340" ht="13.2" customHeight="1" s="176">
      <c r="B340" s="211" t="n"/>
    </row>
    <row r="341" ht="13.2" customHeight="1" s="176">
      <c r="B341" s="211" t="n"/>
    </row>
    <row r="342" ht="13.2" customHeight="1" s="176">
      <c r="B342" s="211" t="n"/>
    </row>
    <row r="343" ht="13.2" customHeight="1" s="176">
      <c r="B343" s="211" t="n"/>
    </row>
    <row r="344" ht="13.2" customHeight="1" s="176">
      <c r="B344" s="211" t="n"/>
    </row>
    <row r="345" ht="13.2" customHeight="1" s="176">
      <c r="B345" s="211" t="n"/>
    </row>
    <row r="346" ht="13.2" customHeight="1" s="176">
      <c r="B346" s="211" t="n"/>
    </row>
    <row r="347" ht="13.2" customHeight="1" s="176">
      <c r="B347" s="211" t="n"/>
    </row>
    <row r="348" ht="13.2" customHeight="1" s="176">
      <c r="B348" s="211" t="n"/>
    </row>
    <row r="349" ht="13.2" customHeight="1" s="176">
      <c r="B349" s="211" t="n"/>
    </row>
    <row r="350" ht="13.2" customHeight="1" s="176">
      <c r="B350" s="211" t="n"/>
    </row>
    <row r="351" ht="13.2" customHeight="1" s="176">
      <c r="B351" s="211" t="n"/>
    </row>
    <row r="352" ht="13.2" customHeight="1" s="176">
      <c r="B352" s="211" t="n"/>
    </row>
    <row r="353" ht="13.2" customHeight="1" s="176">
      <c r="B353" s="211" t="n"/>
    </row>
    <row r="354" ht="13.2" customHeight="1" s="176">
      <c r="B354" s="211" t="n"/>
    </row>
    <row r="355" ht="13.2" customHeight="1" s="176">
      <c r="B355" s="211" t="n"/>
    </row>
    <row r="356" ht="13.2" customHeight="1" s="176">
      <c r="B356" s="211" t="n"/>
    </row>
    <row r="357" ht="13.2" customHeight="1" s="176">
      <c r="B357" s="211" t="n"/>
    </row>
    <row r="358" ht="13.2" customHeight="1" s="176">
      <c r="B358" s="211" t="n"/>
    </row>
    <row r="359" ht="13.2" customHeight="1" s="176">
      <c r="B359" s="211" t="n"/>
    </row>
    <row r="360" ht="13.2" customHeight="1" s="176">
      <c r="B360" s="211" t="n"/>
    </row>
    <row r="361" ht="13.2" customHeight="1" s="176">
      <c r="B361" s="211" t="n"/>
    </row>
    <row r="362" ht="13.2" customHeight="1" s="176">
      <c r="B362" s="211" t="n"/>
    </row>
    <row r="363" ht="13.2" customHeight="1" s="176">
      <c r="B363" s="211" t="n"/>
    </row>
    <row r="364" ht="13.2" customHeight="1" s="176">
      <c r="B364" s="211" t="n"/>
    </row>
    <row r="365" ht="13.2" customHeight="1" s="176">
      <c r="B365" s="211" t="n"/>
    </row>
    <row r="366" ht="13.2" customHeight="1" s="176">
      <c r="B366" s="211" t="n"/>
    </row>
    <row r="367" ht="13.2" customHeight="1" s="176">
      <c r="B367" s="211" t="n"/>
    </row>
    <row r="368" ht="13.2" customHeight="1" s="176">
      <c r="B368" s="211" t="n"/>
    </row>
    <row r="369" ht="13.2" customHeight="1" s="176">
      <c r="B369" s="211" t="n"/>
    </row>
    <row r="370" ht="13.2" customHeight="1" s="176">
      <c r="B370" s="211" t="n"/>
    </row>
    <row r="371" ht="13.2" customHeight="1" s="176">
      <c r="B371" s="211" t="n"/>
    </row>
    <row r="372" ht="13.2" customHeight="1" s="176">
      <c r="B372" s="211" t="n"/>
    </row>
    <row r="373" ht="13.2" customHeight="1" s="176">
      <c r="B373" s="211" t="n"/>
    </row>
    <row r="374" ht="13.2" customHeight="1" s="176">
      <c r="B374" s="211" t="n"/>
    </row>
    <row r="375" ht="13.2" customHeight="1" s="176">
      <c r="B375" s="211" t="n"/>
    </row>
    <row r="376" ht="13.2" customHeight="1" s="176">
      <c r="B376" s="211" t="n"/>
    </row>
    <row r="377" ht="13.2" customHeight="1" s="176">
      <c r="B377" s="211" t="n"/>
    </row>
    <row r="378" ht="13.2" customHeight="1" s="176">
      <c r="B378" s="211" t="n"/>
    </row>
    <row r="379" ht="13.2" customHeight="1" s="176">
      <c r="B379" s="211" t="n"/>
    </row>
    <row r="380" ht="13.2" customHeight="1" s="176">
      <c r="B380" s="211" t="n"/>
    </row>
    <row r="381" ht="13.2" customHeight="1" s="176">
      <c r="B381" s="211" t="n"/>
    </row>
    <row r="382" ht="13.2" customHeight="1" s="176">
      <c r="B382" s="211" t="n"/>
    </row>
    <row r="383" ht="13.2" customHeight="1" s="176">
      <c r="B383" s="211" t="n"/>
    </row>
    <row r="384" ht="13.2" customHeight="1" s="176">
      <c r="B384" s="211" t="n"/>
    </row>
    <row r="385" ht="13.2" customHeight="1" s="176">
      <c r="B385" s="211" t="n"/>
    </row>
    <row r="386" ht="13.2" customHeight="1" s="176">
      <c r="B386" s="211" t="n"/>
    </row>
    <row r="387" ht="13.2" customHeight="1" s="176">
      <c r="B387" s="211" t="n"/>
    </row>
    <row r="388" ht="13.2" customHeight="1" s="176">
      <c r="B388" s="211" t="n"/>
    </row>
    <row r="389" ht="13.2" customHeight="1" s="176">
      <c r="B389" s="211" t="n"/>
    </row>
    <row r="390" ht="13.2" customHeight="1" s="176">
      <c r="B390" s="211" t="n"/>
    </row>
    <row r="391" ht="13.2" customHeight="1" s="176">
      <c r="B391" s="211" t="n"/>
    </row>
    <row r="392" ht="13.2" customHeight="1" s="176">
      <c r="B392" s="211" t="n"/>
    </row>
    <row r="393" ht="13.2" customHeight="1" s="176">
      <c r="B393" s="211" t="n"/>
    </row>
    <row r="394" ht="13.2" customHeight="1" s="176">
      <c r="B394" s="211" t="n"/>
    </row>
    <row r="395" ht="13.2" customHeight="1" s="176">
      <c r="B395" s="211" t="n"/>
    </row>
    <row r="396" ht="13.2" customHeight="1" s="176">
      <c r="B396" s="211" t="n"/>
    </row>
    <row r="397" ht="13.2" customHeight="1" s="176">
      <c r="B397" s="211" t="n"/>
    </row>
    <row r="398" ht="13.2" customHeight="1" s="176">
      <c r="B398" s="211" t="n"/>
    </row>
    <row r="399" ht="13.2" customHeight="1" s="176">
      <c r="B399" s="211" t="n"/>
    </row>
    <row r="400" ht="13.2" customHeight="1" s="176">
      <c r="B400" s="211" t="n"/>
    </row>
    <row r="401" ht="13.2" customHeight="1" s="176">
      <c r="B401" s="211" t="n"/>
    </row>
    <row r="402" ht="13.2" customHeight="1" s="176">
      <c r="B402" s="211" t="n"/>
    </row>
    <row r="403" ht="13.2" customHeight="1" s="176">
      <c r="B403" s="211" t="n"/>
    </row>
    <row r="404" ht="13.2" customHeight="1" s="176">
      <c r="B404" s="211" t="n"/>
    </row>
    <row r="405" ht="13.2" customHeight="1" s="176">
      <c r="B405" s="211" t="n"/>
    </row>
    <row r="406" ht="13.2" customHeight="1" s="176">
      <c r="B406" s="211" t="n"/>
    </row>
    <row r="407" ht="13.2" customHeight="1" s="176">
      <c r="B407" s="211" t="n"/>
    </row>
    <row r="408" ht="13.2" customHeight="1" s="176">
      <c r="B408" s="211" t="n"/>
    </row>
    <row r="409" ht="13.2" customHeight="1" s="176">
      <c r="B409" s="211" t="n"/>
    </row>
    <row r="410" ht="13.2" customHeight="1" s="176">
      <c r="B410" s="211" t="n"/>
    </row>
    <row r="411" ht="13.2" customHeight="1" s="176">
      <c r="B411" s="211" t="n"/>
    </row>
    <row r="412" ht="13.2" customHeight="1" s="176">
      <c r="B412" s="211" t="n"/>
    </row>
    <row r="413" ht="13.2" customHeight="1" s="176">
      <c r="B413" s="211" t="n"/>
    </row>
    <row r="414" ht="13.2" customHeight="1" s="176">
      <c r="B414" s="211" t="n"/>
    </row>
    <row r="415" ht="13.2" customHeight="1" s="176">
      <c r="B415" s="211" t="n"/>
    </row>
    <row r="416" ht="13.2" customHeight="1" s="176">
      <c r="B416" s="211" t="n"/>
    </row>
    <row r="417" ht="13.2" customHeight="1" s="176">
      <c r="B417" s="211" t="n"/>
    </row>
    <row r="418" ht="13.2" customHeight="1" s="176">
      <c r="B418" s="211" t="n"/>
    </row>
    <row r="419" ht="13.2" customHeight="1" s="176">
      <c r="B419" s="211" t="n"/>
    </row>
    <row r="420" ht="13.2" customHeight="1" s="176">
      <c r="B420" s="211" t="n"/>
    </row>
    <row r="421" ht="13.2" customHeight="1" s="176">
      <c r="B421" s="211" t="n"/>
    </row>
    <row r="422" ht="13.2" customHeight="1" s="176">
      <c r="B422" s="211" t="n"/>
    </row>
    <row r="423" ht="13.2" customHeight="1" s="176">
      <c r="B423" s="211" t="n"/>
    </row>
  </sheetData>
  <printOptions horizontalCentered="1" verticalCentered="0" headings="0" gridLines="0" gridLinesSet="1"/>
  <pageMargins left="0.9840277777777779" right="0.9840277777777779" top="1.02361111111111" bottom="0.472222222222222" header="0.433333333333333" footer="0.236111111111111"/>
  <pageSetup orientation="landscape" paperSize="9" scale="100" fitToHeight="4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  &amp;P&amp;R&amp;"Times New Roman,Regular"&amp;8 3/11/06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4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015625" defaultRowHeight="13.2" customHeight="1" zeroHeight="0" outlineLevelRow="0"/>
  <cols>
    <col width="1.87" customWidth="1" style="211" min="1" max="1"/>
    <col width="58.32" customWidth="1" style="211" min="2" max="2"/>
    <col width="33.66" customWidth="1" style="212" min="3" max="3"/>
    <col width="14.1" customWidth="1" style="213" min="4" max="10"/>
    <col width="14.1" customWidth="1" style="255" min="11" max="19"/>
    <col width="12.99" customWidth="1" style="211" min="20" max="20"/>
    <col width="11.32" customWidth="1" style="211" min="21" max="21"/>
    <col width="14.1" customWidth="1" style="211" min="22" max="22"/>
    <col width="18.33" customWidth="1" style="211" min="23" max="23"/>
    <col width="23.99" customWidth="1" style="211" min="24" max="24"/>
    <col width="24.1" customWidth="1" style="211" min="25" max="25"/>
    <col width="14.99" customWidth="1" style="211" min="26" max="26"/>
    <col width="15.99" customWidth="1" style="211" min="27" max="27"/>
    <col width="9.1" customWidth="1" style="211" min="28" max="36"/>
    <col width="11.43" customWidth="1" style="211" min="37" max="37"/>
    <col width="9.1" customWidth="1" style="211" min="38" max="257"/>
  </cols>
  <sheetData>
    <row r="1" ht="13.8" customHeight="1" s="176"/>
    <row r="2" ht="13.2" customHeight="1" s="176">
      <c r="B2" s="214" t="inlineStr">
        <is>
          <t>Invoice details - Passthrough</t>
        </is>
      </c>
      <c r="H2" s="213" t="inlineStr">
        <is>
          <t>I = Investment</t>
        </is>
      </c>
    </row>
    <row r="3" ht="16.2" customHeight="1" s="176">
      <c r="B3" s="215" t="inlineStr">
        <is>
          <t>End User Computing - VendorAOrigin</t>
        </is>
      </c>
      <c r="C3" s="216" t="n"/>
      <c r="D3" s="217" t="n"/>
      <c r="E3" s="217" t="n"/>
      <c r="F3" s="217" t="n"/>
      <c r="G3" s="217" t="n"/>
      <c r="H3" s="213" t="inlineStr">
        <is>
          <t>L = Lease</t>
        </is>
      </c>
      <c r="I3" s="217" t="n"/>
      <c r="J3" s="217" t="n"/>
      <c r="K3" s="240" t="n"/>
      <c r="L3" s="240" t="n"/>
      <c r="M3" s="240" t="n"/>
      <c r="N3" s="240" t="n"/>
      <c r="O3" s="240" t="n"/>
      <c r="P3" s="240" t="n"/>
      <c r="Q3" s="240" t="n"/>
      <c r="R3" s="240" t="n"/>
      <c r="S3" s="240" t="n"/>
    </row>
    <row r="4" ht="16.8" customHeight="1" s="176">
      <c r="B4" s="218" t="n"/>
      <c r="C4" s="216" t="n"/>
      <c r="D4" s="217" t="n"/>
      <c r="E4" s="217" t="n"/>
      <c r="F4" s="217" t="n"/>
      <c r="G4" s="217" t="n"/>
      <c r="H4" s="213" t="inlineStr">
        <is>
          <t>C = Contract</t>
        </is>
      </c>
      <c r="I4" s="217" t="n"/>
      <c r="J4" s="217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</row>
    <row r="5" ht="27" customHeight="1" s="176">
      <c r="B5" s="219" t="inlineStr">
        <is>
          <t xml:space="preserve">Medium Service Level </t>
        </is>
      </c>
      <c r="C5" s="216" t="n"/>
      <c r="D5" s="220" t="inlineStr">
        <is>
          <t>Period:</t>
        </is>
      </c>
      <c r="E5" s="220">
        <f>Period</f>
        <v/>
      </c>
      <c r="F5" s="217" t="n"/>
      <c r="G5" s="217" t="n"/>
      <c r="H5" s="213" t="inlineStr">
        <is>
          <t>D = Direct Expense</t>
        </is>
      </c>
      <c r="I5" s="217" t="n"/>
      <c r="J5" s="217" t="n"/>
      <c r="K5" s="240" t="n"/>
      <c r="L5" s="240" t="n"/>
      <c r="M5" s="240" t="n"/>
      <c r="N5" s="240" t="n"/>
      <c r="O5" s="240" t="n"/>
      <c r="P5" s="240" t="n"/>
      <c r="Q5" s="240" t="n"/>
      <c r="R5" s="240" t="n"/>
      <c r="S5" s="240" t="n"/>
    </row>
    <row r="6" ht="16.8" customHeight="1" s="176">
      <c r="B6" s="218" t="n"/>
      <c r="C6" s="216" t="n"/>
      <c r="D6" s="217" t="n"/>
      <c r="E6" s="217" t="n"/>
      <c r="F6" s="217" t="n"/>
      <c r="G6" s="217" t="n"/>
      <c r="H6" s="217" t="n"/>
      <c r="I6" s="217" t="n"/>
      <c r="J6" s="217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</row>
    <row r="7" ht="40.2" customHeight="1" s="176">
      <c r="B7" s="190" t="inlineStr">
        <is>
          <t>Category of Service</t>
        </is>
      </c>
      <c r="C7" s="221" t="inlineStr">
        <is>
          <t>Units</t>
        </is>
      </c>
      <c r="D7" s="221" t="inlineStr">
        <is>
          <t>Contract code</t>
        </is>
      </c>
      <c r="E7" s="221" t="inlineStr">
        <is>
          <t xml:space="preserve">Supplier </t>
        </is>
      </c>
      <c r="F7" s="221" t="inlineStr">
        <is>
          <t>Country</t>
        </is>
      </c>
      <c r="G7" s="221" t="inlineStr">
        <is>
          <t>Description</t>
        </is>
      </c>
      <c r="H7" s="221" t="inlineStr">
        <is>
          <t>I/L/C/D</t>
        </is>
      </c>
      <c r="I7" s="221" t="inlineStr">
        <is>
          <t>Start date</t>
        </is>
      </c>
      <c r="J7" s="221" t="inlineStr">
        <is>
          <t>Duration</t>
        </is>
      </c>
      <c r="K7" s="222" t="inlineStr">
        <is>
          <t>Volume</t>
        </is>
      </c>
      <c r="L7" s="222" t="inlineStr">
        <is>
          <t>Investement/Contract amount</t>
        </is>
      </c>
      <c r="M7" s="222" t="inlineStr">
        <is>
          <t>Current month</t>
        </is>
      </c>
      <c r="N7" s="222" t="inlineStr">
        <is>
          <t>Ytd</t>
        </is>
      </c>
      <c r="O7" s="222" t="inlineStr">
        <is>
          <t>Forecast Year 1</t>
        </is>
      </c>
      <c r="P7" s="222" t="inlineStr">
        <is>
          <t>Forecast Year 2</t>
        </is>
      </c>
      <c r="Q7" s="222" t="inlineStr">
        <is>
          <t>Forecast Year 3</t>
        </is>
      </c>
      <c r="R7" s="222" t="inlineStr">
        <is>
          <t>Forecast Year 4</t>
        </is>
      </c>
      <c r="S7" s="223" t="inlineStr">
        <is>
          <t>Forecast Year 5</t>
        </is>
      </c>
    </row>
    <row r="8" ht="13.2" customHeight="1" s="176">
      <c r="B8" s="192" t="inlineStr">
        <is>
          <t>Standard Desktops (CEDS)</t>
        </is>
      </c>
      <c r="C8" s="192" t="inlineStr">
        <is>
          <t>Desktops per location code</t>
        </is>
      </c>
      <c r="D8" s="192" t="n"/>
      <c r="E8" s="192" t="n"/>
      <c r="F8" s="192" t="n"/>
      <c r="G8" s="192" t="n"/>
      <c r="H8" s="192" t="n"/>
      <c r="I8" s="192" t="n"/>
      <c r="J8" s="192" t="n"/>
      <c r="K8" s="256" t="n"/>
      <c r="L8" s="256" t="n"/>
      <c r="M8" s="256" t="n"/>
      <c r="N8" s="256" t="n"/>
      <c r="O8" s="256" t="n"/>
      <c r="P8" s="256" t="n"/>
      <c r="Q8" s="256" t="n"/>
      <c r="R8" s="256" t="n"/>
      <c r="S8" s="256" t="n"/>
    </row>
    <row r="9" ht="13.2" customHeight="1" s="176">
      <c r="B9" s="195" t="inlineStr">
        <is>
          <t>Non-Standard Desktops (non CEDS)</t>
        </is>
      </c>
      <c r="C9" s="195" t="inlineStr">
        <is>
          <t>Desktops per location code</t>
        </is>
      </c>
      <c r="D9" s="195" t="n"/>
      <c r="E9" s="195" t="n"/>
      <c r="F9" s="195" t="n"/>
      <c r="G9" s="195" t="n"/>
      <c r="H9" s="195" t="n"/>
      <c r="I9" s="195" t="n"/>
      <c r="J9" s="195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</row>
    <row r="10" ht="13.2" customHeight="1" s="176">
      <c r="B10" s="204" t="inlineStr">
        <is>
          <t>Standard Laptops (CEDS)</t>
        </is>
      </c>
      <c r="C10" s="204" t="inlineStr">
        <is>
          <t>Laptops per User</t>
        </is>
      </c>
      <c r="D10" s="204" t="n"/>
      <c r="E10" s="204" t="n"/>
      <c r="F10" s="204" t="n"/>
      <c r="G10" s="204" t="n"/>
      <c r="H10" s="204" t="n"/>
      <c r="I10" s="204" t="n"/>
      <c r="J10" s="204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</row>
    <row r="11" ht="13.2" customHeight="1" s="176">
      <c r="B11" s="195" t="inlineStr">
        <is>
          <t>Non-Standard Laptops (non CEDS)</t>
        </is>
      </c>
      <c r="C11" s="195" t="inlineStr">
        <is>
          <t>Laptops per User</t>
        </is>
      </c>
      <c r="D11" s="195" t="n"/>
      <c r="E11" s="195" t="n"/>
      <c r="F11" s="195" t="n"/>
      <c r="G11" s="195" t="n"/>
      <c r="H11" s="195" t="n"/>
      <c r="I11" s="195" t="n"/>
      <c r="J11" s="195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</row>
    <row r="12" ht="13.2" customHeight="1" s="176">
      <c r="B12" s="204" t="inlineStr">
        <is>
          <t>Standard Local Printers</t>
        </is>
      </c>
      <c r="C12" s="204" t="inlineStr">
        <is>
          <t>Desktops per location code</t>
        </is>
      </c>
      <c r="D12" s="204" t="n"/>
      <c r="E12" s="204" t="n"/>
      <c r="F12" s="204" t="n"/>
      <c r="G12" s="204" t="n"/>
      <c r="H12" s="204" t="n"/>
      <c r="I12" s="204" t="n"/>
      <c r="J12" s="204" t="n"/>
      <c r="K12" s="258" t="n"/>
      <c r="L12" s="258" t="n"/>
      <c r="M12" s="258" t="n"/>
      <c r="N12" s="258" t="n"/>
      <c r="O12" s="258" t="n"/>
      <c r="P12" s="258" t="n"/>
      <c r="Q12" s="258" t="n"/>
      <c r="R12" s="258" t="n"/>
      <c r="S12" s="258" t="n"/>
    </row>
    <row r="13" ht="13.2" customHeight="1" s="176">
      <c r="B13" s="195" t="inlineStr">
        <is>
          <t>Non-Standard Local Printers</t>
        </is>
      </c>
      <c r="C13" s="195" t="inlineStr">
        <is>
          <t>Desktops per location code</t>
        </is>
      </c>
      <c r="D13" s="195" t="n"/>
      <c r="E13" s="195" t="n"/>
      <c r="F13" s="195" t="n"/>
      <c r="G13" s="195" t="n"/>
      <c r="H13" s="195" t="n"/>
      <c r="I13" s="195" t="n"/>
      <c r="J13" s="195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</row>
    <row r="14" ht="13.2" customHeight="1" s="176">
      <c r="B14" s="204" t="inlineStr">
        <is>
          <t>Standard Network Printers</t>
        </is>
      </c>
      <c r="C14" s="204" t="inlineStr">
        <is>
          <t>Desktops per location code</t>
        </is>
      </c>
      <c r="D14" s="204" t="n"/>
      <c r="E14" s="204" t="n"/>
      <c r="F14" s="204" t="n"/>
      <c r="G14" s="204" t="n"/>
      <c r="H14" s="204" t="n"/>
      <c r="I14" s="204" t="n"/>
      <c r="J14" s="204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</row>
    <row r="15" ht="13.2" customHeight="1" s="176">
      <c r="B15" s="195" t="inlineStr">
        <is>
          <t>Non-Standard Network Printers</t>
        </is>
      </c>
      <c r="C15" s="195" t="inlineStr">
        <is>
          <t>Desktops per location code</t>
        </is>
      </c>
      <c r="D15" s="195" t="n"/>
      <c r="E15" s="195" t="n"/>
      <c r="F15" s="195" t="n"/>
      <c r="G15" s="195" t="n"/>
      <c r="H15" s="195" t="n"/>
      <c r="I15" s="195" t="n"/>
      <c r="J15" s="195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</row>
    <row r="16" ht="13.8" customHeight="1" s="176">
      <c r="B16" s="230" t="inlineStr">
        <is>
          <t>Other Peripherals</t>
        </is>
      </c>
      <c r="C16" s="230" t="inlineStr">
        <is>
          <t>Desktops per location code</t>
        </is>
      </c>
      <c r="D16" s="230" t="n"/>
      <c r="E16" s="230" t="n"/>
      <c r="F16" s="230" t="n"/>
      <c r="G16" s="230" t="n"/>
      <c r="H16" s="230" t="n"/>
      <c r="I16" s="230" t="n"/>
      <c r="J16" s="230" t="n"/>
      <c r="K16" s="259" t="n"/>
      <c r="L16" s="259" t="n"/>
      <c r="M16" s="259" t="n"/>
      <c r="N16" s="259" t="n"/>
      <c r="O16" s="259" t="n"/>
      <c r="P16" s="259" t="n"/>
      <c r="Q16" s="259" t="n"/>
      <c r="R16" s="259" t="n"/>
      <c r="S16" s="259" t="n"/>
    </row>
    <row r="17" ht="13.8" customHeight="1" s="176">
      <c r="B17" s="233" t="n"/>
      <c r="C17" s="234" t="inlineStr">
        <is>
          <t>Subtotal:</t>
        </is>
      </c>
      <c r="D17" s="234" t="n"/>
      <c r="E17" s="234" t="n"/>
      <c r="F17" s="234" t="n"/>
      <c r="G17" s="234" t="n"/>
      <c r="H17" s="234" t="n"/>
      <c r="I17" s="234" t="n"/>
      <c r="J17" s="234" t="n"/>
      <c r="K17" s="260">
        <f>SUM(K8:K16)</f>
        <v/>
      </c>
      <c r="L17" s="260">
        <f>SUM(L8:L16)</f>
        <v/>
      </c>
      <c r="M17" s="260">
        <f>SUM(M8:M16)</f>
        <v/>
      </c>
      <c r="N17" s="260">
        <f>SUM(N8:N16)</f>
        <v/>
      </c>
      <c r="O17" s="260">
        <f>SUM(O8:O16)</f>
        <v/>
      </c>
      <c r="P17" s="260">
        <f>SUM(P8:P16)</f>
        <v/>
      </c>
      <c r="Q17" s="260">
        <f>SUM(Q8:Q16)</f>
        <v/>
      </c>
      <c r="R17" s="260">
        <f>SUM(R8:R16)</f>
        <v/>
      </c>
      <c r="S17" s="260">
        <f>SUM(S8:S16)</f>
        <v/>
      </c>
    </row>
    <row r="18" ht="16.2" customHeight="1" s="176">
      <c r="B18" s="237" t="n"/>
      <c r="C18" s="238" t="n"/>
      <c r="D18" s="261" t="n"/>
      <c r="E18" s="261" t="n"/>
      <c r="F18" s="261" t="n"/>
      <c r="G18" s="261" t="n"/>
      <c r="H18" s="261" t="n"/>
      <c r="I18" s="261" t="n"/>
      <c r="J18" s="261" t="n"/>
      <c r="K18" s="239" t="n"/>
      <c r="L18" s="239" t="n"/>
      <c r="M18" s="239" t="n"/>
      <c r="N18" s="239" t="n"/>
      <c r="O18" s="239" t="n"/>
      <c r="P18" s="239" t="n"/>
      <c r="Q18" s="239" t="n"/>
      <c r="R18" s="239" t="n"/>
      <c r="S18" s="239" t="n"/>
    </row>
    <row r="19" ht="16.2" customHeight="1" s="176">
      <c r="B19" s="190" t="inlineStr">
        <is>
          <t>Installations</t>
        </is>
      </c>
      <c r="C19" s="216" t="n"/>
      <c r="D19" s="217" t="n"/>
      <c r="E19" s="217" t="n"/>
      <c r="F19" s="217" t="n"/>
      <c r="G19" s="217" t="n"/>
      <c r="H19" s="217" t="n"/>
      <c r="I19" s="217" t="n"/>
      <c r="J19" s="217" t="n"/>
      <c r="K19" s="240" t="n"/>
      <c r="L19" s="240" t="n"/>
      <c r="M19" s="240" t="n"/>
      <c r="N19" s="240" t="n"/>
      <c r="O19" s="240" t="n"/>
      <c r="P19" s="240" t="n"/>
      <c r="Q19" s="240" t="n"/>
      <c r="R19" s="240" t="n"/>
      <c r="S19" s="240" t="n"/>
    </row>
    <row r="20" ht="16.2" customHeight="1" s="176">
      <c r="B20" s="237" t="n"/>
      <c r="C20" s="238" t="n"/>
      <c r="D20" s="261" t="n"/>
      <c r="E20" s="261" t="n"/>
      <c r="F20" s="261" t="n"/>
      <c r="G20" s="261" t="n"/>
      <c r="H20" s="261" t="n"/>
      <c r="I20" s="261" t="n"/>
      <c r="J20" s="261" t="n"/>
      <c r="K20" s="239" t="n"/>
      <c r="L20" s="239" t="n"/>
      <c r="M20" s="239" t="n"/>
      <c r="N20" s="239" t="n"/>
      <c r="O20" s="239" t="n"/>
      <c r="P20" s="239" t="n"/>
      <c r="Q20" s="239" t="n"/>
      <c r="R20" s="239" t="n"/>
      <c r="S20" s="239" t="n"/>
    </row>
    <row r="21" ht="40.2" customHeight="1" s="176">
      <c r="B21" s="190" t="inlineStr">
        <is>
          <t>Category of Service</t>
        </is>
      </c>
      <c r="C21" s="221" t="inlineStr">
        <is>
          <t>Units</t>
        </is>
      </c>
      <c r="D21" s="221" t="inlineStr">
        <is>
          <t>Contract code</t>
        </is>
      </c>
      <c r="E21" s="221" t="inlineStr">
        <is>
          <t xml:space="preserve">Supplier </t>
        </is>
      </c>
      <c r="F21" s="221" t="inlineStr">
        <is>
          <t>Country</t>
        </is>
      </c>
      <c r="G21" s="221" t="inlineStr">
        <is>
          <t>Description</t>
        </is>
      </c>
      <c r="H21" s="221" t="inlineStr">
        <is>
          <t>I/L/C/D</t>
        </is>
      </c>
      <c r="I21" s="221" t="inlineStr">
        <is>
          <t>Start date</t>
        </is>
      </c>
      <c r="J21" s="221" t="inlineStr">
        <is>
          <t>Duration</t>
        </is>
      </c>
      <c r="K21" s="222" t="inlineStr">
        <is>
          <t>Volume</t>
        </is>
      </c>
      <c r="L21" s="222" t="inlineStr">
        <is>
          <t>Investement/Contract amount</t>
        </is>
      </c>
      <c r="M21" s="222" t="inlineStr">
        <is>
          <t>Current month</t>
        </is>
      </c>
      <c r="N21" s="222" t="inlineStr">
        <is>
          <t>Ytd</t>
        </is>
      </c>
      <c r="O21" s="222" t="inlineStr">
        <is>
          <t>Forecast Year 1</t>
        </is>
      </c>
      <c r="P21" s="222" t="inlineStr">
        <is>
          <t>Forecast Year 2</t>
        </is>
      </c>
      <c r="Q21" s="222" t="inlineStr">
        <is>
          <t>Forecast Year 3</t>
        </is>
      </c>
      <c r="R21" s="222" t="inlineStr">
        <is>
          <t>Forecast Year 4</t>
        </is>
      </c>
      <c r="S21" s="223" t="inlineStr">
        <is>
          <t>Forecast Year 5</t>
        </is>
      </c>
    </row>
    <row r="22" ht="13.2" customHeight="1" s="176">
      <c r="B22" s="192" t="inlineStr">
        <is>
          <t>Moves</t>
        </is>
      </c>
      <c r="C22" s="192" t="inlineStr">
        <is>
          <t>Desktops per location code</t>
        </is>
      </c>
      <c r="D22" s="192" t="n"/>
      <c r="E22" s="192" t="n"/>
      <c r="F22" s="192" t="n"/>
      <c r="G22" s="192" t="n"/>
      <c r="H22" s="192" t="n"/>
      <c r="I22" s="192" t="n"/>
      <c r="J22" s="192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</row>
    <row r="23" ht="13.2" customHeight="1" s="176">
      <c r="B23" s="195" t="inlineStr">
        <is>
          <t>Adds</t>
        </is>
      </c>
      <c r="C23" s="195" t="inlineStr">
        <is>
          <t>Desktops per location code</t>
        </is>
      </c>
      <c r="D23" s="195" t="n"/>
      <c r="E23" s="195" t="n"/>
      <c r="F23" s="195" t="n"/>
      <c r="G23" s="195" t="n"/>
      <c r="H23" s="195" t="n"/>
      <c r="I23" s="195" t="n"/>
      <c r="J23" s="195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</row>
    <row r="24" ht="13.8" customHeight="1" s="176">
      <c r="B24" s="204" t="inlineStr">
        <is>
          <t>Changes</t>
        </is>
      </c>
      <c r="C24" s="204" t="inlineStr">
        <is>
          <t>Desktops per location code</t>
        </is>
      </c>
      <c r="D24" s="204" t="n"/>
      <c r="E24" s="204" t="n"/>
      <c r="F24" s="204" t="n"/>
      <c r="G24" s="204" t="n"/>
      <c r="H24" s="204" t="n"/>
      <c r="I24" s="204" t="n"/>
      <c r="J24" s="204" t="n"/>
      <c r="K24" s="258" t="n"/>
      <c r="L24" s="258" t="n"/>
      <c r="M24" s="258" t="n"/>
      <c r="N24" s="258" t="n"/>
      <c r="O24" s="258" t="n"/>
      <c r="P24" s="258" t="n"/>
      <c r="Q24" s="258" t="n"/>
      <c r="R24" s="258" t="n"/>
      <c r="S24" s="258" t="n"/>
    </row>
    <row r="25" ht="13.8" customHeight="1" s="176">
      <c r="B25" s="233" t="n"/>
      <c r="C25" s="234" t="inlineStr">
        <is>
          <t>Subtotal:</t>
        </is>
      </c>
      <c r="D25" s="234" t="n"/>
      <c r="E25" s="234" t="n"/>
      <c r="F25" s="234" t="n"/>
      <c r="G25" s="234" t="n"/>
      <c r="H25" s="234" t="n"/>
      <c r="I25" s="234" t="n"/>
      <c r="J25" s="234" t="n"/>
      <c r="K25" s="260">
        <f>SUM(K22:K24)</f>
        <v/>
      </c>
      <c r="L25" s="260">
        <f>SUM(L22:L24)</f>
        <v/>
      </c>
      <c r="M25" s="260">
        <f>SUM(M22:M24)</f>
        <v/>
      </c>
      <c r="N25" s="260">
        <f>SUM(N22:N24)</f>
        <v/>
      </c>
      <c r="O25" s="260">
        <f>SUM(O22:O24)</f>
        <v/>
      </c>
      <c r="P25" s="260">
        <f>SUM(P22:P24)</f>
        <v/>
      </c>
      <c r="Q25" s="260">
        <f>SUM(Q22:Q24)</f>
        <v/>
      </c>
      <c r="R25" s="260">
        <f>SUM(R22:R24)</f>
        <v/>
      </c>
      <c r="S25" s="260">
        <f>SUM(S22:S24)</f>
        <v/>
      </c>
    </row>
    <row r="26" ht="16.2" customHeight="1" s="176">
      <c r="B26" s="237" t="n"/>
      <c r="C26" s="238" t="n"/>
      <c r="D26" s="261" t="n"/>
      <c r="E26" s="261" t="n"/>
      <c r="F26" s="261" t="n"/>
      <c r="G26" s="261" t="n"/>
      <c r="H26" s="261" t="n"/>
      <c r="I26" s="261" t="n"/>
      <c r="J26" s="261" t="n"/>
      <c r="K26" s="239" t="n"/>
      <c r="L26" s="239" t="n"/>
      <c r="M26" s="239" t="n"/>
      <c r="N26" s="239" t="n"/>
      <c r="O26" s="239" t="n"/>
      <c r="P26" s="239" t="n"/>
      <c r="Q26" s="239" t="n"/>
      <c r="R26" s="239" t="n"/>
      <c r="S26" s="239" t="n"/>
    </row>
    <row r="27" ht="16.2" customHeight="1" s="176">
      <c r="B27" s="190" t="inlineStr">
        <is>
          <t xml:space="preserve">Low Service Level </t>
        </is>
      </c>
      <c r="C27" s="216" t="n"/>
      <c r="D27" s="217" t="n"/>
      <c r="E27" s="217" t="n"/>
      <c r="F27" s="217" t="n"/>
      <c r="G27" s="217" t="n"/>
      <c r="H27" s="217" t="n"/>
      <c r="I27" s="217" t="n"/>
      <c r="J27" s="217" t="n"/>
      <c r="K27" s="240" t="n"/>
      <c r="L27" s="240" t="n"/>
      <c r="M27" s="240" t="n"/>
      <c r="N27" s="240" t="n"/>
      <c r="O27" s="240" t="n"/>
      <c r="P27" s="240" t="n"/>
      <c r="Q27" s="240" t="n"/>
      <c r="R27" s="240" t="n"/>
      <c r="S27" s="240" t="n"/>
    </row>
    <row r="28" ht="16.2" customHeight="1" s="176">
      <c r="B28" s="237" t="n"/>
      <c r="C28" s="238" t="n"/>
      <c r="D28" s="261" t="n"/>
      <c r="E28" s="261" t="n"/>
      <c r="F28" s="261" t="n"/>
      <c r="G28" s="261" t="n"/>
      <c r="H28" s="261" t="n"/>
      <c r="I28" s="261" t="n"/>
      <c r="J28" s="261" t="n"/>
      <c r="K28" s="239" t="n"/>
      <c r="L28" s="239" t="n"/>
      <c r="M28" s="239" t="n"/>
      <c r="N28" s="239" t="n"/>
      <c r="O28" s="239" t="n"/>
      <c r="P28" s="239" t="n"/>
      <c r="Q28" s="239" t="n"/>
      <c r="R28" s="239" t="n"/>
      <c r="S28" s="239" t="n"/>
    </row>
    <row r="29" ht="40.2" customHeight="1" s="176">
      <c r="B29" s="190" t="inlineStr">
        <is>
          <t>Category of Service</t>
        </is>
      </c>
      <c r="C29" s="221" t="inlineStr">
        <is>
          <t>Units</t>
        </is>
      </c>
      <c r="D29" s="221" t="inlineStr">
        <is>
          <t>Contract code</t>
        </is>
      </c>
      <c r="E29" s="221" t="inlineStr">
        <is>
          <t xml:space="preserve">Supplier </t>
        </is>
      </c>
      <c r="F29" s="221" t="inlineStr">
        <is>
          <t>Country</t>
        </is>
      </c>
      <c r="G29" s="221" t="inlineStr">
        <is>
          <t>Description</t>
        </is>
      </c>
      <c r="H29" s="221" t="inlineStr">
        <is>
          <t>I/L/C/D</t>
        </is>
      </c>
      <c r="I29" s="221" t="inlineStr">
        <is>
          <t>Start date</t>
        </is>
      </c>
      <c r="J29" s="221" t="inlineStr">
        <is>
          <t>Duration</t>
        </is>
      </c>
      <c r="K29" s="222" t="inlineStr">
        <is>
          <t>Volume</t>
        </is>
      </c>
      <c r="L29" s="222" t="inlineStr">
        <is>
          <t>Investement/Contract amount</t>
        </is>
      </c>
      <c r="M29" s="222" t="inlineStr">
        <is>
          <t>Current month</t>
        </is>
      </c>
      <c r="N29" s="222" t="inlineStr">
        <is>
          <t>Ytd</t>
        </is>
      </c>
      <c r="O29" s="222" t="inlineStr">
        <is>
          <t>Forecast Year 1</t>
        </is>
      </c>
      <c r="P29" s="222" t="inlineStr">
        <is>
          <t>Forecast Year 2</t>
        </is>
      </c>
      <c r="Q29" s="222" t="inlineStr">
        <is>
          <t>Forecast Year 3</t>
        </is>
      </c>
      <c r="R29" s="222" t="inlineStr">
        <is>
          <t>Forecast Year 4</t>
        </is>
      </c>
      <c r="S29" s="223" t="inlineStr">
        <is>
          <t>Forecast Year 5</t>
        </is>
      </c>
    </row>
    <row r="30" ht="13.2" customHeight="1" s="176">
      <c r="B30" s="192" t="inlineStr">
        <is>
          <t>Standard Desktops (CEDS)</t>
        </is>
      </c>
      <c r="C30" s="192" t="inlineStr">
        <is>
          <t>Desktops per location code</t>
        </is>
      </c>
      <c r="D30" s="192" t="n"/>
      <c r="E30" s="192" t="n"/>
      <c r="F30" s="192" t="n"/>
      <c r="G30" s="192" t="n"/>
      <c r="H30" s="192" t="n"/>
      <c r="I30" s="192" t="n"/>
      <c r="J30" s="192" t="n"/>
      <c r="K30" s="256" t="n"/>
      <c r="L30" s="256" t="n"/>
      <c r="M30" s="256" t="n"/>
      <c r="N30" s="256" t="n"/>
      <c r="O30" s="256" t="n"/>
      <c r="P30" s="256" t="n"/>
      <c r="Q30" s="256" t="n"/>
      <c r="R30" s="256" t="n"/>
      <c r="S30" s="256" t="n"/>
    </row>
    <row r="31" ht="13.2" customHeight="1" s="176">
      <c r="B31" s="195" t="inlineStr">
        <is>
          <t>Non-Standard Desktops (non CEDS)</t>
        </is>
      </c>
      <c r="C31" s="195" t="inlineStr">
        <is>
          <t>Desktops per location code</t>
        </is>
      </c>
      <c r="D31" s="195" t="n"/>
      <c r="E31" s="195" t="n"/>
      <c r="F31" s="195" t="n"/>
      <c r="G31" s="195" t="n"/>
      <c r="H31" s="195" t="n"/>
      <c r="I31" s="195" t="n"/>
      <c r="J31" s="195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</row>
    <row r="32" ht="13.2" customHeight="1" s="176">
      <c r="B32" s="204" t="inlineStr">
        <is>
          <t>Standard Laptops (CEDS)</t>
        </is>
      </c>
      <c r="C32" s="204" t="inlineStr">
        <is>
          <t>Laptops per User</t>
        </is>
      </c>
      <c r="D32" s="204" t="n"/>
      <c r="E32" s="204" t="n"/>
      <c r="F32" s="204" t="n"/>
      <c r="G32" s="204" t="n"/>
      <c r="H32" s="204" t="n"/>
      <c r="I32" s="204" t="n"/>
      <c r="J32" s="204" t="n"/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</row>
    <row r="33" ht="13.2" customHeight="1" s="176">
      <c r="B33" s="195" t="inlineStr">
        <is>
          <t>Non-Standard Laptops (non CEDS)</t>
        </is>
      </c>
      <c r="C33" s="195" t="inlineStr">
        <is>
          <t>Laptops per User</t>
        </is>
      </c>
      <c r="D33" s="195" t="n"/>
      <c r="E33" s="195" t="n"/>
      <c r="F33" s="195" t="n"/>
      <c r="G33" s="195" t="n"/>
      <c r="H33" s="195" t="n"/>
      <c r="I33" s="195" t="n"/>
      <c r="J33" s="195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</row>
    <row r="34" ht="13.2" customHeight="1" s="176">
      <c r="B34" s="204" t="inlineStr">
        <is>
          <t>Standard Local Printers</t>
        </is>
      </c>
      <c r="C34" s="204" t="inlineStr">
        <is>
          <t>Desktops per location code</t>
        </is>
      </c>
      <c r="D34" s="204" t="n"/>
      <c r="E34" s="204" t="n"/>
      <c r="F34" s="204" t="n"/>
      <c r="G34" s="204" t="n"/>
      <c r="H34" s="204" t="n"/>
      <c r="I34" s="204" t="n"/>
      <c r="J34" s="204" t="n"/>
      <c r="K34" s="258" t="n"/>
      <c r="L34" s="258" t="n"/>
      <c r="M34" s="258" t="n"/>
      <c r="N34" s="258" t="n"/>
      <c r="O34" s="258" t="n"/>
      <c r="P34" s="258" t="n"/>
      <c r="Q34" s="258" t="n"/>
      <c r="R34" s="258" t="n"/>
      <c r="S34" s="258" t="n"/>
    </row>
    <row r="35" ht="13.2" customHeight="1" s="176">
      <c r="B35" s="195" t="inlineStr">
        <is>
          <t>Non-Standard Local Printers</t>
        </is>
      </c>
      <c r="C35" s="195" t="inlineStr">
        <is>
          <t>Desktops per location code</t>
        </is>
      </c>
      <c r="D35" s="195" t="n"/>
      <c r="E35" s="195" t="n"/>
      <c r="F35" s="195" t="n"/>
      <c r="G35" s="195" t="n"/>
      <c r="H35" s="195" t="n"/>
      <c r="I35" s="195" t="n"/>
      <c r="J35" s="195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</row>
    <row r="36" ht="13.2" customHeight="1" s="176">
      <c r="B36" s="204" t="inlineStr">
        <is>
          <t>Standard Network Printers</t>
        </is>
      </c>
      <c r="C36" s="204" t="inlineStr">
        <is>
          <t>Desktops per location code</t>
        </is>
      </c>
      <c r="D36" s="204" t="n"/>
      <c r="E36" s="204" t="n"/>
      <c r="F36" s="204" t="n"/>
      <c r="G36" s="204" t="n"/>
      <c r="H36" s="204" t="n"/>
      <c r="I36" s="204" t="n"/>
      <c r="J36" s="204" t="n"/>
      <c r="K36" s="258" t="n"/>
      <c r="L36" s="258" t="n"/>
      <c r="M36" s="258" t="n"/>
      <c r="N36" s="258" t="n"/>
      <c r="O36" s="258" t="n"/>
      <c r="P36" s="258" t="n"/>
      <c r="Q36" s="258" t="n"/>
      <c r="R36" s="258" t="n"/>
      <c r="S36" s="258" t="n"/>
    </row>
    <row r="37" ht="13.2" customHeight="1" s="176">
      <c r="B37" s="195" t="inlineStr">
        <is>
          <t>Non-Standard Network Printers</t>
        </is>
      </c>
      <c r="C37" s="195" t="inlineStr">
        <is>
          <t>Desktops per location code</t>
        </is>
      </c>
      <c r="D37" s="195" t="n"/>
      <c r="E37" s="195" t="n"/>
      <c r="F37" s="195" t="n"/>
      <c r="G37" s="195" t="n"/>
      <c r="H37" s="195" t="n"/>
      <c r="I37" s="195" t="n"/>
      <c r="J37" s="195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</row>
    <row r="38" ht="13.8" customHeight="1" s="176">
      <c r="B38" s="230" t="inlineStr">
        <is>
          <t>Other Peripherals</t>
        </is>
      </c>
      <c r="C38" s="230" t="inlineStr">
        <is>
          <t>Desktops per location code</t>
        </is>
      </c>
      <c r="D38" s="230" t="n"/>
      <c r="E38" s="230" t="n"/>
      <c r="F38" s="230" t="n"/>
      <c r="G38" s="230" t="n"/>
      <c r="H38" s="230" t="n"/>
      <c r="I38" s="230" t="n"/>
      <c r="J38" s="230" t="n"/>
      <c r="K38" s="259" t="n"/>
      <c r="L38" s="259" t="n"/>
      <c r="M38" s="259" t="n"/>
      <c r="N38" s="259" t="n"/>
      <c r="O38" s="259" t="n"/>
      <c r="P38" s="259" t="n"/>
      <c r="Q38" s="259" t="n"/>
      <c r="R38" s="259" t="n"/>
      <c r="S38" s="259" t="n"/>
    </row>
    <row r="39" ht="13.8" customHeight="1" s="176">
      <c r="B39" s="233" t="n"/>
      <c r="C39" s="234" t="inlineStr">
        <is>
          <t>Subtotal:</t>
        </is>
      </c>
      <c r="D39" s="234" t="n"/>
      <c r="E39" s="234" t="n"/>
      <c r="F39" s="234" t="n"/>
      <c r="G39" s="234" t="n"/>
      <c r="H39" s="234" t="n"/>
      <c r="I39" s="234" t="n"/>
      <c r="J39" s="234" t="n"/>
      <c r="K39" s="260">
        <f>SUM(K30:K38)</f>
        <v/>
      </c>
      <c r="L39" s="260">
        <f>SUM(L30:L38)</f>
        <v/>
      </c>
      <c r="M39" s="260">
        <f>SUM(M30:M38)</f>
        <v/>
      </c>
      <c r="N39" s="260">
        <f>SUM(N30:N38)</f>
        <v/>
      </c>
      <c r="O39" s="260">
        <f>SUM(O30:O38)</f>
        <v/>
      </c>
      <c r="P39" s="260">
        <f>SUM(P30:P38)</f>
        <v/>
      </c>
      <c r="Q39" s="260">
        <f>SUM(Q30:Q38)</f>
        <v/>
      </c>
      <c r="R39" s="260">
        <f>SUM(R30:R38)</f>
        <v/>
      </c>
      <c r="S39" s="260">
        <f>SUM(S30:S38)</f>
        <v/>
      </c>
    </row>
    <row r="40" ht="16.2" customHeight="1" s="176">
      <c r="B40" s="237" t="n"/>
      <c r="C40" s="238" t="n"/>
      <c r="D40" s="261" t="n"/>
      <c r="E40" s="261" t="n"/>
      <c r="F40" s="261" t="n"/>
      <c r="G40" s="261" t="n"/>
      <c r="H40" s="261" t="n"/>
      <c r="I40" s="261" t="n"/>
      <c r="J40" s="261" t="n"/>
      <c r="K40" s="239" t="n"/>
      <c r="L40" s="239" t="n"/>
      <c r="M40" s="239" t="n"/>
      <c r="N40" s="239" t="n"/>
      <c r="O40" s="239" t="n"/>
      <c r="P40" s="239" t="n"/>
      <c r="Q40" s="239" t="n"/>
      <c r="R40" s="239" t="n"/>
      <c r="S40" s="239" t="n"/>
    </row>
    <row r="41" ht="16.2" customHeight="1" s="176">
      <c r="B41" s="190" t="inlineStr">
        <is>
          <t>Installations</t>
        </is>
      </c>
      <c r="C41" s="216" t="n"/>
      <c r="D41" s="217" t="n"/>
      <c r="E41" s="217" t="n"/>
      <c r="F41" s="217" t="n"/>
      <c r="G41" s="217" t="n"/>
      <c r="H41" s="217" t="n"/>
      <c r="I41" s="217" t="n"/>
      <c r="J41" s="217" t="n"/>
      <c r="K41" s="240" t="n"/>
      <c r="L41" s="240" t="n"/>
      <c r="M41" s="240" t="n"/>
      <c r="N41" s="240" t="n"/>
      <c r="O41" s="240" t="n"/>
      <c r="P41" s="240" t="n"/>
      <c r="Q41" s="240" t="n"/>
      <c r="R41" s="240" t="n"/>
      <c r="S41" s="240" t="n"/>
    </row>
    <row r="42" ht="16.2" customHeight="1" s="176">
      <c r="B42" s="237" t="n"/>
      <c r="C42" s="238" t="n"/>
      <c r="D42" s="261" t="n"/>
      <c r="E42" s="261" t="n"/>
      <c r="F42" s="261" t="n"/>
      <c r="G42" s="261" t="n"/>
      <c r="H42" s="261" t="n"/>
      <c r="I42" s="261" t="n"/>
      <c r="J42" s="261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</row>
    <row r="43" ht="40.2" customHeight="1" s="176">
      <c r="B43" s="190" t="inlineStr">
        <is>
          <t>Category of Service</t>
        </is>
      </c>
      <c r="C43" s="221" t="inlineStr">
        <is>
          <t>Units</t>
        </is>
      </c>
      <c r="D43" s="221" t="inlineStr">
        <is>
          <t>Contract code</t>
        </is>
      </c>
      <c r="E43" s="221" t="inlineStr">
        <is>
          <t xml:space="preserve">Supplier </t>
        </is>
      </c>
      <c r="F43" s="221" t="inlineStr">
        <is>
          <t>Country</t>
        </is>
      </c>
      <c r="G43" s="221" t="inlineStr">
        <is>
          <t>Description</t>
        </is>
      </c>
      <c r="H43" s="221" t="inlineStr">
        <is>
          <t>I/L/C/D</t>
        </is>
      </c>
      <c r="I43" s="221" t="inlineStr">
        <is>
          <t>Start date</t>
        </is>
      </c>
      <c r="J43" s="221" t="inlineStr">
        <is>
          <t>Duration</t>
        </is>
      </c>
      <c r="K43" s="222" t="inlineStr">
        <is>
          <t>Volume</t>
        </is>
      </c>
      <c r="L43" s="222" t="inlineStr">
        <is>
          <t>Investement/Contract amount</t>
        </is>
      </c>
      <c r="M43" s="222" t="inlineStr">
        <is>
          <t>Current month</t>
        </is>
      </c>
      <c r="N43" s="222" t="inlineStr">
        <is>
          <t>Ytd</t>
        </is>
      </c>
      <c r="O43" s="222" t="inlineStr">
        <is>
          <t>Forecast Year 1</t>
        </is>
      </c>
      <c r="P43" s="222" t="inlineStr">
        <is>
          <t>Forecast Year 2</t>
        </is>
      </c>
      <c r="Q43" s="222" t="inlineStr">
        <is>
          <t>Forecast Year 3</t>
        </is>
      </c>
      <c r="R43" s="222" t="inlineStr">
        <is>
          <t>Forecast Year 4</t>
        </is>
      </c>
      <c r="S43" s="223" t="inlineStr">
        <is>
          <t>Forecast Year 5</t>
        </is>
      </c>
    </row>
    <row r="44" ht="13.2" customHeight="1" s="176">
      <c r="B44" s="204" t="inlineStr">
        <is>
          <t>Moves</t>
        </is>
      </c>
      <c r="C44" s="204" t="inlineStr">
        <is>
          <t>Desktops per location code</t>
        </is>
      </c>
      <c r="D44" s="204" t="n"/>
      <c r="E44" s="204" t="n"/>
      <c r="F44" s="204" t="n"/>
      <c r="G44" s="204" t="n"/>
      <c r="H44" s="204" t="n"/>
      <c r="I44" s="204" t="n"/>
      <c r="J44" s="204" t="n"/>
      <c r="K44" s="258" t="n"/>
      <c r="L44" s="258" t="n"/>
      <c r="M44" s="258" t="n"/>
      <c r="N44" s="258" t="n"/>
      <c r="O44" s="258" t="n"/>
      <c r="P44" s="258" t="n"/>
      <c r="Q44" s="258" t="n"/>
      <c r="R44" s="258" t="n"/>
      <c r="S44" s="258" t="n"/>
    </row>
    <row r="45" ht="13.2" customHeight="1" s="176">
      <c r="B45" s="195" t="inlineStr">
        <is>
          <t>Adds</t>
        </is>
      </c>
      <c r="C45" s="195" t="inlineStr">
        <is>
          <t>Desktops per location code</t>
        </is>
      </c>
      <c r="D45" s="195" t="n"/>
      <c r="E45" s="195" t="n"/>
      <c r="F45" s="195" t="n"/>
      <c r="G45" s="195" t="n"/>
      <c r="H45" s="195" t="n"/>
      <c r="I45" s="195" t="n"/>
      <c r="J45" s="195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</row>
    <row r="46" ht="13.8" customHeight="1" s="176">
      <c r="B46" s="230" t="inlineStr">
        <is>
          <t>Changes</t>
        </is>
      </c>
      <c r="C46" s="230" t="inlineStr">
        <is>
          <t>Desktops per location code</t>
        </is>
      </c>
      <c r="D46" s="230" t="n"/>
      <c r="E46" s="230" t="n"/>
      <c r="F46" s="230" t="n"/>
      <c r="G46" s="230" t="n"/>
      <c r="H46" s="230" t="n"/>
      <c r="I46" s="230" t="n"/>
      <c r="J46" s="230" t="n"/>
      <c r="K46" s="259" t="n"/>
      <c r="L46" s="259" t="n"/>
      <c r="M46" s="259" t="n"/>
      <c r="N46" s="259" t="n"/>
      <c r="O46" s="259" t="n"/>
      <c r="P46" s="259" t="n"/>
      <c r="Q46" s="259" t="n"/>
      <c r="R46" s="259" t="n"/>
      <c r="S46" s="259" t="n"/>
    </row>
    <row r="47" ht="13.8" customHeight="1" s="176">
      <c r="B47" s="233" t="n"/>
      <c r="C47" s="234" t="inlineStr">
        <is>
          <t>Subtotal:</t>
        </is>
      </c>
      <c r="D47" s="234" t="n"/>
      <c r="E47" s="234" t="n"/>
      <c r="F47" s="234" t="n"/>
      <c r="G47" s="234" t="n"/>
      <c r="H47" s="234" t="n"/>
      <c r="I47" s="234" t="n"/>
      <c r="J47" s="234" t="n"/>
      <c r="K47" s="260">
        <f>SUM(K44:K46)</f>
        <v/>
      </c>
      <c r="L47" s="260">
        <f>SUM(L44:L46)</f>
        <v/>
      </c>
      <c r="M47" s="260">
        <f>SUM(M44:M46)</f>
        <v/>
      </c>
      <c r="N47" s="260">
        <f>SUM(N44:N46)</f>
        <v/>
      </c>
      <c r="O47" s="260">
        <f>SUM(O44:O46)</f>
        <v/>
      </c>
      <c r="P47" s="260">
        <f>SUM(P44:P46)</f>
        <v/>
      </c>
      <c r="Q47" s="260">
        <f>SUM(Q44:Q46)</f>
        <v/>
      </c>
      <c r="R47" s="260">
        <f>SUM(R44:R46)</f>
        <v/>
      </c>
      <c r="S47" s="260">
        <f>SUM(S44:S46)</f>
        <v/>
      </c>
    </row>
    <row r="48" ht="16.2" customHeight="1" s="176">
      <c r="B48" s="237" t="n"/>
      <c r="C48" s="238" t="n"/>
      <c r="D48" s="261" t="n"/>
      <c r="E48" s="261" t="n"/>
      <c r="F48" s="261" t="n"/>
      <c r="G48" s="261" t="n"/>
      <c r="H48" s="261" t="n"/>
      <c r="I48" s="261" t="n"/>
      <c r="J48" s="261" t="n"/>
      <c r="K48" s="239" t="n"/>
      <c r="L48" s="239" t="n"/>
      <c r="M48" s="239" t="n"/>
      <c r="N48" s="239" t="n"/>
      <c r="O48" s="239" t="n"/>
      <c r="P48" s="239" t="n"/>
      <c r="Q48" s="239" t="n"/>
      <c r="R48" s="239" t="n"/>
      <c r="S48" s="239" t="n"/>
    </row>
    <row r="49" ht="16.2" customHeight="1" s="176">
      <c r="B49" s="190" t="inlineStr">
        <is>
          <t>Packaging &amp; Distribution</t>
        </is>
      </c>
      <c r="C49" s="216" t="n"/>
      <c r="D49" s="217" t="n"/>
      <c r="E49" s="217" t="n"/>
      <c r="F49" s="217" t="n"/>
      <c r="G49" s="217" t="n"/>
      <c r="H49" s="217" t="n"/>
      <c r="I49" s="217" t="n"/>
      <c r="J49" s="217" t="n"/>
      <c r="K49" s="240" t="n"/>
      <c r="L49" s="240" t="n"/>
      <c r="M49" s="240" t="n"/>
      <c r="N49" s="240" t="n"/>
      <c r="O49" s="240" t="n"/>
      <c r="P49" s="240" t="n"/>
      <c r="Q49" s="240" t="n"/>
      <c r="R49" s="240" t="n"/>
      <c r="S49" s="240" t="n"/>
    </row>
    <row r="50" ht="16.2" customHeight="1" s="176">
      <c r="B50" s="237" t="n"/>
      <c r="C50" s="238" t="n"/>
      <c r="D50" s="261" t="n"/>
      <c r="E50" s="261" t="n"/>
      <c r="F50" s="261" t="n"/>
      <c r="G50" s="261" t="n"/>
      <c r="H50" s="261" t="n"/>
      <c r="I50" s="261" t="n"/>
      <c r="J50" s="261" t="n"/>
      <c r="K50" s="239" t="n"/>
      <c r="L50" s="239" t="n"/>
      <c r="M50" s="239" t="n"/>
      <c r="N50" s="239" t="n"/>
      <c r="O50" s="239" t="n"/>
      <c r="P50" s="239" t="n"/>
      <c r="Q50" s="239" t="n"/>
      <c r="R50" s="239" t="n"/>
      <c r="S50" s="239" t="n"/>
    </row>
    <row r="51" ht="40.2" customHeight="1" s="176">
      <c r="B51" s="190" t="inlineStr">
        <is>
          <t>Category of Service</t>
        </is>
      </c>
      <c r="C51" s="221" t="inlineStr">
        <is>
          <t>Units</t>
        </is>
      </c>
      <c r="D51" s="221" t="inlineStr">
        <is>
          <t>Contract code</t>
        </is>
      </c>
      <c r="E51" s="221" t="inlineStr">
        <is>
          <t xml:space="preserve">Supplier </t>
        </is>
      </c>
      <c r="F51" s="221" t="inlineStr">
        <is>
          <t>Country</t>
        </is>
      </c>
      <c r="G51" s="221" t="inlineStr">
        <is>
          <t>Description</t>
        </is>
      </c>
      <c r="H51" s="221" t="inlineStr">
        <is>
          <t>I/L/C/D</t>
        </is>
      </c>
      <c r="I51" s="221" t="inlineStr">
        <is>
          <t>Start date</t>
        </is>
      </c>
      <c r="J51" s="221" t="inlineStr">
        <is>
          <t>Duration</t>
        </is>
      </c>
      <c r="K51" s="222" t="inlineStr">
        <is>
          <t>Volume</t>
        </is>
      </c>
      <c r="L51" s="222" t="inlineStr">
        <is>
          <t>Investement/Contract amount</t>
        </is>
      </c>
      <c r="M51" s="222" t="inlineStr">
        <is>
          <t>Current month</t>
        </is>
      </c>
      <c r="N51" s="222" t="inlineStr">
        <is>
          <t>Ytd</t>
        </is>
      </c>
      <c r="O51" s="222" t="inlineStr">
        <is>
          <t>Forecast Year 1</t>
        </is>
      </c>
      <c r="P51" s="222" t="inlineStr">
        <is>
          <t>Forecast Year 2</t>
        </is>
      </c>
      <c r="Q51" s="222" t="inlineStr">
        <is>
          <t>Forecast Year 3</t>
        </is>
      </c>
      <c r="R51" s="222" t="inlineStr">
        <is>
          <t>Forecast Year 4</t>
        </is>
      </c>
      <c r="S51" s="223" t="inlineStr">
        <is>
          <t>Forecast Year 5</t>
        </is>
      </c>
    </row>
    <row r="52" ht="13.8" customHeight="1" s="176">
      <c r="B52" s="230" t="inlineStr">
        <is>
          <t>Packages Distributed per year</t>
        </is>
      </c>
      <c r="C52" s="230" t="inlineStr">
        <is>
          <t>Desktops per location code</t>
        </is>
      </c>
      <c r="D52" s="230" t="n"/>
      <c r="E52" s="230" t="n"/>
      <c r="F52" s="230" t="n"/>
      <c r="G52" s="230" t="n"/>
      <c r="H52" s="230" t="n"/>
      <c r="I52" s="230" t="n"/>
      <c r="J52" s="230" t="n"/>
      <c r="K52" s="259" t="n"/>
      <c r="L52" s="259" t="n"/>
      <c r="M52" s="259" t="n"/>
      <c r="N52" s="259" t="n"/>
      <c r="O52" s="259" t="n"/>
      <c r="P52" s="259" t="n"/>
      <c r="Q52" s="259" t="n"/>
      <c r="R52" s="259" t="n"/>
      <c r="S52" s="259" t="n"/>
    </row>
    <row r="53" ht="13.8" customHeight="1" s="176">
      <c r="B53" s="233" t="n"/>
      <c r="C53" s="234" t="inlineStr">
        <is>
          <t>Subtotal:</t>
        </is>
      </c>
      <c r="D53" s="234" t="n"/>
      <c r="E53" s="234" t="n"/>
      <c r="F53" s="234" t="n"/>
      <c r="G53" s="234" t="n"/>
      <c r="H53" s="234" t="n"/>
      <c r="I53" s="234" t="n"/>
      <c r="J53" s="234" t="n"/>
      <c r="K53" s="260">
        <f>SUM(K52)</f>
        <v/>
      </c>
      <c r="L53" s="260">
        <f>SUM(L52)</f>
        <v/>
      </c>
      <c r="M53" s="260">
        <f>SUM(M52)</f>
        <v/>
      </c>
      <c r="N53" s="260">
        <f>SUM(N52)</f>
        <v/>
      </c>
      <c r="O53" s="260">
        <f>SUM(O52)</f>
        <v/>
      </c>
      <c r="P53" s="260">
        <f>SUM(P52)</f>
        <v/>
      </c>
      <c r="Q53" s="260">
        <f>SUM(Q52)</f>
        <v/>
      </c>
      <c r="R53" s="260">
        <f>SUM(R52)</f>
        <v/>
      </c>
      <c r="S53" s="260">
        <f>SUM(S52)</f>
        <v/>
      </c>
    </row>
    <row r="54" ht="13.8" customHeight="1" s="176">
      <c r="B54" s="241" t="n"/>
      <c r="C54" s="242" t="n"/>
      <c r="D54" s="242" t="n"/>
      <c r="E54" s="242" t="n"/>
      <c r="F54" s="242" t="n"/>
      <c r="G54" s="242" t="n"/>
      <c r="H54" s="242" t="n"/>
      <c r="I54" s="242" t="n"/>
      <c r="J54" s="242" t="n"/>
      <c r="K54" s="262" t="n"/>
      <c r="L54" s="262" t="n"/>
      <c r="M54" s="262" t="n"/>
      <c r="N54" s="262" t="n"/>
      <c r="O54" s="262" t="n"/>
      <c r="P54" s="262" t="n"/>
      <c r="Q54" s="262" t="n"/>
      <c r="R54" s="262" t="n"/>
      <c r="S54" s="262" t="n"/>
    </row>
    <row r="55" ht="15.6" customHeight="1" s="176">
      <c r="B55" s="245" t="n"/>
      <c r="C55" s="246" t="inlineStr">
        <is>
          <t>Total End User Computing:</t>
        </is>
      </c>
      <c r="D55" s="263" t="n"/>
      <c r="E55" s="263" t="n"/>
      <c r="F55" s="263" t="n"/>
      <c r="G55" s="263" t="n"/>
      <c r="H55" s="263" t="n"/>
      <c r="I55" s="263" t="n"/>
      <c r="J55" s="263" t="n"/>
      <c r="K55" s="247">
        <f>K17+K25+K39+K47+K53</f>
        <v/>
      </c>
      <c r="L55" s="247">
        <f>L17+L25+L39+L47+L53</f>
        <v/>
      </c>
      <c r="M55" s="247">
        <f>M17+M25+M39+M47+M53</f>
        <v/>
      </c>
      <c r="N55" s="247">
        <f>N17+N25+N39+N47+N53</f>
        <v/>
      </c>
      <c r="O55" s="247">
        <f>O17+O25+O39+O47+O53</f>
        <v/>
      </c>
      <c r="P55" s="247">
        <f>P17+P25+P39+P47+P53</f>
        <v/>
      </c>
      <c r="Q55" s="247">
        <f>Q17+Q25+Q39+Q47+Q53</f>
        <v/>
      </c>
      <c r="R55" s="247">
        <f>R17+R25+R39+R47+R53</f>
        <v/>
      </c>
      <c r="S55" s="247">
        <f>S17+S25+S39+S47+S53</f>
        <v/>
      </c>
    </row>
    <row r="56" ht="16.2" customHeight="1" s="176">
      <c r="B56" s="237" t="n"/>
      <c r="C56" s="238" t="n"/>
      <c r="D56" s="261" t="n"/>
      <c r="E56" s="261" t="n"/>
      <c r="F56" s="261" t="n"/>
      <c r="G56" s="261" t="n"/>
      <c r="H56" s="261" t="n"/>
      <c r="I56" s="261" t="n"/>
      <c r="J56" s="261" t="n"/>
      <c r="K56" s="239" t="n"/>
      <c r="L56" s="239" t="n"/>
      <c r="M56" s="239" t="n"/>
      <c r="N56" s="239" t="n"/>
      <c r="O56" s="239" t="n"/>
      <c r="P56" s="239" t="n"/>
      <c r="Q56" s="239" t="n"/>
      <c r="R56" s="239" t="n"/>
      <c r="S56" s="239" t="n"/>
    </row>
    <row r="57" ht="16.2" customHeight="1" s="176">
      <c r="B57" s="190" t="inlineStr">
        <is>
          <t>Service Desk - Vendor Gamma</t>
        </is>
      </c>
      <c r="C57" s="216" t="n"/>
      <c r="D57" s="217" t="n"/>
      <c r="E57" s="217" t="n"/>
      <c r="F57" s="217" t="n"/>
      <c r="G57" s="217" t="n"/>
      <c r="H57" s="217" t="n"/>
      <c r="I57" s="217" t="n"/>
      <c r="J57" s="217" t="n"/>
      <c r="K57" s="240" t="n"/>
      <c r="L57" s="240" t="n"/>
      <c r="M57" s="240" t="n"/>
      <c r="N57" s="240" t="n"/>
      <c r="O57" s="240" t="n"/>
      <c r="P57" s="240" t="n"/>
      <c r="Q57" s="240" t="n"/>
      <c r="R57" s="240" t="n"/>
      <c r="S57" s="240" t="n"/>
    </row>
    <row r="58" ht="16.2" customHeight="1" s="176">
      <c r="B58" s="237" t="n"/>
      <c r="C58" s="238" t="n"/>
      <c r="D58" s="261" t="n"/>
      <c r="E58" s="261" t="n"/>
      <c r="F58" s="261" t="n"/>
      <c r="G58" s="261" t="n"/>
      <c r="H58" s="261" t="n"/>
      <c r="I58" s="261" t="n"/>
      <c r="J58" s="261" t="n"/>
      <c r="K58" s="239" t="n"/>
      <c r="L58" s="239" t="n"/>
      <c r="M58" s="239" t="n"/>
      <c r="N58" s="239" t="n"/>
      <c r="O58" s="239" t="n"/>
      <c r="P58" s="239" t="n"/>
      <c r="Q58" s="239" t="n"/>
      <c r="R58" s="239" t="n"/>
      <c r="S58" s="239" t="n"/>
    </row>
    <row r="59" ht="40.2" customHeight="1" s="176">
      <c r="B59" s="190" t="inlineStr">
        <is>
          <t>Category of Service</t>
        </is>
      </c>
      <c r="C59" s="221" t="inlineStr">
        <is>
          <t>Units</t>
        </is>
      </c>
      <c r="D59" s="221" t="inlineStr">
        <is>
          <t>Contract code</t>
        </is>
      </c>
      <c r="E59" s="221" t="inlineStr">
        <is>
          <t xml:space="preserve">Supplier </t>
        </is>
      </c>
      <c r="F59" s="221" t="inlineStr">
        <is>
          <t>Country</t>
        </is>
      </c>
      <c r="G59" s="221" t="inlineStr">
        <is>
          <t>Description</t>
        </is>
      </c>
      <c r="H59" s="221" t="inlineStr">
        <is>
          <t>I/L/C/D</t>
        </is>
      </c>
      <c r="I59" s="221" t="inlineStr">
        <is>
          <t>Start date</t>
        </is>
      </c>
      <c r="J59" s="221" t="inlineStr">
        <is>
          <t>Duration</t>
        </is>
      </c>
      <c r="K59" s="222" t="inlineStr">
        <is>
          <t>Volume</t>
        </is>
      </c>
      <c r="L59" s="222" t="inlineStr">
        <is>
          <t>Investement/Contract amount</t>
        </is>
      </c>
      <c r="M59" s="222" t="inlineStr">
        <is>
          <t>Current month</t>
        </is>
      </c>
      <c r="N59" s="222" t="inlineStr">
        <is>
          <t>Ytd</t>
        </is>
      </c>
      <c r="O59" s="222" t="inlineStr">
        <is>
          <t>Forecast Year 1</t>
        </is>
      </c>
      <c r="P59" s="222" t="inlineStr">
        <is>
          <t>Forecast Year 2</t>
        </is>
      </c>
      <c r="Q59" s="222" t="inlineStr">
        <is>
          <t>Forecast Year 3</t>
        </is>
      </c>
      <c r="R59" s="222" t="inlineStr">
        <is>
          <t>Forecast Year 4</t>
        </is>
      </c>
      <c r="S59" s="223" t="inlineStr">
        <is>
          <t>Forecast Year 5</t>
        </is>
      </c>
    </row>
    <row r="60" ht="13.2" customHeight="1" s="176">
      <c r="B60" s="204" t="inlineStr">
        <is>
          <t>Seats Supported</t>
        </is>
      </c>
      <c r="C60" s="204" t="inlineStr">
        <is>
          <t>Physical users</t>
        </is>
      </c>
      <c r="D60" s="204" t="n"/>
      <c r="E60" s="204" t="n"/>
      <c r="F60" s="204" t="n"/>
      <c r="G60" s="204" t="n"/>
      <c r="H60" s="204" t="n"/>
      <c r="I60" s="204" t="n"/>
      <c r="J60" s="204" t="n"/>
      <c r="K60" s="258" t="n"/>
      <c r="L60" s="258" t="n"/>
      <c r="M60" s="258" t="n"/>
      <c r="N60" s="258" t="n"/>
      <c r="O60" s="258" t="n"/>
      <c r="P60" s="258" t="n"/>
      <c r="Q60" s="258" t="n"/>
      <c r="R60" s="258" t="n"/>
      <c r="S60" s="258" t="n"/>
    </row>
    <row r="61" ht="13.8" customHeight="1" s="176">
      <c r="B61" s="241" t="n"/>
      <c r="C61" s="242" t="n"/>
      <c r="D61" s="242" t="n"/>
      <c r="E61" s="242" t="n"/>
      <c r="F61" s="242" t="n"/>
      <c r="G61" s="242" t="n"/>
      <c r="H61" s="242" t="n"/>
      <c r="I61" s="242" t="n"/>
      <c r="J61" s="242" t="n"/>
      <c r="K61" s="262" t="n"/>
      <c r="L61" s="262" t="n"/>
      <c r="M61" s="262" t="n"/>
      <c r="N61" s="262" t="n"/>
      <c r="O61" s="262" t="n"/>
      <c r="P61" s="262" t="n"/>
      <c r="Q61" s="262" t="n"/>
      <c r="R61" s="262" t="n"/>
      <c r="S61" s="262" t="n"/>
    </row>
    <row r="62" ht="15.6" customHeight="1" s="176">
      <c r="B62" s="245" t="n"/>
      <c r="C62" s="246" t="inlineStr">
        <is>
          <t>Total Service Desk:</t>
        </is>
      </c>
      <c r="D62" s="263" t="n"/>
      <c r="E62" s="263" t="n"/>
      <c r="F62" s="263" t="n"/>
      <c r="G62" s="263" t="n"/>
      <c r="H62" s="263" t="n"/>
      <c r="I62" s="263" t="n"/>
      <c r="J62" s="263" t="n"/>
      <c r="K62" s="247">
        <f>SUM(K60)</f>
        <v/>
      </c>
      <c r="L62" s="247">
        <f>SUM(L60)</f>
        <v/>
      </c>
      <c r="M62" s="247">
        <f>SUM(M60)</f>
        <v/>
      </c>
      <c r="N62" s="247">
        <f>SUM(N60)</f>
        <v/>
      </c>
      <c r="O62" s="247">
        <f>SUM(O60)</f>
        <v/>
      </c>
      <c r="P62" s="247">
        <f>SUM(P60)</f>
        <v/>
      </c>
      <c r="Q62" s="247">
        <f>SUM(Q60)</f>
        <v/>
      </c>
      <c r="R62" s="247">
        <f>SUM(R60)</f>
        <v/>
      </c>
      <c r="S62" s="247">
        <f>SUM(S60)</f>
        <v/>
      </c>
    </row>
    <row r="63" ht="16.2" customHeight="1" s="176">
      <c r="B63" s="237" t="n"/>
      <c r="C63" s="238" t="n"/>
      <c r="D63" s="261" t="n"/>
      <c r="E63" s="261" t="n"/>
      <c r="F63" s="261" t="n"/>
      <c r="G63" s="261" t="n"/>
      <c r="H63" s="261" t="n"/>
      <c r="I63" s="261" t="n"/>
      <c r="J63" s="261" t="n"/>
      <c r="K63" s="239" t="n"/>
      <c r="L63" s="239" t="n"/>
      <c r="M63" s="239" t="n"/>
      <c r="N63" s="239" t="n"/>
      <c r="O63" s="239" t="n"/>
      <c r="P63" s="239" t="n"/>
      <c r="Q63" s="239" t="n"/>
      <c r="R63" s="239" t="n"/>
      <c r="S63" s="239" t="n"/>
    </row>
    <row r="64" ht="16.2" customHeight="1" s="176">
      <c r="B64" s="190" t="inlineStr">
        <is>
          <t>Lan Services - TelCo</t>
        </is>
      </c>
      <c r="C64" s="216" t="n"/>
      <c r="D64" s="217" t="n"/>
      <c r="E64" s="217" t="n"/>
      <c r="F64" s="217" t="n"/>
      <c r="G64" s="217" t="n"/>
      <c r="H64" s="217" t="n"/>
      <c r="I64" s="217" t="n"/>
      <c r="J64" s="217" t="n"/>
      <c r="K64" s="240" t="n"/>
      <c r="L64" s="240" t="n"/>
      <c r="M64" s="240" t="n"/>
      <c r="N64" s="240" t="n"/>
      <c r="O64" s="240" t="n"/>
      <c r="P64" s="240" t="n"/>
      <c r="Q64" s="240" t="n"/>
      <c r="R64" s="240" t="n"/>
      <c r="S64" s="240" t="n"/>
    </row>
    <row r="65" ht="16.2" customHeight="1" s="176">
      <c r="B65" s="237" t="n"/>
      <c r="C65" s="238" t="n"/>
      <c r="D65" s="261" t="n"/>
      <c r="E65" s="261" t="n"/>
      <c r="F65" s="261" t="n"/>
      <c r="G65" s="261" t="n"/>
      <c r="H65" s="261" t="n"/>
      <c r="I65" s="261" t="n"/>
      <c r="J65" s="261" t="n"/>
      <c r="K65" s="239" t="n"/>
      <c r="L65" s="239" t="n"/>
      <c r="M65" s="239" t="n"/>
      <c r="N65" s="239" t="n"/>
      <c r="O65" s="239" t="n"/>
      <c r="P65" s="239" t="n"/>
      <c r="Q65" s="239" t="n"/>
      <c r="R65" s="239" t="n"/>
      <c r="S65" s="239" t="n"/>
    </row>
    <row r="66" ht="40.2" customHeight="1" s="176">
      <c r="B66" s="190" t="inlineStr">
        <is>
          <t>Category of Service</t>
        </is>
      </c>
      <c r="C66" s="221" t="inlineStr">
        <is>
          <t>Units</t>
        </is>
      </c>
      <c r="D66" s="221" t="inlineStr">
        <is>
          <t>Contract code</t>
        </is>
      </c>
      <c r="E66" s="221" t="inlineStr">
        <is>
          <t xml:space="preserve">Supplier </t>
        </is>
      </c>
      <c r="F66" s="221" t="inlineStr">
        <is>
          <t>Country</t>
        </is>
      </c>
      <c r="G66" s="221" t="inlineStr">
        <is>
          <t>Description</t>
        </is>
      </c>
      <c r="H66" s="221" t="inlineStr">
        <is>
          <t>I/L/C/D</t>
        </is>
      </c>
      <c r="I66" s="221" t="inlineStr">
        <is>
          <t>Start date</t>
        </is>
      </c>
      <c r="J66" s="221" t="inlineStr">
        <is>
          <t>Duration</t>
        </is>
      </c>
      <c r="K66" s="222" t="inlineStr">
        <is>
          <t>Volume</t>
        </is>
      </c>
      <c r="L66" s="222" t="inlineStr">
        <is>
          <t>Investement/Contract amount</t>
        </is>
      </c>
      <c r="M66" s="222" t="inlineStr">
        <is>
          <t>Current month</t>
        </is>
      </c>
      <c r="N66" s="222" t="inlineStr">
        <is>
          <t>Ytd</t>
        </is>
      </c>
      <c r="O66" s="222" t="inlineStr">
        <is>
          <t>Forecast Year 1</t>
        </is>
      </c>
      <c r="P66" s="222" t="inlineStr">
        <is>
          <t>Forecast Year 2</t>
        </is>
      </c>
      <c r="Q66" s="222" t="inlineStr">
        <is>
          <t>Forecast Year 3</t>
        </is>
      </c>
      <c r="R66" s="222" t="inlineStr">
        <is>
          <t>Forecast Year 4</t>
        </is>
      </c>
      <c r="S66" s="223" t="inlineStr">
        <is>
          <t>Forecast Year 5</t>
        </is>
      </c>
    </row>
    <row r="67" ht="13.2" customHeight="1" s="176">
      <c r="B67" s="204" t="inlineStr">
        <is>
          <t>LAN-Attached Devices</t>
        </is>
      </c>
      <c r="C67" s="204" t="inlineStr">
        <is>
          <t>Active ports</t>
        </is>
      </c>
      <c r="D67" s="204" t="n"/>
      <c r="E67" s="204" t="n"/>
      <c r="F67" s="204" t="n"/>
      <c r="G67" s="204" t="n"/>
      <c r="H67" s="204" t="n"/>
      <c r="I67" s="204" t="n"/>
      <c r="J67" s="204" t="n"/>
      <c r="K67" s="258" t="n"/>
      <c r="L67" s="258" t="n"/>
      <c r="M67" s="258" t="n"/>
      <c r="N67" s="258" t="n"/>
      <c r="O67" s="258" t="n"/>
      <c r="P67" s="258" t="n"/>
      <c r="Q67" s="258" t="n"/>
      <c r="R67" s="258" t="n"/>
      <c r="S67" s="258" t="n"/>
    </row>
    <row r="68" ht="13.2" customHeight="1" s="176">
      <c r="B68" s="204" t="inlineStr">
        <is>
          <t>Monitoring LAN ports</t>
        </is>
      </c>
      <c r="C68" s="204" t="inlineStr">
        <is>
          <t>Active ports</t>
        </is>
      </c>
      <c r="D68" s="204" t="n"/>
      <c r="E68" s="204" t="n"/>
      <c r="F68" s="204" t="n"/>
      <c r="G68" s="204" t="n"/>
      <c r="H68" s="204" t="n"/>
      <c r="I68" s="204" t="n"/>
      <c r="J68" s="204" t="n"/>
      <c r="K68" s="258" t="n"/>
      <c r="L68" s="258" t="n"/>
      <c r="M68" s="258" t="n"/>
      <c r="N68" s="258" t="n"/>
      <c r="O68" s="258" t="n"/>
      <c r="P68" s="258" t="n"/>
      <c r="Q68" s="258" t="n"/>
      <c r="R68" s="258" t="n"/>
      <c r="S68" s="262" t="n"/>
    </row>
    <row r="69" ht="13.8" customHeight="1" s="176">
      <c r="B69" s="241" t="n"/>
      <c r="C69" s="242" t="n"/>
      <c r="D69" s="242" t="n"/>
      <c r="E69" s="242" t="n"/>
      <c r="F69" s="242" t="n"/>
      <c r="G69" s="242" t="n"/>
      <c r="H69" s="242" t="n"/>
      <c r="I69" s="242" t="n"/>
      <c r="J69" s="242" t="n"/>
      <c r="K69" s="262" t="n"/>
      <c r="L69" s="262" t="n"/>
      <c r="M69" s="262" t="n"/>
      <c r="N69" s="262" t="n"/>
      <c r="O69" s="262" t="n"/>
      <c r="P69" s="262" t="n"/>
      <c r="Q69" s="262" t="n"/>
      <c r="R69" s="262" t="n"/>
      <c r="S69" s="262" t="n"/>
    </row>
    <row r="70" ht="15.6" customHeight="1" s="176">
      <c r="B70" s="245" t="n"/>
      <c r="C70" s="246" t="inlineStr">
        <is>
          <t>Total LAN Services:</t>
        </is>
      </c>
      <c r="D70" s="263" t="n"/>
      <c r="E70" s="263" t="n"/>
      <c r="F70" s="263" t="n"/>
      <c r="G70" s="263" t="n"/>
      <c r="H70" s="263" t="n"/>
      <c r="I70" s="263" t="n"/>
      <c r="J70" s="263" t="n"/>
      <c r="K70" s="247">
        <f>SUM(K67)</f>
        <v/>
      </c>
      <c r="L70" s="247">
        <f>SUM(L67)</f>
        <v/>
      </c>
      <c r="M70" s="247">
        <f>SUM(M67)</f>
        <v/>
      </c>
      <c r="N70" s="247">
        <f>SUM(N67)</f>
        <v/>
      </c>
      <c r="O70" s="247">
        <f>SUM(O67)</f>
        <v/>
      </c>
      <c r="P70" s="247">
        <f>SUM(P67)</f>
        <v/>
      </c>
      <c r="Q70" s="247">
        <f>SUM(Q67)</f>
        <v/>
      </c>
      <c r="R70" s="247">
        <f>SUM(R67)</f>
        <v/>
      </c>
      <c r="S70" s="247">
        <f>SUM(S67)</f>
        <v/>
      </c>
    </row>
    <row r="71" ht="16.2" customHeight="1" s="176">
      <c r="B71" s="237" t="n"/>
      <c r="C71" s="238" t="n"/>
      <c r="D71" s="261" t="n"/>
      <c r="E71" s="261" t="n"/>
      <c r="F71" s="261" t="n"/>
      <c r="G71" s="261" t="n"/>
      <c r="H71" s="261" t="n"/>
      <c r="I71" s="261" t="n"/>
      <c r="J71" s="261" t="n"/>
      <c r="K71" s="239" t="n"/>
      <c r="L71" s="239" t="n"/>
      <c r="M71" s="239" t="n"/>
      <c r="N71" s="239" t="n"/>
      <c r="O71" s="239" t="n"/>
      <c r="P71" s="239" t="n"/>
      <c r="Q71" s="239" t="n"/>
      <c r="R71" s="239" t="n"/>
      <c r="S71" s="239" t="n"/>
    </row>
    <row r="72" ht="16.2" customHeight="1" s="176">
      <c r="B72" s="190" t="inlineStr">
        <is>
          <t>Voice Services - TelCo</t>
        </is>
      </c>
      <c r="C72" s="216" t="n"/>
      <c r="D72" s="217" t="n"/>
      <c r="E72" s="217" t="n"/>
      <c r="F72" s="217" t="n"/>
      <c r="G72" s="217" t="n"/>
      <c r="H72" s="217" t="n"/>
      <c r="I72" s="217" t="n"/>
      <c r="J72" s="217" t="n"/>
      <c r="K72" s="240" t="n"/>
      <c r="L72" s="240" t="n"/>
      <c r="M72" s="240" t="n"/>
      <c r="N72" s="240" t="n"/>
      <c r="O72" s="240" t="n"/>
      <c r="P72" s="240" t="n"/>
      <c r="Q72" s="240" t="n"/>
      <c r="R72" s="240" t="n"/>
      <c r="S72" s="240" t="n"/>
    </row>
    <row r="73" ht="16.2" customHeight="1" s="176">
      <c r="B73" s="237" t="n"/>
      <c r="C73" s="238" t="n"/>
      <c r="D73" s="261" t="n"/>
      <c r="E73" s="261" t="n"/>
      <c r="F73" s="261" t="n"/>
      <c r="G73" s="261" t="n"/>
      <c r="H73" s="261" t="n"/>
      <c r="I73" s="261" t="n"/>
      <c r="J73" s="261" t="n"/>
      <c r="K73" s="239" t="n"/>
      <c r="L73" s="239" t="n"/>
      <c r="M73" s="239" t="n"/>
      <c r="N73" s="239" t="n"/>
      <c r="O73" s="239" t="n"/>
      <c r="P73" s="239" t="n"/>
      <c r="Q73" s="239" t="n"/>
      <c r="R73" s="239" t="n"/>
      <c r="S73" s="239" t="n"/>
    </row>
    <row r="74" ht="40.2" customHeight="1" s="176">
      <c r="B74" s="190" t="inlineStr">
        <is>
          <t>Category of Service</t>
        </is>
      </c>
      <c r="C74" s="221" t="inlineStr">
        <is>
          <t>Units</t>
        </is>
      </c>
      <c r="D74" s="221" t="inlineStr">
        <is>
          <t>Contract code</t>
        </is>
      </c>
      <c r="E74" s="221" t="inlineStr">
        <is>
          <t xml:space="preserve">Supplier </t>
        </is>
      </c>
      <c r="F74" s="221" t="inlineStr">
        <is>
          <t>Country</t>
        </is>
      </c>
      <c r="G74" s="221" t="inlineStr">
        <is>
          <t>Description</t>
        </is>
      </c>
      <c r="H74" s="221" t="inlineStr">
        <is>
          <t>I/L/C/D</t>
        </is>
      </c>
      <c r="I74" s="221" t="inlineStr">
        <is>
          <t>Start date</t>
        </is>
      </c>
      <c r="J74" s="221" t="inlineStr">
        <is>
          <t>Duration</t>
        </is>
      </c>
      <c r="K74" s="222" t="inlineStr">
        <is>
          <t>Volume</t>
        </is>
      </c>
      <c r="L74" s="222" t="inlineStr">
        <is>
          <t>Investement/Contract amount</t>
        </is>
      </c>
      <c r="M74" s="222" t="inlineStr">
        <is>
          <t>Current month</t>
        </is>
      </c>
      <c r="N74" s="222" t="inlineStr">
        <is>
          <t>Ytd</t>
        </is>
      </c>
      <c r="O74" s="222" t="inlineStr">
        <is>
          <t>Forecast Year 1</t>
        </is>
      </c>
      <c r="P74" s="222" t="inlineStr">
        <is>
          <t>Forecast Year 2</t>
        </is>
      </c>
      <c r="Q74" s="222" t="inlineStr">
        <is>
          <t>Forecast Year 3</t>
        </is>
      </c>
      <c r="R74" s="222" t="inlineStr">
        <is>
          <t>Forecast Year 4</t>
        </is>
      </c>
      <c r="S74" s="223" t="inlineStr">
        <is>
          <t>Forecast Year 5</t>
        </is>
      </c>
    </row>
    <row r="75" ht="13.2" customHeight="1" s="176">
      <c r="B75" s="192" t="inlineStr">
        <is>
          <t>Call Centers</t>
        </is>
      </c>
      <c r="C75" s="192" t="inlineStr">
        <is>
          <t>Seats</t>
        </is>
      </c>
      <c r="D75" s="192" t="n"/>
      <c r="E75" s="192" t="n"/>
      <c r="F75" s="192" t="n"/>
      <c r="G75" s="192" t="n"/>
      <c r="H75" s="192" t="n"/>
      <c r="I75" s="192" t="n"/>
      <c r="J75" s="192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</row>
    <row r="76" ht="13.2" customHeight="1" s="176">
      <c r="B76" s="195" t="inlineStr">
        <is>
          <t>Employee ISDN</t>
        </is>
      </c>
      <c r="C76" s="195" t="inlineStr">
        <is>
          <t>ISDN subscriptions</t>
        </is>
      </c>
      <c r="D76" s="195" t="n"/>
      <c r="E76" s="195" t="n"/>
      <c r="F76" s="195" t="n"/>
      <c r="G76" s="195" t="n"/>
      <c r="H76" s="195" t="n"/>
      <c r="I76" s="195" t="n"/>
      <c r="J76" s="195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</row>
    <row r="77" ht="13.2" customHeight="1" s="176">
      <c r="B77" s="195" t="inlineStr">
        <is>
          <t>Video conferencing</t>
        </is>
      </c>
      <c r="C77" s="195" t="inlineStr">
        <is>
          <t>Video conference rooms</t>
        </is>
      </c>
      <c r="D77" s="195" t="n"/>
      <c r="E77" s="195" t="n"/>
      <c r="F77" s="195" t="n"/>
      <c r="G77" s="195" t="n"/>
      <c r="H77" s="195" t="n"/>
      <c r="I77" s="195" t="n"/>
      <c r="J77" s="195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</row>
    <row r="78" ht="13.2" customHeight="1" s="176">
      <c r="B78" s="195" t="inlineStr">
        <is>
          <t>Handsets - Digital (incl. DECT)</t>
        </is>
      </c>
      <c r="C78" s="195" t="inlineStr">
        <is>
          <t>Sets</t>
        </is>
      </c>
      <c r="D78" s="195" t="n"/>
      <c r="E78" s="195" t="n"/>
      <c r="F78" s="195" t="n"/>
      <c r="G78" s="195" t="n"/>
      <c r="H78" s="195" t="n"/>
      <c r="I78" s="195" t="n"/>
      <c r="J78" s="195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</row>
    <row r="79" ht="13.2" customHeight="1" s="176">
      <c r="B79" s="192" t="inlineStr">
        <is>
          <t>Handsets - Analog</t>
        </is>
      </c>
      <c r="C79" s="192" t="inlineStr">
        <is>
          <t>Sets</t>
        </is>
      </c>
      <c r="D79" s="192" t="n"/>
      <c r="E79" s="192" t="n"/>
      <c r="F79" s="192" t="n"/>
      <c r="G79" s="192" t="n"/>
      <c r="H79" s="192" t="n"/>
      <c r="I79" s="192" t="n"/>
      <c r="J79" s="192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</row>
    <row r="80" ht="13.2" customHeight="1" s="176">
      <c r="B80" s="195" t="inlineStr">
        <is>
          <t>Cellular Phones management fee</t>
        </is>
      </c>
      <c r="C80" s="195" t="inlineStr">
        <is>
          <t>Subscriptions</t>
        </is>
      </c>
      <c r="D80" s="192" t="n"/>
      <c r="E80" s="192" t="n"/>
      <c r="F80" s="192" t="n"/>
      <c r="G80" s="192" t="n"/>
      <c r="H80" s="192" t="n"/>
      <c r="I80" s="192" t="n"/>
      <c r="J80" s="192" t="n"/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</row>
    <row r="81" ht="13.2" customHeight="1" s="176">
      <c r="B81" s="195" t="inlineStr">
        <is>
          <t>Cellular Phones subscription</t>
        </is>
      </c>
      <c r="C81" s="195" t="inlineStr">
        <is>
          <t>Subscriptions</t>
        </is>
      </c>
      <c r="D81" s="195" t="n"/>
      <c r="E81" s="195" t="n"/>
      <c r="F81" s="195" t="n"/>
      <c r="G81" s="195" t="n"/>
      <c r="H81" s="195" t="n"/>
      <c r="I81" s="195" t="n"/>
      <c r="J81" s="195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</row>
    <row r="82" ht="13.2" customHeight="1" s="176">
      <c r="B82" s="204" t="inlineStr">
        <is>
          <t>Cellular Phones refresh</t>
        </is>
      </c>
      <c r="C82" s="204" t="inlineStr">
        <is>
          <t>Devices</t>
        </is>
      </c>
      <c r="D82" s="204" t="n"/>
      <c r="E82" s="204" t="n"/>
      <c r="F82" s="204" t="n"/>
      <c r="G82" s="204" t="n"/>
      <c r="H82" s="204" t="n"/>
      <c r="I82" s="204" t="n"/>
      <c r="J82" s="204" t="n"/>
      <c r="K82" s="258" t="n"/>
      <c r="L82" s="258" t="n"/>
      <c r="M82" s="258" t="n"/>
      <c r="N82" s="258" t="n"/>
      <c r="O82" s="258" t="n"/>
      <c r="P82" s="258" t="n"/>
      <c r="Q82" s="258" t="n"/>
      <c r="R82" s="258" t="n"/>
      <c r="S82" s="258" t="n"/>
    </row>
    <row r="83" ht="13.2" customHeight="1" s="176">
      <c r="B83" s="195" t="inlineStr">
        <is>
          <t>GPRS/UMTS Cards or Devices management fee</t>
        </is>
      </c>
      <c r="C83" s="195" t="inlineStr">
        <is>
          <t>Subscriptions</t>
        </is>
      </c>
      <c r="D83" s="192" t="n"/>
      <c r="E83" s="192" t="n"/>
      <c r="F83" s="192" t="n"/>
      <c r="G83" s="192" t="n"/>
      <c r="H83" s="192" t="n"/>
      <c r="I83" s="192" t="n"/>
      <c r="J83" s="192" t="n"/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</row>
    <row r="84" ht="13.2" customHeight="1" s="176">
      <c r="B84" s="195" t="inlineStr">
        <is>
          <t>GPRS/UMTS Cards or Devices subscription</t>
        </is>
      </c>
      <c r="C84" s="195" t="inlineStr">
        <is>
          <t>Subscriptions</t>
        </is>
      </c>
      <c r="D84" s="195" t="n"/>
      <c r="E84" s="195" t="n"/>
      <c r="F84" s="195" t="n"/>
      <c r="G84" s="195" t="n"/>
      <c r="H84" s="195" t="n"/>
      <c r="I84" s="195" t="n"/>
      <c r="J84" s="195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</row>
    <row r="85" ht="13.2" customHeight="1" s="176">
      <c r="B85" s="204" t="inlineStr">
        <is>
          <t>GPRS/UMTS Cards or Devices refresh</t>
        </is>
      </c>
      <c r="C85" s="204" t="inlineStr">
        <is>
          <t>Devices</t>
        </is>
      </c>
      <c r="D85" s="204" t="n"/>
      <c r="E85" s="204" t="n"/>
      <c r="F85" s="204" t="n"/>
      <c r="G85" s="204" t="n"/>
      <c r="H85" s="204" t="n"/>
      <c r="I85" s="204" t="n"/>
      <c r="J85" s="204" t="n"/>
      <c r="K85" s="258" t="n"/>
      <c r="L85" s="258" t="n"/>
      <c r="M85" s="258" t="n"/>
      <c r="N85" s="258" t="n"/>
      <c r="O85" s="258" t="n"/>
      <c r="P85" s="258" t="n"/>
      <c r="Q85" s="258" t="n"/>
      <c r="R85" s="258" t="n"/>
      <c r="S85" s="258" t="n"/>
    </row>
    <row r="86" ht="13.2" customHeight="1" s="176">
      <c r="B86" s="195" t="inlineStr">
        <is>
          <t>Blackberries management fee</t>
        </is>
      </c>
      <c r="C86" s="195" t="inlineStr">
        <is>
          <t>Subscriptions</t>
        </is>
      </c>
      <c r="D86" s="192" t="n"/>
      <c r="E86" s="192" t="n"/>
      <c r="F86" s="192" t="n"/>
      <c r="G86" s="192" t="n"/>
      <c r="H86" s="192" t="n"/>
      <c r="I86" s="192" t="n"/>
      <c r="J86" s="192" t="n"/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</row>
    <row r="87" ht="13.2" customHeight="1" s="176">
      <c r="B87" s="195" t="inlineStr">
        <is>
          <t>Blackberries subscription (data)</t>
        </is>
      </c>
      <c r="C87" s="195" t="inlineStr">
        <is>
          <t>Subscriptions</t>
        </is>
      </c>
      <c r="D87" s="195" t="n"/>
      <c r="E87" s="195" t="n"/>
      <c r="F87" s="195" t="n"/>
      <c r="G87" s="195" t="n"/>
      <c r="H87" s="195" t="n"/>
      <c r="I87" s="195" t="n"/>
      <c r="J87" s="195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</row>
    <row r="88" ht="13.2" customHeight="1" s="176">
      <c r="B88" s="204" t="inlineStr">
        <is>
          <t>Blackberries refresh incl CAL licence</t>
        </is>
      </c>
      <c r="C88" s="204" t="inlineStr">
        <is>
          <t>Devices</t>
        </is>
      </c>
      <c r="D88" s="204" t="n"/>
      <c r="E88" s="204" t="n"/>
      <c r="F88" s="204" t="n"/>
      <c r="G88" s="204" t="n"/>
      <c r="H88" s="204" t="n"/>
      <c r="I88" s="204" t="n"/>
      <c r="J88" s="204" t="n"/>
      <c r="K88" s="258" t="n"/>
      <c r="L88" s="258" t="n"/>
      <c r="M88" s="258" t="n"/>
      <c r="N88" s="258" t="n"/>
      <c r="O88" s="258" t="n"/>
      <c r="P88" s="258" t="n"/>
      <c r="Q88" s="258" t="n"/>
      <c r="R88" s="258" t="n"/>
      <c r="S88" s="258" t="n"/>
    </row>
    <row r="89" ht="13.2" customHeight="1" s="176">
      <c r="B89" s="195" t="inlineStr">
        <is>
          <t>Internal Pagers management fee</t>
        </is>
      </c>
      <c r="C89" s="195" t="inlineStr">
        <is>
          <t>Devices</t>
        </is>
      </c>
      <c r="D89" s="192" t="n"/>
      <c r="E89" s="192" t="n"/>
      <c r="F89" s="192" t="n"/>
      <c r="G89" s="192" t="n"/>
      <c r="H89" s="192" t="n"/>
      <c r="I89" s="192" t="n"/>
      <c r="J89" s="192" t="n"/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</row>
    <row r="90" ht="13.2" customHeight="1" s="176">
      <c r="B90" s="195" t="inlineStr">
        <is>
          <t>Internal Pagers refresh</t>
        </is>
      </c>
      <c r="C90" s="195" t="inlineStr">
        <is>
          <t>Devices</t>
        </is>
      </c>
      <c r="D90" s="195" t="n"/>
      <c r="E90" s="195" t="n"/>
      <c r="F90" s="195" t="n"/>
      <c r="G90" s="195" t="n"/>
      <c r="H90" s="195" t="n"/>
      <c r="I90" s="195" t="n"/>
      <c r="J90" s="195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</row>
    <row r="91" ht="13.2" customHeight="1" s="176">
      <c r="B91" s="249" t="inlineStr">
        <is>
          <t>External Pagers management fee</t>
        </is>
      </c>
      <c r="C91" s="249" t="inlineStr">
        <is>
          <t>Devices</t>
        </is>
      </c>
      <c r="D91" s="249" t="n"/>
      <c r="E91" s="249" t="n"/>
      <c r="F91" s="249" t="n"/>
      <c r="G91" s="249" t="n"/>
      <c r="H91" s="249" t="n"/>
      <c r="I91" s="249" t="n"/>
      <c r="J91" s="249" t="n"/>
      <c r="K91" s="264" t="n"/>
      <c r="L91" s="264" t="n"/>
      <c r="M91" s="264" t="n"/>
      <c r="N91" s="264" t="n"/>
      <c r="O91" s="264" t="n"/>
      <c r="P91" s="264" t="n"/>
      <c r="Q91" s="264" t="n"/>
      <c r="R91" s="264" t="n"/>
      <c r="S91" s="264" t="n"/>
    </row>
    <row r="92" ht="13.8" customHeight="1" s="176">
      <c r="B92" s="230" t="inlineStr">
        <is>
          <t>External Pagers refresh</t>
        </is>
      </c>
      <c r="C92" s="230" t="inlineStr">
        <is>
          <t>Devices</t>
        </is>
      </c>
      <c r="D92" s="230" t="n"/>
      <c r="E92" s="230" t="n"/>
      <c r="F92" s="230" t="n"/>
      <c r="G92" s="230" t="n"/>
      <c r="H92" s="230" t="n"/>
      <c r="I92" s="230" t="n"/>
      <c r="J92" s="230" t="n"/>
      <c r="K92" s="259" t="n"/>
      <c r="L92" s="259" t="n"/>
      <c r="M92" s="259" t="n"/>
      <c r="N92" s="259" t="n"/>
      <c r="O92" s="259" t="n"/>
      <c r="P92" s="259" t="n"/>
      <c r="Q92" s="259" t="n"/>
      <c r="R92" s="259" t="n"/>
      <c r="S92" s="259" t="n"/>
    </row>
    <row r="93" ht="13.8" customHeight="1" s="176">
      <c r="B93" s="233" t="n"/>
      <c r="C93" s="234" t="inlineStr">
        <is>
          <t>Subtotal:</t>
        </is>
      </c>
      <c r="D93" s="234" t="n"/>
      <c r="E93" s="234" t="n"/>
      <c r="F93" s="234" t="n"/>
      <c r="G93" s="234" t="n"/>
      <c r="H93" s="234" t="n"/>
      <c r="I93" s="234" t="n"/>
      <c r="J93" s="234" t="n"/>
      <c r="K93" s="260">
        <f>SUM(K75:K92)</f>
        <v/>
      </c>
      <c r="L93" s="260">
        <f>SUM(L75:L92)</f>
        <v/>
      </c>
      <c r="M93" s="260">
        <f>SUM(M75:M92)</f>
        <v/>
      </c>
      <c r="N93" s="260">
        <f>SUM(N75:N92)</f>
        <v/>
      </c>
      <c r="O93" s="260">
        <f>SUM(O75:O92)</f>
        <v/>
      </c>
      <c r="P93" s="260">
        <f>SUM(P75:P92)</f>
        <v/>
      </c>
      <c r="Q93" s="260">
        <f>SUM(Q75:Q92)</f>
        <v/>
      </c>
      <c r="R93" s="260">
        <f>SUM(R75:R92)</f>
        <v/>
      </c>
      <c r="S93" s="260">
        <f>SUM(S75:S92)</f>
        <v/>
      </c>
    </row>
    <row r="94" ht="16.2" customHeight="1" s="176">
      <c r="B94" s="237" t="n"/>
      <c r="C94" s="238" t="n"/>
      <c r="D94" s="261" t="n"/>
      <c r="E94" s="261" t="n"/>
      <c r="F94" s="261" t="n"/>
      <c r="G94" s="261" t="n"/>
      <c r="H94" s="261" t="n"/>
      <c r="I94" s="261" t="n"/>
      <c r="J94" s="261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</row>
    <row r="95" ht="16.2" customHeight="1" s="176">
      <c r="B95" s="190" t="inlineStr">
        <is>
          <t>Voice consumption</t>
        </is>
      </c>
      <c r="C95" s="216" t="n"/>
      <c r="D95" s="217" t="n"/>
      <c r="E95" s="217" t="n"/>
      <c r="F95" s="217" t="n"/>
      <c r="G95" s="217" t="n"/>
      <c r="H95" s="217" t="n"/>
      <c r="I95" s="217" t="n"/>
      <c r="J95" s="217" t="n"/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</row>
    <row r="96" ht="16.2" customHeight="1" s="176">
      <c r="B96" s="237" t="n"/>
      <c r="C96" s="238" t="n"/>
      <c r="D96" s="261" t="n"/>
      <c r="E96" s="261" t="n"/>
      <c r="F96" s="261" t="n"/>
      <c r="G96" s="261" t="n"/>
      <c r="H96" s="261" t="n"/>
      <c r="I96" s="261" t="n"/>
      <c r="J96" s="261" t="n"/>
      <c r="K96" s="239" t="n"/>
      <c r="L96" s="239" t="n"/>
      <c r="M96" s="239" t="n"/>
      <c r="N96" s="239" t="n"/>
      <c r="O96" s="239" t="n"/>
      <c r="P96" s="239" t="n"/>
      <c r="Q96" s="239" t="n"/>
      <c r="R96" s="239" t="n"/>
      <c r="S96" s="239" t="n"/>
    </row>
    <row r="97" ht="40.2" customHeight="1" s="176">
      <c r="B97" s="190" t="inlineStr">
        <is>
          <t>Category of Service</t>
        </is>
      </c>
      <c r="C97" s="221" t="inlineStr">
        <is>
          <t>Units</t>
        </is>
      </c>
      <c r="D97" s="221" t="inlineStr">
        <is>
          <t>Contract code</t>
        </is>
      </c>
      <c r="E97" s="221" t="inlineStr">
        <is>
          <t xml:space="preserve">Supplier </t>
        </is>
      </c>
      <c r="F97" s="221" t="inlineStr">
        <is>
          <t>Country</t>
        </is>
      </c>
      <c r="G97" s="221" t="inlineStr">
        <is>
          <t>Description</t>
        </is>
      </c>
      <c r="H97" s="221" t="inlineStr">
        <is>
          <t>I/L/C/D</t>
        </is>
      </c>
      <c r="I97" s="221" t="inlineStr">
        <is>
          <t>Start date</t>
        </is>
      </c>
      <c r="J97" s="221" t="inlineStr">
        <is>
          <t>Duration</t>
        </is>
      </c>
      <c r="K97" s="222" t="inlineStr">
        <is>
          <t>Volume</t>
        </is>
      </c>
      <c r="L97" s="222" t="inlineStr">
        <is>
          <t>Investement/Contract amount</t>
        </is>
      </c>
      <c r="M97" s="222" t="inlineStr">
        <is>
          <t>Current month</t>
        </is>
      </c>
      <c r="N97" s="222" t="inlineStr">
        <is>
          <t>Ytd</t>
        </is>
      </c>
      <c r="O97" s="222" t="inlineStr">
        <is>
          <t>Forecast Year 1</t>
        </is>
      </c>
      <c r="P97" s="222" t="inlineStr">
        <is>
          <t>Forecast Year 2</t>
        </is>
      </c>
      <c r="Q97" s="222" t="inlineStr">
        <is>
          <t>Forecast Year 3</t>
        </is>
      </c>
      <c r="R97" s="222" t="inlineStr">
        <is>
          <t>Forecast Year 4</t>
        </is>
      </c>
      <c r="S97" s="223" t="inlineStr">
        <is>
          <t>Forecast Year 5</t>
        </is>
      </c>
    </row>
    <row r="98" ht="13.2" customHeight="1" s="176">
      <c r="B98" s="192" t="inlineStr">
        <is>
          <t>Domestic Outbound Calls - Local</t>
        </is>
      </c>
      <c r="C98" s="192" t="inlineStr">
        <is>
          <t>Minutes</t>
        </is>
      </c>
      <c r="D98" s="192" t="n"/>
      <c r="E98" s="192" t="n"/>
      <c r="F98" s="192" t="n"/>
      <c r="G98" s="192" t="n"/>
      <c r="H98" s="192" t="n"/>
      <c r="I98" s="192" t="n"/>
      <c r="J98" s="192" t="n"/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</row>
    <row r="99" ht="13.2" customHeight="1" s="176">
      <c r="B99" s="195" t="inlineStr">
        <is>
          <t>Domestic Outbound Calls - Long Distance</t>
        </is>
      </c>
      <c r="C99" s="195" t="inlineStr">
        <is>
          <t>Minutes</t>
        </is>
      </c>
      <c r="D99" s="195" t="n"/>
      <c r="E99" s="195" t="n"/>
      <c r="F99" s="195" t="n"/>
      <c r="G99" s="195" t="n"/>
      <c r="H99" s="195" t="n"/>
      <c r="I99" s="195" t="n"/>
      <c r="J99" s="195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</row>
    <row r="100" ht="13.2" customHeight="1" s="176">
      <c r="B100" s="204" t="inlineStr">
        <is>
          <t>Domestic Outbound Calls - Cellular</t>
        </is>
      </c>
      <c r="C100" s="204" t="inlineStr">
        <is>
          <t>Minutes</t>
        </is>
      </c>
      <c r="D100" s="204" t="n"/>
      <c r="E100" s="204" t="n"/>
      <c r="F100" s="204" t="n"/>
      <c r="G100" s="204" t="n"/>
      <c r="H100" s="204" t="n"/>
      <c r="I100" s="204" t="n"/>
      <c r="J100" s="204" t="n"/>
      <c r="K100" s="258" t="n"/>
      <c r="L100" s="258" t="n"/>
      <c r="M100" s="258" t="n"/>
      <c r="N100" s="258" t="n"/>
      <c r="O100" s="258" t="n"/>
      <c r="P100" s="258" t="n"/>
      <c r="Q100" s="258" t="n"/>
      <c r="R100" s="258" t="n"/>
      <c r="S100" s="258" t="n"/>
    </row>
    <row r="101" ht="13.2" customHeight="1" s="176">
      <c r="B101" s="195" t="inlineStr">
        <is>
          <t>International Outbound Calls</t>
        </is>
      </c>
      <c r="C101" s="195" t="inlineStr">
        <is>
          <t>Minutes</t>
        </is>
      </c>
      <c r="D101" s="195" t="n"/>
      <c r="E101" s="195" t="n"/>
      <c r="F101" s="195" t="n"/>
      <c r="G101" s="195" t="n"/>
      <c r="H101" s="195" t="n"/>
      <c r="I101" s="195" t="n"/>
      <c r="J101" s="195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</row>
    <row r="102" ht="13.2" customHeight="1" s="176">
      <c r="B102" s="204" t="inlineStr">
        <is>
          <t>Mobile - national</t>
        </is>
      </c>
      <c r="C102" s="204" t="inlineStr">
        <is>
          <t>Minutes</t>
        </is>
      </c>
      <c r="D102" s="204" t="n"/>
      <c r="E102" s="204" t="n"/>
      <c r="F102" s="204" t="n"/>
      <c r="G102" s="204" t="n"/>
      <c r="H102" s="204" t="n"/>
      <c r="I102" s="204" t="n"/>
      <c r="J102" s="204" t="n"/>
      <c r="K102" s="258" t="n"/>
      <c r="L102" s="258" t="n"/>
      <c r="M102" s="258" t="n"/>
      <c r="N102" s="258" t="n"/>
      <c r="O102" s="258" t="n"/>
      <c r="P102" s="258" t="n"/>
      <c r="Q102" s="258" t="n"/>
      <c r="R102" s="258" t="n"/>
      <c r="S102" s="258" t="n"/>
    </row>
    <row r="103" ht="13.2" customHeight="1" s="176">
      <c r="B103" s="195" t="inlineStr">
        <is>
          <t>Mobile - international</t>
        </is>
      </c>
      <c r="C103" s="195" t="inlineStr">
        <is>
          <t>Minutes</t>
        </is>
      </c>
      <c r="D103" s="195" t="n"/>
      <c r="E103" s="195" t="n"/>
      <c r="F103" s="195" t="n"/>
      <c r="G103" s="195" t="n"/>
      <c r="H103" s="195" t="n"/>
      <c r="I103" s="195" t="n"/>
      <c r="J103" s="195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</row>
    <row r="104" ht="13.2" customHeight="1" s="176">
      <c r="B104" s="204" t="inlineStr">
        <is>
          <t>Mobile - roaming outbound</t>
        </is>
      </c>
      <c r="C104" s="204" t="inlineStr">
        <is>
          <t>Minutes</t>
        </is>
      </c>
      <c r="D104" s="204" t="n"/>
      <c r="E104" s="204" t="n"/>
      <c r="F104" s="204" t="n"/>
      <c r="G104" s="204" t="n"/>
      <c r="H104" s="204" t="n"/>
      <c r="I104" s="204" t="n"/>
      <c r="J104" s="204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</row>
    <row r="105" ht="13.2" customHeight="1" s="176">
      <c r="B105" s="195" t="inlineStr">
        <is>
          <t>Mobile - roaming inbound</t>
        </is>
      </c>
      <c r="C105" s="195" t="inlineStr">
        <is>
          <t>Minutes</t>
        </is>
      </c>
      <c r="D105" s="195" t="n"/>
      <c r="E105" s="195" t="n"/>
      <c r="F105" s="195" t="n"/>
      <c r="G105" s="195" t="n"/>
      <c r="H105" s="195" t="n"/>
      <c r="I105" s="195" t="n"/>
      <c r="J105" s="195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</row>
    <row r="106" ht="13.2" customHeight="1" s="176">
      <c r="B106" s="192" t="inlineStr">
        <is>
          <t>Free phone Service Calls</t>
        </is>
      </c>
      <c r="C106" s="192" t="inlineStr">
        <is>
          <t>Calls</t>
        </is>
      </c>
      <c r="D106" s="192" t="n"/>
      <c r="E106" s="192" t="n"/>
      <c r="F106" s="192" t="n"/>
      <c r="G106" s="192" t="n"/>
      <c r="H106" s="192" t="n"/>
      <c r="I106" s="192" t="n"/>
      <c r="J106" s="192" t="n"/>
      <c r="K106" s="256" t="n"/>
      <c r="L106" s="256" t="n"/>
      <c r="M106" s="256" t="n"/>
      <c r="N106" s="256" t="n"/>
      <c r="O106" s="256" t="n"/>
      <c r="P106" s="256" t="n"/>
      <c r="Q106" s="256" t="n"/>
      <c r="R106" s="256" t="n"/>
      <c r="S106" s="256" t="n"/>
    </row>
    <row r="107" ht="13.2" customHeight="1" s="176">
      <c r="B107" s="195" t="inlineStr">
        <is>
          <t>Free phone Services Dedicated per min.</t>
        </is>
      </c>
      <c r="C107" s="195" t="inlineStr">
        <is>
          <t>Minutes</t>
        </is>
      </c>
      <c r="D107" s="195" t="n"/>
      <c r="E107" s="195" t="n"/>
      <c r="F107" s="195" t="n"/>
      <c r="G107" s="195" t="n"/>
      <c r="H107" s="195" t="n"/>
      <c r="I107" s="195" t="n"/>
      <c r="J107" s="195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</row>
    <row r="108" ht="13.2" customHeight="1" s="176">
      <c r="B108" s="204" t="inlineStr">
        <is>
          <t>High Tariff Outbound Calls (0900)</t>
        </is>
      </c>
      <c r="C108" s="204" t="inlineStr">
        <is>
          <t>Minutes</t>
        </is>
      </c>
      <c r="D108" s="204" t="n"/>
      <c r="E108" s="204" t="n"/>
      <c r="F108" s="204" t="n"/>
      <c r="G108" s="204" t="n"/>
      <c r="H108" s="204" t="n"/>
      <c r="I108" s="204" t="n"/>
      <c r="J108" s="204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</row>
    <row r="109" ht="13.2" customHeight="1" s="176">
      <c r="B109" s="195" t="inlineStr">
        <is>
          <t>High Tariff Outbound Calls (0676 internet)</t>
        </is>
      </c>
      <c r="C109" s="195" t="inlineStr">
        <is>
          <t>Minutes</t>
        </is>
      </c>
      <c r="D109" s="195" t="n"/>
      <c r="E109" s="195" t="n"/>
      <c r="F109" s="195" t="n"/>
      <c r="G109" s="195" t="n"/>
      <c r="H109" s="195" t="n"/>
      <c r="I109" s="195" t="n"/>
      <c r="J109" s="195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</row>
    <row r="110" ht="13.2" customHeight="1" s="176">
      <c r="B110" s="204" t="inlineStr">
        <is>
          <t>High Tariff Outbound Calls  Other</t>
        </is>
      </c>
      <c r="C110" s="204" t="inlineStr">
        <is>
          <t>Minutes</t>
        </is>
      </c>
      <c r="D110" s="204" t="n"/>
      <c r="E110" s="204" t="n"/>
      <c r="F110" s="204" t="n"/>
      <c r="G110" s="204" t="n"/>
      <c r="H110" s="204" t="n"/>
      <c r="I110" s="204" t="n"/>
      <c r="J110" s="204" t="n"/>
      <c r="K110" s="258" t="n"/>
      <c r="L110" s="258" t="n"/>
      <c r="M110" s="258" t="n"/>
      <c r="N110" s="258" t="n"/>
      <c r="O110" s="258" t="n"/>
      <c r="P110" s="258" t="n"/>
      <c r="Q110" s="258" t="n"/>
      <c r="R110" s="258" t="n"/>
      <c r="S110" s="258" t="n"/>
    </row>
    <row r="111" ht="13.2" customHeight="1" s="176">
      <c r="B111" s="195" t="inlineStr">
        <is>
          <t>Voice - Directory Assistance Calls per call</t>
        </is>
      </c>
      <c r="C111" s="195" t="inlineStr">
        <is>
          <t>Calls</t>
        </is>
      </c>
      <c r="D111" s="195" t="n"/>
      <c r="E111" s="195" t="n"/>
      <c r="F111" s="195" t="n"/>
      <c r="G111" s="195" t="n"/>
      <c r="H111" s="195" t="n"/>
      <c r="I111" s="195" t="n"/>
      <c r="J111" s="195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</row>
    <row r="112" ht="13.8" customHeight="1" s="176">
      <c r="B112" s="230" t="inlineStr">
        <is>
          <t>Voice - IMACS</t>
        </is>
      </c>
      <c r="C112" s="230" t="inlineStr">
        <is>
          <t>IMACS</t>
        </is>
      </c>
      <c r="D112" s="230" t="n"/>
      <c r="E112" s="230" t="n"/>
      <c r="F112" s="230" t="n"/>
      <c r="G112" s="230" t="n"/>
      <c r="H112" s="230" t="n"/>
      <c r="I112" s="230" t="n"/>
      <c r="J112" s="230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</row>
    <row r="113" ht="13.8" customHeight="1" s="176">
      <c r="B113" s="233" t="n"/>
      <c r="C113" s="234" t="inlineStr">
        <is>
          <t>Subtotal:</t>
        </is>
      </c>
      <c r="D113" s="234" t="n"/>
      <c r="E113" s="234" t="n"/>
      <c r="F113" s="234" t="n"/>
      <c r="G113" s="234" t="n"/>
      <c r="H113" s="234" t="n"/>
      <c r="I113" s="234" t="n"/>
      <c r="J113" s="234" t="n"/>
      <c r="K113" s="260">
        <f>SUM(K98:K112)</f>
        <v/>
      </c>
      <c r="L113" s="260">
        <f>SUM(L98:L112)</f>
        <v/>
      </c>
      <c r="M113" s="260">
        <f>SUM(M98:M112)</f>
        <v/>
      </c>
      <c r="N113" s="260">
        <f>SUM(N98:N112)</f>
        <v/>
      </c>
      <c r="O113" s="260">
        <f>SUM(O98:O112)</f>
        <v/>
      </c>
      <c r="P113" s="260">
        <f>SUM(P98:P112)</f>
        <v/>
      </c>
      <c r="Q113" s="260">
        <f>SUM(Q98:Q112)</f>
        <v/>
      </c>
      <c r="R113" s="260">
        <f>SUM(R98:R112)</f>
        <v/>
      </c>
      <c r="S113" s="260">
        <f>SUM(S98:S112)</f>
        <v/>
      </c>
    </row>
    <row r="114" ht="16.2" customHeight="1" s="176">
      <c r="B114" s="237" t="n"/>
      <c r="C114" s="238" t="n"/>
      <c r="D114" s="261" t="n"/>
      <c r="E114" s="261" t="n"/>
      <c r="F114" s="261" t="n"/>
      <c r="G114" s="261" t="n"/>
      <c r="H114" s="261" t="n"/>
      <c r="I114" s="261" t="n"/>
      <c r="J114" s="261" t="n"/>
      <c r="K114" s="239" t="n"/>
      <c r="L114" s="239" t="n"/>
      <c r="M114" s="239" t="n"/>
      <c r="N114" s="239" t="n"/>
      <c r="O114" s="239" t="n"/>
      <c r="P114" s="239" t="n"/>
      <c r="Q114" s="239" t="n"/>
      <c r="R114" s="239" t="n"/>
      <c r="S114" s="239" t="n"/>
    </row>
    <row r="115" ht="16.2" customHeight="1" s="176">
      <c r="B115" s="190" t="inlineStr">
        <is>
          <t>Voice subscriptions</t>
        </is>
      </c>
      <c r="C115" s="216" t="n"/>
      <c r="D115" s="217" t="n"/>
      <c r="E115" s="217" t="n"/>
      <c r="F115" s="217" t="n"/>
      <c r="G115" s="217" t="n"/>
      <c r="H115" s="217" t="n"/>
      <c r="I115" s="217" t="n"/>
      <c r="J115" s="217" t="n"/>
      <c r="K115" s="240" t="n"/>
      <c r="L115" s="240" t="n"/>
      <c r="M115" s="240" t="n"/>
      <c r="N115" s="240" t="n"/>
      <c r="O115" s="240" t="n"/>
      <c r="P115" s="240" t="n"/>
      <c r="Q115" s="240" t="n"/>
      <c r="R115" s="240" t="n"/>
      <c r="S115" s="240" t="n"/>
    </row>
    <row r="116" ht="16.2" customHeight="1" s="176">
      <c r="B116" s="237" t="n"/>
      <c r="C116" s="238" t="n"/>
      <c r="D116" s="261" t="n"/>
      <c r="E116" s="261" t="n"/>
      <c r="F116" s="261" t="n"/>
      <c r="G116" s="261" t="n"/>
      <c r="H116" s="261" t="n"/>
      <c r="I116" s="261" t="n"/>
      <c r="J116" s="261" t="n"/>
      <c r="K116" s="239" t="n"/>
      <c r="L116" s="239" t="n"/>
      <c r="M116" s="239" t="n"/>
      <c r="N116" s="239" t="n"/>
      <c r="O116" s="239" t="n"/>
      <c r="P116" s="239" t="n"/>
      <c r="Q116" s="239" t="n"/>
      <c r="R116" s="239" t="n"/>
      <c r="S116" s="239" t="n"/>
    </row>
    <row r="117" ht="40.2" customHeight="1" s="176">
      <c r="B117" s="190" t="inlineStr">
        <is>
          <t>Category of Service</t>
        </is>
      </c>
      <c r="C117" s="221" t="inlineStr">
        <is>
          <t>Units</t>
        </is>
      </c>
      <c r="D117" s="221" t="inlineStr">
        <is>
          <t>Contract code</t>
        </is>
      </c>
      <c r="E117" s="221" t="inlineStr">
        <is>
          <t xml:space="preserve">Supplier </t>
        </is>
      </c>
      <c r="F117" s="221" t="inlineStr">
        <is>
          <t>Country</t>
        </is>
      </c>
      <c r="G117" s="221" t="inlineStr">
        <is>
          <t>Description</t>
        </is>
      </c>
      <c r="H117" s="221" t="inlineStr">
        <is>
          <t>I/L/C/D</t>
        </is>
      </c>
      <c r="I117" s="221" t="inlineStr">
        <is>
          <t>Start date</t>
        </is>
      </c>
      <c r="J117" s="221" t="inlineStr">
        <is>
          <t>Duration</t>
        </is>
      </c>
      <c r="K117" s="222" t="inlineStr">
        <is>
          <t>Volume</t>
        </is>
      </c>
      <c r="L117" s="222" t="inlineStr">
        <is>
          <t>Investement/Contract amount</t>
        </is>
      </c>
      <c r="M117" s="222" t="inlineStr">
        <is>
          <t>Current month</t>
        </is>
      </c>
      <c r="N117" s="222" t="inlineStr">
        <is>
          <t>Ytd</t>
        </is>
      </c>
      <c r="O117" s="222" t="inlineStr">
        <is>
          <t>Forecast Year 1</t>
        </is>
      </c>
      <c r="P117" s="222" t="inlineStr">
        <is>
          <t>Forecast Year 2</t>
        </is>
      </c>
      <c r="Q117" s="222" t="inlineStr">
        <is>
          <t>Forecast Year 3</t>
        </is>
      </c>
      <c r="R117" s="222" t="inlineStr">
        <is>
          <t>Forecast Year 4</t>
        </is>
      </c>
      <c r="S117" s="223" t="inlineStr">
        <is>
          <t>Forecast Year 5</t>
        </is>
      </c>
    </row>
    <row r="118" ht="13.2" customHeight="1" s="176">
      <c r="B118" s="195" t="inlineStr">
        <is>
          <t>ISDN 1</t>
        </is>
      </c>
      <c r="C118" s="195" t="inlineStr">
        <is>
          <t>Subscriptions</t>
        </is>
      </c>
      <c r="D118" s="195" t="n"/>
      <c r="E118" s="195" t="n"/>
      <c r="F118" s="195" t="n"/>
      <c r="G118" s="195" t="n"/>
      <c r="H118" s="195" t="n"/>
      <c r="I118" s="195" t="n"/>
      <c r="J118" s="195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</row>
    <row r="119" ht="13.2" customHeight="1" s="176">
      <c r="B119" s="192" t="inlineStr">
        <is>
          <t>ISDN 2</t>
        </is>
      </c>
      <c r="C119" s="192" t="inlineStr">
        <is>
          <t>Subscriptions</t>
        </is>
      </c>
      <c r="D119" s="192" t="n"/>
      <c r="E119" s="192" t="n"/>
      <c r="F119" s="192" t="n"/>
      <c r="G119" s="192" t="n"/>
      <c r="H119" s="192" t="n"/>
      <c r="I119" s="192" t="n"/>
      <c r="J119" s="192" t="n"/>
      <c r="K119" s="256" t="n"/>
      <c r="L119" s="256" t="n"/>
      <c r="M119" s="256" t="n"/>
      <c r="N119" s="256" t="n"/>
      <c r="O119" s="256" t="n"/>
      <c r="P119" s="256" t="n"/>
      <c r="Q119" s="256" t="n"/>
      <c r="R119" s="256" t="n"/>
      <c r="S119" s="256" t="n"/>
    </row>
    <row r="120" ht="13.2" customHeight="1" s="176">
      <c r="B120" s="195" t="inlineStr">
        <is>
          <t>ISDN 15</t>
        </is>
      </c>
      <c r="C120" s="192" t="inlineStr">
        <is>
          <t>Subscriptions</t>
        </is>
      </c>
      <c r="D120" s="195" t="n"/>
      <c r="E120" s="195" t="n"/>
      <c r="F120" s="195" t="n"/>
      <c r="G120" s="195" t="n"/>
      <c r="H120" s="195" t="n"/>
      <c r="I120" s="195" t="n"/>
      <c r="J120" s="195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</row>
    <row r="121" ht="13.2" customHeight="1" s="176">
      <c r="B121" s="204" t="inlineStr">
        <is>
          <t xml:space="preserve">ISDN 30  </t>
        </is>
      </c>
      <c r="C121" s="192" t="inlineStr">
        <is>
          <t>Subscriptions</t>
        </is>
      </c>
      <c r="D121" s="204" t="n"/>
      <c r="E121" s="204" t="n"/>
      <c r="F121" s="204" t="n"/>
      <c r="G121" s="204" t="n"/>
      <c r="H121" s="204" t="n"/>
      <c r="I121" s="204" t="n"/>
      <c r="J121" s="204" t="n"/>
      <c r="K121" s="258" t="n"/>
      <c r="L121" s="258" t="n"/>
      <c r="M121" s="258" t="n"/>
      <c r="N121" s="258" t="n"/>
      <c r="O121" s="258" t="n"/>
      <c r="P121" s="258" t="n"/>
      <c r="Q121" s="258" t="n"/>
      <c r="R121" s="258" t="n"/>
      <c r="S121" s="258" t="n"/>
    </row>
    <row r="122" ht="13.2" customHeight="1" s="176">
      <c r="B122" s="195" t="inlineStr">
        <is>
          <t>ISDN 30 (CPA)</t>
        </is>
      </c>
      <c r="C122" s="192" t="inlineStr">
        <is>
          <t>Subscriptions</t>
        </is>
      </c>
      <c r="D122" s="195" t="n"/>
      <c r="E122" s="195" t="n"/>
      <c r="F122" s="195" t="n"/>
      <c r="G122" s="195" t="n"/>
      <c r="H122" s="195" t="n"/>
      <c r="I122" s="195" t="n"/>
      <c r="J122" s="195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</row>
    <row r="123" ht="13.2" customHeight="1" s="176">
      <c r="B123" s="204" t="inlineStr">
        <is>
          <t>Dual homing telephony</t>
        </is>
      </c>
      <c r="C123" s="192" t="inlineStr">
        <is>
          <t>Subscriptions</t>
        </is>
      </c>
      <c r="D123" s="204" t="n"/>
      <c r="E123" s="204" t="n"/>
      <c r="F123" s="204" t="n"/>
      <c r="G123" s="204" t="n"/>
      <c r="H123" s="204" t="n"/>
      <c r="I123" s="204" t="n"/>
      <c r="J123" s="204" t="n"/>
      <c r="K123" s="258" t="n"/>
      <c r="L123" s="258" t="n"/>
      <c r="M123" s="258" t="n"/>
      <c r="N123" s="258" t="n"/>
      <c r="O123" s="258" t="n"/>
      <c r="P123" s="258" t="n"/>
      <c r="Q123" s="258" t="n"/>
      <c r="R123" s="258" t="n"/>
      <c r="S123" s="258" t="n"/>
    </row>
    <row r="124" ht="13.2" customHeight="1" s="176">
      <c r="B124" s="195" t="inlineStr">
        <is>
          <t>DDI reserved numbers (10)</t>
        </is>
      </c>
      <c r="C124" s="192" t="inlineStr">
        <is>
          <t>Subscriptions</t>
        </is>
      </c>
      <c r="D124" s="195" t="n"/>
      <c r="E124" s="195" t="n"/>
      <c r="F124" s="195" t="n"/>
      <c r="G124" s="195" t="n"/>
      <c r="H124" s="195" t="n"/>
      <c r="I124" s="195" t="n"/>
      <c r="J124" s="195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</row>
    <row r="125" ht="13.2" customHeight="1" s="176">
      <c r="B125" s="204" t="inlineStr">
        <is>
          <t>DDI reserved numbers (100)</t>
        </is>
      </c>
      <c r="C125" s="192" t="inlineStr">
        <is>
          <t>Subscriptions</t>
        </is>
      </c>
      <c r="D125" s="204" t="n"/>
      <c r="E125" s="204" t="n"/>
      <c r="F125" s="204" t="n"/>
      <c r="G125" s="204" t="n"/>
      <c r="H125" s="204" t="n"/>
      <c r="I125" s="204" t="n"/>
      <c r="J125" s="204" t="n"/>
      <c r="K125" s="258" t="n"/>
      <c r="L125" s="258" t="n"/>
      <c r="M125" s="258" t="n"/>
      <c r="N125" s="258" t="n"/>
      <c r="O125" s="258" t="n"/>
      <c r="P125" s="258" t="n"/>
      <c r="Q125" s="258" t="n"/>
      <c r="R125" s="258" t="n"/>
      <c r="S125" s="258" t="n"/>
    </row>
    <row r="126" ht="13.2" customHeight="1" s="176">
      <c r="B126" s="195" t="inlineStr">
        <is>
          <t>DDI reserved numbers (1000)</t>
        </is>
      </c>
      <c r="C126" s="192" t="inlineStr">
        <is>
          <t>Subscriptions</t>
        </is>
      </c>
      <c r="D126" s="195" t="n"/>
      <c r="E126" s="195" t="n"/>
      <c r="F126" s="195" t="n"/>
      <c r="G126" s="195" t="n"/>
      <c r="H126" s="195" t="n"/>
      <c r="I126" s="195" t="n"/>
      <c r="J126" s="195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</row>
    <row r="127" ht="13.2" customHeight="1" s="176">
      <c r="B127" s="192" t="inlineStr">
        <is>
          <t>DDI reserved numbers (10000)</t>
        </is>
      </c>
      <c r="C127" s="192" t="inlineStr">
        <is>
          <t>Subscriptions</t>
        </is>
      </c>
      <c r="D127" s="192" t="n"/>
      <c r="E127" s="192" t="n"/>
      <c r="F127" s="192" t="n"/>
      <c r="G127" s="192" t="n"/>
      <c r="H127" s="192" t="n"/>
      <c r="I127" s="192" t="n"/>
      <c r="J127" s="192" t="n"/>
      <c r="K127" s="256" t="n"/>
      <c r="L127" s="256" t="n"/>
      <c r="M127" s="256" t="n"/>
      <c r="N127" s="256" t="n"/>
      <c r="O127" s="256" t="n"/>
      <c r="P127" s="256" t="n"/>
      <c r="Q127" s="256" t="n"/>
      <c r="R127" s="256" t="n"/>
      <c r="S127" s="256" t="n"/>
    </row>
    <row r="128" ht="13.2" customHeight="1" s="176">
      <c r="B128" s="195" t="inlineStr">
        <is>
          <t>DDI facilities</t>
        </is>
      </c>
      <c r="C128" s="192" t="inlineStr">
        <is>
          <t>Subscriptions</t>
        </is>
      </c>
      <c r="D128" s="195" t="n"/>
      <c r="E128" s="195" t="n"/>
      <c r="F128" s="195" t="n"/>
      <c r="G128" s="195" t="n"/>
      <c r="H128" s="195" t="n"/>
      <c r="I128" s="195" t="n"/>
      <c r="J128" s="195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</row>
    <row r="129" ht="13.2" customHeight="1" s="176">
      <c r="B129" s="204" t="inlineStr">
        <is>
          <t>Calamity services</t>
        </is>
      </c>
      <c r="C129" s="204" t="inlineStr">
        <is>
          <t>Services</t>
        </is>
      </c>
      <c r="D129" s="204" t="n"/>
      <c r="E129" s="204" t="n"/>
      <c r="F129" s="204" t="n"/>
      <c r="G129" s="204" t="n"/>
      <c r="H129" s="204" t="n"/>
      <c r="I129" s="204" t="n"/>
      <c r="J129" s="204" t="n"/>
      <c r="K129" s="258" t="n"/>
      <c r="L129" s="258" t="n"/>
      <c r="M129" s="258" t="n"/>
      <c r="N129" s="258" t="n"/>
      <c r="O129" s="258" t="n"/>
      <c r="P129" s="258" t="n"/>
      <c r="Q129" s="258" t="n"/>
      <c r="R129" s="258" t="n"/>
      <c r="S129" s="258" t="n"/>
    </row>
    <row r="130" ht="13.2" customHeight="1" s="176">
      <c r="B130" s="195" t="inlineStr">
        <is>
          <t>Infrastructure services</t>
        </is>
      </c>
      <c r="C130" s="195" t="inlineStr">
        <is>
          <t>Services</t>
        </is>
      </c>
      <c r="D130" s="195" t="n"/>
      <c r="E130" s="195" t="n"/>
      <c r="F130" s="195" t="n"/>
      <c r="G130" s="195" t="n"/>
      <c r="H130" s="195" t="n"/>
      <c r="I130" s="195" t="n"/>
      <c r="J130" s="195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</row>
    <row r="131" ht="13.2" customHeight="1" s="176">
      <c r="B131" s="204" t="inlineStr">
        <is>
          <t>ADSL</t>
        </is>
      </c>
      <c r="C131" s="192" t="inlineStr">
        <is>
          <t>Subscriptions</t>
        </is>
      </c>
      <c r="D131" s="204" t="n"/>
      <c r="E131" s="204" t="n"/>
      <c r="F131" s="204" t="n"/>
      <c r="G131" s="204" t="n"/>
      <c r="H131" s="204" t="n"/>
      <c r="I131" s="204" t="n"/>
      <c r="J131" s="204" t="n"/>
      <c r="K131" s="258" t="n"/>
      <c r="L131" s="258" t="n"/>
      <c r="M131" s="258" t="n"/>
      <c r="N131" s="258" t="n"/>
      <c r="O131" s="258" t="n"/>
      <c r="P131" s="258" t="n"/>
      <c r="Q131" s="258" t="n"/>
      <c r="R131" s="258" t="n"/>
      <c r="S131" s="258" t="n"/>
    </row>
    <row r="132" ht="13.2" customHeight="1" s="176">
      <c r="B132" s="195" t="inlineStr">
        <is>
          <t>PSTN</t>
        </is>
      </c>
      <c r="C132" s="192" t="inlineStr">
        <is>
          <t>Subscriptions</t>
        </is>
      </c>
      <c r="D132" s="195" t="n"/>
      <c r="E132" s="195" t="n"/>
      <c r="F132" s="195" t="n"/>
      <c r="G132" s="195" t="n"/>
      <c r="H132" s="195" t="n"/>
      <c r="I132" s="195" t="n"/>
      <c r="J132" s="195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</row>
    <row r="133" ht="13.8" customHeight="1" s="176">
      <c r="B133" s="230" t="inlineStr">
        <is>
          <t>Telex</t>
        </is>
      </c>
      <c r="C133" s="230" t="inlineStr">
        <is>
          <t>Subscriptions</t>
        </is>
      </c>
      <c r="D133" s="230" t="n"/>
      <c r="E133" s="230" t="n"/>
      <c r="F133" s="230" t="n"/>
      <c r="G133" s="230" t="n"/>
      <c r="H133" s="230" t="n"/>
      <c r="I133" s="230" t="n"/>
      <c r="J133" s="230" t="n"/>
      <c r="K133" s="259" t="n"/>
      <c r="L133" s="259" t="n"/>
      <c r="M133" s="259" t="n"/>
      <c r="N133" s="259" t="n"/>
      <c r="O133" s="259" t="n"/>
      <c r="P133" s="259" t="n"/>
      <c r="Q133" s="259" t="n"/>
      <c r="R133" s="259" t="n"/>
      <c r="S133" s="259" t="n"/>
    </row>
    <row r="134" ht="13.8" customHeight="1" s="176">
      <c r="B134" s="233" t="n"/>
      <c r="C134" s="234" t="inlineStr">
        <is>
          <t>Subtotal:</t>
        </is>
      </c>
      <c r="D134" s="234" t="n"/>
      <c r="E134" s="234" t="n"/>
      <c r="F134" s="234" t="n"/>
      <c r="G134" s="234" t="n"/>
      <c r="H134" s="234" t="n"/>
      <c r="I134" s="234" t="n"/>
      <c r="J134" s="234" t="n"/>
      <c r="K134" s="260">
        <f>SUM(K118:K133)</f>
        <v/>
      </c>
      <c r="L134" s="260">
        <f>SUM(L118:L133)</f>
        <v/>
      </c>
      <c r="M134" s="260">
        <f>SUM(M118:M133)</f>
        <v/>
      </c>
      <c r="N134" s="260">
        <f>SUM(N118:N133)</f>
        <v/>
      </c>
      <c r="O134" s="260">
        <f>SUM(O118:O133)</f>
        <v/>
      </c>
      <c r="P134" s="260">
        <f>SUM(P118:P133)</f>
        <v/>
      </c>
      <c r="Q134" s="260">
        <f>SUM(Q118:Q133)</f>
        <v/>
      </c>
      <c r="R134" s="260">
        <f>SUM(R118:R133)</f>
        <v/>
      </c>
      <c r="S134" s="260">
        <f>SUM(S118:S133)</f>
        <v/>
      </c>
    </row>
    <row r="135" ht="13.8" customHeight="1" s="176">
      <c r="B135" s="241" t="n"/>
      <c r="C135" s="242" t="n"/>
      <c r="D135" s="242" t="n"/>
      <c r="E135" s="242" t="n"/>
      <c r="F135" s="242" t="n"/>
      <c r="G135" s="242" t="n"/>
      <c r="H135" s="242" t="n"/>
      <c r="I135" s="242" t="n"/>
      <c r="J135" s="24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</row>
    <row r="136" ht="15.6" customHeight="1" s="176">
      <c r="B136" s="245" t="n"/>
      <c r="C136" s="246" t="inlineStr">
        <is>
          <t>Total Voice:</t>
        </is>
      </c>
      <c r="D136" s="263" t="n"/>
      <c r="E136" s="263" t="n"/>
      <c r="F136" s="263" t="n"/>
      <c r="G136" s="263" t="n"/>
      <c r="H136" s="263" t="n"/>
      <c r="I136" s="263" t="n"/>
      <c r="J136" s="263" t="n"/>
      <c r="K136" s="247">
        <f>K93+K113+K134</f>
        <v/>
      </c>
      <c r="L136" s="247">
        <f>L93+L113+L134</f>
        <v/>
      </c>
      <c r="M136" s="247">
        <f>M93+M113+M134</f>
        <v/>
      </c>
      <c r="N136" s="247">
        <f>N93+N113+N134</f>
        <v/>
      </c>
      <c r="O136" s="247">
        <f>O93+O113+O134</f>
        <v/>
      </c>
      <c r="P136" s="247">
        <f>P93+P113+P134</f>
        <v/>
      </c>
      <c r="Q136" s="247">
        <f>Q93+Q113+Q134</f>
        <v/>
      </c>
      <c r="R136" s="247">
        <f>R93+R113+R134</f>
        <v/>
      </c>
      <c r="S136" s="247">
        <f>S93+S113+S134</f>
        <v/>
      </c>
    </row>
    <row r="137" ht="16.2" customHeight="1" s="176">
      <c r="B137" s="237" t="n"/>
      <c r="C137" s="238" t="n"/>
      <c r="D137" s="261" t="n"/>
      <c r="E137" s="261" t="n"/>
      <c r="F137" s="261" t="n"/>
      <c r="G137" s="261" t="n"/>
      <c r="H137" s="261" t="n"/>
      <c r="I137" s="261" t="n"/>
      <c r="J137" s="261" t="n"/>
      <c r="K137" s="239" t="n"/>
      <c r="L137" s="239" t="n"/>
      <c r="M137" s="239" t="n"/>
      <c r="N137" s="239" t="n"/>
      <c r="O137" s="239" t="n"/>
      <c r="P137" s="239" t="n"/>
      <c r="Q137" s="239" t="n"/>
      <c r="R137" s="239" t="n"/>
      <c r="S137" s="239" t="n"/>
    </row>
    <row r="138" ht="16.2" customHeight="1" s="176">
      <c r="B138" s="190" t="inlineStr">
        <is>
          <t>Server Management – Vendor Alpha</t>
        </is>
      </c>
      <c r="C138" s="216" t="n"/>
      <c r="D138" s="217" t="n"/>
      <c r="E138" s="217" t="n"/>
      <c r="F138" s="217" t="n"/>
      <c r="G138" s="217" t="n"/>
      <c r="H138" s="217" t="n"/>
      <c r="I138" s="217" t="n"/>
      <c r="J138" s="217" t="n"/>
      <c r="K138" s="240" t="n"/>
      <c r="L138" s="240" t="n"/>
      <c r="M138" s="240" t="n"/>
      <c r="N138" s="240" t="n"/>
      <c r="O138" s="240" t="n"/>
      <c r="P138" s="240" t="n"/>
      <c r="Q138" s="240" t="n"/>
      <c r="R138" s="240" t="n"/>
      <c r="S138" s="240" t="n"/>
    </row>
    <row r="139" ht="16.2" customHeight="1" s="176">
      <c r="B139" s="237" t="n"/>
      <c r="C139" s="238" t="n"/>
      <c r="D139" s="261" t="n"/>
      <c r="E139" s="261" t="n"/>
      <c r="F139" s="261" t="n"/>
      <c r="G139" s="261" t="n"/>
      <c r="H139" s="261" t="n"/>
      <c r="I139" s="261" t="n"/>
      <c r="J139" s="261" t="n"/>
      <c r="K139" s="239" t="n"/>
      <c r="L139" s="239" t="n"/>
      <c r="M139" s="239" t="n"/>
      <c r="N139" s="239" t="n"/>
      <c r="O139" s="239" t="n"/>
      <c r="P139" s="239" t="n"/>
      <c r="Q139" s="239" t="n"/>
      <c r="R139" s="239" t="n"/>
      <c r="S139" s="239" t="n"/>
    </row>
    <row r="140" ht="40.2" customHeight="1" s="176">
      <c r="B140" s="190" t="inlineStr">
        <is>
          <t>Category of Service</t>
        </is>
      </c>
      <c r="C140" s="221" t="inlineStr">
        <is>
          <t>Units</t>
        </is>
      </c>
      <c r="D140" s="221" t="inlineStr">
        <is>
          <t>Contract code</t>
        </is>
      </c>
      <c r="E140" s="221" t="inlineStr">
        <is>
          <t xml:space="preserve">Supplier </t>
        </is>
      </c>
      <c r="F140" s="221" t="inlineStr">
        <is>
          <t>Country</t>
        </is>
      </c>
      <c r="G140" s="221" t="inlineStr">
        <is>
          <t>Description</t>
        </is>
      </c>
      <c r="H140" s="221" t="inlineStr">
        <is>
          <t>I/L/C/D</t>
        </is>
      </c>
      <c r="I140" s="221" t="inlineStr">
        <is>
          <t>Start date</t>
        </is>
      </c>
      <c r="J140" s="221" t="inlineStr">
        <is>
          <t>Duration</t>
        </is>
      </c>
      <c r="K140" s="222" t="inlineStr">
        <is>
          <t>Volume</t>
        </is>
      </c>
      <c r="L140" s="222" t="inlineStr">
        <is>
          <t>Investement/Contract amount</t>
        </is>
      </c>
      <c r="M140" s="222" t="inlineStr">
        <is>
          <t>Current month</t>
        </is>
      </c>
      <c r="N140" s="222" t="inlineStr">
        <is>
          <t>Ytd</t>
        </is>
      </c>
      <c r="O140" s="222" t="inlineStr">
        <is>
          <t>Forecast Year 1</t>
        </is>
      </c>
      <c r="P140" s="222" t="inlineStr">
        <is>
          <t>Forecast Year 2</t>
        </is>
      </c>
      <c r="Q140" s="222" t="inlineStr">
        <is>
          <t>Forecast Year 3</t>
        </is>
      </c>
      <c r="R140" s="222" t="inlineStr">
        <is>
          <t>Forecast Year 4</t>
        </is>
      </c>
      <c r="S140" s="223" t="inlineStr">
        <is>
          <t>Forecast Year 5</t>
        </is>
      </c>
    </row>
    <row r="141" ht="13.2" customHeight="1" s="176">
      <c r="B141" s="192" t="inlineStr">
        <is>
          <t>Number of servers</t>
        </is>
      </c>
      <c r="C141" s="192" t="inlineStr">
        <is>
          <t>(Virtual) systems/Nodes</t>
        </is>
      </c>
      <c r="D141" s="192" t="n"/>
      <c r="E141" s="192" t="n"/>
      <c r="F141" s="192" t="n"/>
      <c r="G141" s="192" t="n"/>
      <c r="H141" s="192" t="n"/>
      <c r="I141" s="192" t="n"/>
      <c r="J141" s="192" t="n"/>
      <c r="K141" s="256" t="n"/>
      <c r="L141" s="256" t="n"/>
      <c r="M141" s="256" t="n"/>
      <c r="N141" s="256" t="n"/>
      <c r="O141" s="256" t="n"/>
      <c r="P141" s="256" t="n"/>
      <c r="Q141" s="256" t="n"/>
      <c r="R141" s="256" t="n"/>
      <c r="S141" s="256" t="n"/>
    </row>
    <row r="142" ht="13.2" customHeight="1" s="176">
      <c r="B142" s="192" t="inlineStr">
        <is>
          <t>GB</t>
        </is>
      </c>
      <c r="C142" s="192" t="inlineStr">
        <is>
          <t>TB per user/group/application</t>
        </is>
      </c>
      <c r="D142" s="192" t="n"/>
      <c r="E142" s="192" t="n"/>
      <c r="F142" s="192" t="n"/>
      <c r="G142" s="192" t="n"/>
      <c r="H142" s="192" t="n"/>
      <c r="I142" s="192" t="n"/>
      <c r="J142" s="192" t="n"/>
      <c r="K142" s="256" t="n"/>
      <c r="L142" s="256" t="n"/>
      <c r="M142" s="256" t="n"/>
      <c r="N142" s="256" t="n"/>
      <c r="O142" s="256" t="n"/>
      <c r="P142" s="256" t="n"/>
      <c r="Q142" s="256" t="n"/>
      <c r="R142" s="256" t="n"/>
      <c r="S142" s="256" t="n"/>
    </row>
    <row r="143" ht="13.2" customHeight="1" s="176">
      <c r="B143" s="195" t="inlineStr">
        <is>
          <t>E-mail Accounts (1)</t>
        </is>
      </c>
      <c r="C143" s="195" t="inlineStr">
        <is>
          <t>Mailboxes</t>
        </is>
      </c>
      <c r="D143" s="195" t="n"/>
      <c r="E143" s="195" t="n"/>
      <c r="F143" s="195" t="n"/>
      <c r="G143" s="195" t="n"/>
      <c r="H143" s="195" t="n"/>
      <c r="I143" s="195" t="n"/>
      <c r="J143" s="195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</row>
    <row r="144" ht="13.2" customHeight="1" s="176">
      <c r="B144" s="204" t="inlineStr">
        <is>
          <t>E-mail Accounts (2)</t>
        </is>
      </c>
      <c r="C144" s="204" t="inlineStr">
        <is>
          <t>Group mailboxes</t>
        </is>
      </c>
      <c r="D144" s="204" t="n"/>
      <c r="E144" s="204" t="n"/>
      <c r="F144" s="204" t="n"/>
      <c r="G144" s="204" t="n"/>
      <c r="H144" s="204" t="n"/>
      <c r="I144" s="204" t="n"/>
      <c r="J144" s="204" t="n"/>
      <c r="K144" s="258" t="n"/>
      <c r="L144" s="258" t="n"/>
      <c r="M144" s="258" t="n"/>
      <c r="N144" s="258" t="n"/>
      <c r="O144" s="258" t="n"/>
      <c r="P144" s="258" t="n"/>
      <c r="Q144" s="258" t="n"/>
      <c r="R144" s="258" t="n"/>
      <c r="S144" s="258" t="n"/>
    </row>
    <row r="145" ht="13.8" customHeight="1" s="176">
      <c r="B145" s="241" t="n"/>
      <c r="C145" s="242" t="n"/>
      <c r="D145" s="242" t="n"/>
      <c r="E145" s="242" t="n"/>
      <c r="F145" s="242" t="n"/>
      <c r="G145" s="242" t="n"/>
      <c r="H145" s="242" t="n"/>
      <c r="I145" s="242" t="n"/>
      <c r="J145" s="242" t="n"/>
      <c r="K145" s="262" t="n"/>
      <c r="L145" s="262" t="n"/>
      <c r="M145" s="262" t="n"/>
      <c r="N145" s="262" t="n"/>
      <c r="O145" s="262" t="n"/>
      <c r="P145" s="262" t="n"/>
      <c r="Q145" s="262" t="n"/>
      <c r="R145" s="262" t="n"/>
      <c r="S145" s="262" t="n"/>
    </row>
    <row r="146" ht="15.6" customHeight="1" s="176">
      <c r="B146" s="245" t="n"/>
      <c r="C146" s="246" t="inlineStr">
        <is>
          <t>Total Server Management:</t>
        </is>
      </c>
      <c r="D146" s="263" t="n"/>
      <c r="E146" s="263" t="n"/>
      <c r="F146" s="263" t="n"/>
      <c r="G146" s="263" t="n"/>
      <c r="H146" s="263" t="n"/>
      <c r="I146" s="263" t="n"/>
      <c r="J146" s="263" t="n"/>
      <c r="K146" s="247">
        <f>SUM(K141:K144)</f>
        <v/>
      </c>
      <c r="L146" s="247">
        <f>SUM(L141:L144)</f>
        <v/>
      </c>
      <c r="M146" s="247">
        <f>SUM(M141:M144)</f>
        <v/>
      </c>
      <c r="N146" s="247">
        <f>SUM(N141:N144)</f>
        <v/>
      </c>
      <c r="O146" s="247">
        <f>SUM(O141:O144)</f>
        <v/>
      </c>
      <c r="P146" s="247">
        <f>SUM(P141:P144)</f>
        <v/>
      </c>
      <c r="Q146" s="247">
        <f>SUM(Q141:Q144)</f>
        <v/>
      </c>
      <c r="R146" s="247">
        <f>SUM(R141:R144)</f>
        <v/>
      </c>
      <c r="S146" s="247">
        <f>SUM(S141:S144)</f>
        <v/>
      </c>
    </row>
    <row r="147" ht="13.8" customHeight="1" s="176">
      <c r="B147" s="211" t="n"/>
    </row>
    <row r="148" ht="15.6" customHeight="1" s="176">
      <c r="B148" s="245" t="n"/>
      <c r="C148" s="246" t="inlineStr">
        <is>
          <t>Total Charge</t>
        </is>
      </c>
      <c r="D148" s="263" t="n"/>
      <c r="E148" s="263" t="n"/>
      <c r="F148" s="263" t="n"/>
      <c r="G148" s="263" t="n"/>
      <c r="H148" s="263" t="n"/>
      <c r="I148" s="263" t="n"/>
      <c r="J148" s="263" t="n"/>
      <c r="K148" s="247" t="n"/>
      <c r="L148" s="247" t="n"/>
      <c r="M148" s="247">
        <f>M55+M62+M70+M136+M146</f>
        <v/>
      </c>
      <c r="N148" s="247">
        <f>N55+N62+N70+N136+N146</f>
        <v/>
      </c>
      <c r="O148" s="247">
        <f>O55+O62+O70+O136+O146</f>
        <v/>
      </c>
      <c r="P148" s="247">
        <f>P55+P62+P70+P136+P146</f>
        <v/>
      </c>
      <c r="Q148" s="247">
        <f>Q55+Q62+Q70+Q136+Q146</f>
        <v/>
      </c>
      <c r="R148" s="247">
        <f>R55+R62+R70+R136+R146</f>
        <v/>
      </c>
      <c r="S148" s="247">
        <f>S55+S62+S70+S136+S146</f>
        <v/>
      </c>
    </row>
    <row r="149" ht="13.2" customHeight="1" s="176">
      <c r="B149" s="211" t="n"/>
    </row>
    <row r="150" ht="13.2" customHeight="1" s="176">
      <c r="B150" s="211" t="n"/>
    </row>
    <row r="151" ht="13.2" customHeight="1" s="176">
      <c r="B151" s="211" t="n"/>
    </row>
    <row r="152" ht="13.2" customHeight="1" s="176">
      <c r="B152" s="211" t="n"/>
    </row>
    <row r="153" ht="13.2" customHeight="1" s="176">
      <c r="B153" s="211" t="n"/>
    </row>
    <row r="154" ht="13.2" customHeight="1" s="176">
      <c r="B154" s="211" t="n"/>
    </row>
    <row r="155" ht="13.2" customHeight="1" s="176">
      <c r="B155" s="211" t="n"/>
    </row>
    <row r="156" ht="13.2" customHeight="1" s="176">
      <c r="B156" s="211" t="n"/>
    </row>
    <row r="157" ht="13.2" customHeight="1" s="176">
      <c r="B157" s="211" t="n"/>
    </row>
    <row r="158" ht="13.2" customHeight="1" s="176">
      <c r="B158" s="211" t="n"/>
    </row>
    <row r="159" ht="13.2" customHeight="1" s="176">
      <c r="B159" s="211" t="n"/>
    </row>
    <row r="160" ht="13.2" customHeight="1" s="176">
      <c r="B160" s="211" t="n"/>
    </row>
    <row r="161" ht="13.2" customHeight="1" s="176">
      <c r="B161" s="211" t="n"/>
    </row>
    <row r="162" ht="13.2" customHeight="1" s="176">
      <c r="B162" s="211" t="n"/>
    </row>
    <row r="163" ht="13.2" customHeight="1" s="176">
      <c r="B163" s="211" t="n"/>
    </row>
    <row r="164" ht="13.2" customHeight="1" s="176">
      <c r="B164" s="211" t="n"/>
    </row>
    <row r="165" ht="13.2" customHeight="1" s="176">
      <c r="B165" s="211" t="n"/>
    </row>
    <row r="166" ht="13.2" customHeight="1" s="176">
      <c r="B166" s="211" t="n"/>
    </row>
    <row r="167" ht="13.2" customHeight="1" s="176">
      <c r="B167" s="211" t="n"/>
    </row>
    <row r="168" ht="13.2" customHeight="1" s="176">
      <c r="B168" s="211" t="n"/>
    </row>
    <row r="169" ht="13.2" customHeight="1" s="176">
      <c r="B169" s="211" t="n"/>
    </row>
    <row r="170" ht="13.2" customHeight="1" s="176">
      <c r="B170" s="211" t="n"/>
    </row>
    <row r="171" ht="13.2" customHeight="1" s="176">
      <c r="B171" s="211" t="n"/>
    </row>
    <row r="172" ht="13.2" customHeight="1" s="176">
      <c r="B172" s="211" t="n"/>
    </row>
    <row r="173" ht="13.2" customHeight="1" s="176">
      <c r="B173" s="211" t="n"/>
    </row>
    <row r="174" ht="13.2" customHeight="1" s="176">
      <c r="B174" s="211" t="n"/>
    </row>
    <row r="175" ht="13.2" customHeight="1" s="176">
      <c r="B175" s="211" t="n"/>
    </row>
    <row r="176" ht="13.2" customHeight="1" s="176">
      <c r="B176" s="211" t="n"/>
    </row>
    <row r="177" ht="13.2" customHeight="1" s="176">
      <c r="B177" s="211" t="n"/>
    </row>
    <row r="178" ht="13.2" customHeight="1" s="176">
      <c r="B178" s="211" t="n"/>
    </row>
    <row r="179" ht="13.2" customHeight="1" s="176">
      <c r="B179" s="211" t="n"/>
    </row>
    <row r="180" ht="13.2" customHeight="1" s="176">
      <c r="B180" s="211" t="n"/>
    </row>
    <row r="181" ht="13.2" customHeight="1" s="176">
      <c r="B181" s="211" t="n"/>
    </row>
    <row r="182" ht="13.2" customHeight="1" s="176">
      <c r="B182" s="211" t="n"/>
    </row>
    <row r="183" ht="13.2" customHeight="1" s="176">
      <c r="B183" s="211" t="n"/>
    </row>
    <row r="184" ht="13.2" customHeight="1" s="176">
      <c r="B184" s="211" t="n"/>
    </row>
    <row r="185" ht="13.2" customHeight="1" s="176">
      <c r="B185" s="211" t="n"/>
    </row>
    <row r="186" ht="13.2" customHeight="1" s="176">
      <c r="B186" s="211" t="n"/>
    </row>
    <row r="187" ht="13.2" customHeight="1" s="176">
      <c r="B187" s="211" t="n"/>
    </row>
    <row r="188" ht="13.2" customHeight="1" s="176">
      <c r="B188" s="211" t="n"/>
    </row>
    <row r="189" ht="13.2" customHeight="1" s="176">
      <c r="B189" s="211" t="n"/>
    </row>
    <row r="190" ht="13.2" customHeight="1" s="176">
      <c r="B190" s="211" t="n"/>
    </row>
    <row r="191" ht="13.2" customHeight="1" s="176">
      <c r="B191" s="211" t="n"/>
    </row>
    <row r="192" ht="13.2" customHeight="1" s="176">
      <c r="B192" s="211" t="n"/>
    </row>
    <row r="193" ht="13.2" customHeight="1" s="176">
      <c r="B193" s="211" t="n"/>
    </row>
    <row r="194" ht="13.2" customHeight="1" s="176">
      <c r="B194" s="211" t="n"/>
    </row>
    <row r="195" ht="13.2" customHeight="1" s="176">
      <c r="B195" s="211" t="n"/>
    </row>
    <row r="196" ht="13.2" customHeight="1" s="176">
      <c r="B196" s="211" t="n"/>
    </row>
    <row r="197" ht="13.2" customHeight="1" s="176">
      <c r="B197" s="211" t="n"/>
    </row>
    <row r="198" ht="13.2" customHeight="1" s="176">
      <c r="B198" s="211" t="n"/>
    </row>
    <row r="199" ht="13.2" customHeight="1" s="176">
      <c r="B199" s="211" t="n"/>
    </row>
    <row r="200" ht="13.2" customHeight="1" s="176">
      <c r="B200" s="211" t="n"/>
    </row>
    <row r="201" ht="13.2" customHeight="1" s="176">
      <c r="B201" s="211" t="n"/>
    </row>
    <row r="202" ht="13.2" customHeight="1" s="176">
      <c r="B202" s="211" t="n"/>
    </row>
    <row r="203" ht="13.2" customHeight="1" s="176">
      <c r="B203" s="211" t="n"/>
    </row>
    <row r="204" ht="13.2" customHeight="1" s="176">
      <c r="B204" s="211" t="n"/>
    </row>
    <row r="205" ht="13.2" customHeight="1" s="176">
      <c r="B205" s="211" t="n"/>
    </row>
    <row r="206" ht="13.2" customHeight="1" s="176">
      <c r="B206" s="211" t="n"/>
    </row>
    <row r="207" ht="13.2" customHeight="1" s="176">
      <c r="B207" s="211" t="n"/>
    </row>
    <row r="208" ht="13.2" customHeight="1" s="176">
      <c r="B208" s="211" t="n"/>
    </row>
    <row r="209" ht="13.2" customHeight="1" s="176">
      <c r="B209" s="211" t="n"/>
    </row>
    <row r="210" ht="13.2" customHeight="1" s="176">
      <c r="B210" s="211" t="n"/>
    </row>
    <row r="211" ht="13.2" customHeight="1" s="176">
      <c r="B211" s="211" t="n"/>
    </row>
    <row r="212" ht="13.2" customHeight="1" s="176">
      <c r="B212" s="211" t="n"/>
    </row>
    <row r="213" ht="13.2" customHeight="1" s="176">
      <c r="B213" s="211" t="n"/>
    </row>
    <row r="214" ht="13.2" customHeight="1" s="176">
      <c r="B214" s="211" t="n"/>
    </row>
    <row r="215" ht="13.2" customHeight="1" s="176">
      <c r="B215" s="211" t="n"/>
    </row>
    <row r="216" ht="13.2" customHeight="1" s="176">
      <c r="B216" s="211" t="n"/>
    </row>
    <row r="217" ht="13.2" customHeight="1" s="176">
      <c r="B217" s="211" t="n"/>
    </row>
    <row r="218" ht="13.2" customHeight="1" s="176">
      <c r="B218" s="211" t="n"/>
    </row>
    <row r="219" ht="13.2" customHeight="1" s="176">
      <c r="B219" s="211" t="n"/>
    </row>
    <row r="220" ht="13.2" customHeight="1" s="176">
      <c r="B220" s="211" t="n"/>
    </row>
    <row r="221" ht="13.2" customHeight="1" s="176">
      <c r="B221" s="211" t="n"/>
    </row>
    <row r="222" ht="13.2" customHeight="1" s="176">
      <c r="B222" s="211" t="n"/>
    </row>
    <row r="223" ht="13.2" customHeight="1" s="176">
      <c r="B223" s="211" t="n"/>
    </row>
    <row r="224" ht="13.2" customHeight="1" s="176">
      <c r="B224" s="211" t="n"/>
    </row>
    <row r="225" ht="13.2" customHeight="1" s="176">
      <c r="B225" s="211" t="n"/>
    </row>
    <row r="226" ht="13.2" customHeight="1" s="176">
      <c r="B226" s="211" t="n"/>
    </row>
    <row r="227" ht="13.2" customHeight="1" s="176">
      <c r="B227" s="211" t="n"/>
    </row>
    <row r="228" ht="13.2" customHeight="1" s="176">
      <c r="B228" s="211" t="n"/>
    </row>
    <row r="229" ht="13.2" customHeight="1" s="176">
      <c r="B229" s="211" t="n"/>
    </row>
    <row r="230" ht="13.2" customHeight="1" s="176">
      <c r="B230" s="211" t="n"/>
    </row>
    <row r="231" ht="13.2" customHeight="1" s="176">
      <c r="B231" s="211" t="n"/>
    </row>
    <row r="232" ht="13.2" customHeight="1" s="176">
      <c r="B232" s="211" t="n"/>
    </row>
    <row r="233" ht="13.2" customHeight="1" s="176">
      <c r="B233" s="211" t="n"/>
    </row>
    <row r="234" ht="13.2" customHeight="1" s="176">
      <c r="B234" s="211" t="n"/>
    </row>
    <row r="235" ht="13.2" customHeight="1" s="176">
      <c r="B235" s="211" t="n"/>
    </row>
    <row r="236" ht="13.2" customHeight="1" s="176">
      <c r="B236" s="211" t="n"/>
    </row>
    <row r="237" ht="13.2" customHeight="1" s="176">
      <c r="B237" s="211" t="n"/>
    </row>
    <row r="238" ht="13.2" customHeight="1" s="176">
      <c r="B238" s="211" t="n"/>
    </row>
    <row r="239" ht="13.2" customHeight="1" s="176">
      <c r="B239" s="211" t="n"/>
    </row>
    <row r="240" ht="13.2" customHeight="1" s="176">
      <c r="B240" s="211" t="n"/>
    </row>
    <row r="241" ht="13.2" customHeight="1" s="176">
      <c r="B241" s="211" t="n"/>
    </row>
    <row r="242" ht="13.2" customHeight="1" s="176">
      <c r="B242" s="211" t="n"/>
    </row>
    <row r="243" ht="13.2" customHeight="1" s="176">
      <c r="B243" s="211" t="n"/>
    </row>
    <row r="244" ht="13.2" customHeight="1" s="176">
      <c r="B244" s="211" t="n"/>
    </row>
    <row r="245" ht="13.2" customHeight="1" s="176">
      <c r="B245" s="211" t="n"/>
    </row>
    <row r="246" ht="13.2" customHeight="1" s="176">
      <c r="B246" s="211" t="n"/>
    </row>
    <row r="247" ht="13.2" customHeight="1" s="176">
      <c r="B247" s="211" t="n"/>
    </row>
    <row r="248" ht="13.2" customHeight="1" s="176">
      <c r="B248" s="211" t="n"/>
    </row>
    <row r="249" ht="13.2" customHeight="1" s="176">
      <c r="B249" s="211" t="n"/>
    </row>
    <row r="250" ht="13.2" customHeight="1" s="176">
      <c r="B250" s="211" t="n"/>
    </row>
    <row r="251" ht="13.2" customHeight="1" s="176">
      <c r="B251" s="211" t="n"/>
    </row>
    <row r="252" ht="13.2" customHeight="1" s="176">
      <c r="B252" s="211" t="n"/>
    </row>
    <row r="253" ht="13.2" customHeight="1" s="176">
      <c r="B253" s="211" t="n"/>
    </row>
    <row r="254" ht="13.2" customHeight="1" s="176">
      <c r="B254" s="211" t="n"/>
    </row>
    <row r="255" ht="13.2" customHeight="1" s="176">
      <c r="B255" s="211" t="n"/>
    </row>
    <row r="256" ht="13.2" customHeight="1" s="176">
      <c r="B256" s="211" t="n"/>
    </row>
    <row r="257" ht="13.2" customHeight="1" s="176">
      <c r="B257" s="211" t="n"/>
    </row>
    <row r="258" ht="13.2" customHeight="1" s="176">
      <c r="B258" s="211" t="n"/>
    </row>
    <row r="259" ht="13.2" customHeight="1" s="176">
      <c r="B259" s="211" t="n"/>
    </row>
    <row r="260" ht="13.2" customHeight="1" s="176">
      <c r="B260" s="211" t="n"/>
    </row>
    <row r="261" ht="13.2" customHeight="1" s="176">
      <c r="B261" s="211" t="n"/>
    </row>
    <row r="262" ht="13.2" customHeight="1" s="176">
      <c r="B262" s="211" t="n"/>
    </row>
    <row r="263" ht="13.2" customHeight="1" s="176">
      <c r="B263" s="211" t="n"/>
    </row>
    <row r="264" ht="13.2" customHeight="1" s="176">
      <c r="B264" s="211" t="n"/>
    </row>
    <row r="265" ht="13.2" customHeight="1" s="176">
      <c r="B265" s="211" t="n"/>
    </row>
    <row r="266" ht="13.2" customHeight="1" s="176">
      <c r="B266" s="211" t="n"/>
    </row>
    <row r="267" ht="13.2" customHeight="1" s="176">
      <c r="B267" s="211" t="n"/>
    </row>
    <row r="268" ht="13.2" customHeight="1" s="176">
      <c r="B268" s="211" t="n"/>
    </row>
    <row r="269" ht="13.2" customHeight="1" s="176">
      <c r="B269" s="211" t="n"/>
    </row>
    <row r="270" ht="13.2" customHeight="1" s="176">
      <c r="B270" s="211" t="n"/>
    </row>
    <row r="271" ht="13.2" customHeight="1" s="176">
      <c r="B271" s="211" t="n"/>
    </row>
    <row r="272" ht="13.2" customHeight="1" s="176">
      <c r="B272" s="211" t="n"/>
    </row>
    <row r="273" ht="13.2" customHeight="1" s="176">
      <c r="B273" s="211" t="n"/>
    </row>
    <row r="274" ht="13.2" customHeight="1" s="176">
      <c r="B274" s="211" t="n"/>
    </row>
    <row r="275" ht="13.2" customHeight="1" s="176">
      <c r="B275" s="211" t="n"/>
    </row>
    <row r="276" ht="13.2" customHeight="1" s="176">
      <c r="B276" s="211" t="n"/>
    </row>
    <row r="277" ht="13.2" customHeight="1" s="176">
      <c r="B277" s="211" t="n"/>
    </row>
    <row r="278" ht="13.2" customHeight="1" s="176">
      <c r="B278" s="211" t="n"/>
    </row>
    <row r="279" ht="13.2" customHeight="1" s="176">
      <c r="B279" s="211" t="n"/>
    </row>
    <row r="280" ht="13.2" customHeight="1" s="176">
      <c r="B280" s="211" t="n"/>
    </row>
    <row r="281" ht="13.2" customHeight="1" s="176">
      <c r="B281" s="211" t="n"/>
    </row>
    <row r="282" ht="13.2" customHeight="1" s="176">
      <c r="B282" s="211" t="n"/>
    </row>
    <row r="283" ht="13.2" customHeight="1" s="176">
      <c r="B283" s="211" t="n"/>
    </row>
    <row r="284" ht="13.2" customHeight="1" s="176">
      <c r="B284" s="211" t="n"/>
    </row>
    <row r="285" ht="13.2" customHeight="1" s="176">
      <c r="B285" s="211" t="n"/>
    </row>
    <row r="286" ht="13.2" customHeight="1" s="176">
      <c r="B286" s="211" t="n"/>
    </row>
    <row r="287" ht="13.2" customHeight="1" s="176">
      <c r="B287" s="211" t="n"/>
    </row>
    <row r="288" ht="13.2" customHeight="1" s="176">
      <c r="B288" s="211" t="n"/>
    </row>
    <row r="289" ht="13.2" customHeight="1" s="176">
      <c r="B289" s="211" t="n"/>
    </row>
    <row r="290" ht="13.2" customHeight="1" s="176">
      <c r="B290" s="211" t="n"/>
    </row>
    <row r="291" ht="13.2" customHeight="1" s="176">
      <c r="B291" s="211" t="n"/>
    </row>
    <row r="292" ht="13.2" customHeight="1" s="176">
      <c r="B292" s="211" t="n"/>
    </row>
    <row r="293" ht="13.2" customHeight="1" s="176">
      <c r="B293" s="211" t="n"/>
    </row>
    <row r="294" ht="13.2" customHeight="1" s="176">
      <c r="B294" s="211" t="n"/>
    </row>
    <row r="295" ht="13.2" customHeight="1" s="176">
      <c r="B295" s="211" t="n"/>
    </row>
    <row r="296" ht="13.2" customHeight="1" s="176">
      <c r="B296" s="211" t="n"/>
    </row>
    <row r="297" ht="13.2" customHeight="1" s="176">
      <c r="B297" s="211" t="n"/>
    </row>
    <row r="298" ht="13.2" customHeight="1" s="176">
      <c r="B298" s="211" t="n"/>
    </row>
    <row r="299" ht="13.2" customHeight="1" s="176">
      <c r="B299" s="211" t="n"/>
    </row>
    <row r="300" ht="13.2" customHeight="1" s="176">
      <c r="B300" s="211" t="n"/>
    </row>
    <row r="301" ht="13.2" customHeight="1" s="176">
      <c r="B301" s="211" t="n"/>
    </row>
    <row r="302" ht="13.2" customHeight="1" s="176">
      <c r="B302" s="211" t="n"/>
    </row>
    <row r="303" ht="13.2" customHeight="1" s="176">
      <c r="B303" s="211" t="n"/>
    </row>
    <row r="304" ht="13.2" customHeight="1" s="176">
      <c r="B304" s="211" t="n"/>
    </row>
    <row r="305" ht="13.2" customHeight="1" s="176">
      <c r="B305" s="211" t="n"/>
    </row>
    <row r="306" ht="13.2" customHeight="1" s="176">
      <c r="B306" s="211" t="n"/>
    </row>
    <row r="307" ht="13.2" customHeight="1" s="176">
      <c r="B307" s="211" t="n"/>
    </row>
    <row r="308" ht="13.2" customHeight="1" s="176">
      <c r="B308" s="211" t="n"/>
    </row>
    <row r="309" ht="13.2" customHeight="1" s="176">
      <c r="B309" s="211" t="n"/>
    </row>
    <row r="310" ht="13.2" customHeight="1" s="176">
      <c r="B310" s="211" t="n"/>
    </row>
    <row r="311" ht="13.2" customHeight="1" s="176">
      <c r="B311" s="211" t="n"/>
    </row>
    <row r="312" ht="13.2" customHeight="1" s="176">
      <c r="B312" s="211" t="n"/>
    </row>
    <row r="313" ht="13.2" customHeight="1" s="176">
      <c r="B313" s="211" t="n"/>
    </row>
    <row r="314" ht="13.2" customHeight="1" s="176">
      <c r="B314" s="211" t="n"/>
    </row>
    <row r="315" ht="13.2" customHeight="1" s="176">
      <c r="B315" s="211" t="n"/>
    </row>
    <row r="316" ht="13.2" customHeight="1" s="176">
      <c r="B316" s="211" t="n"/>
    </row>
    <row r="317" ht="13.2" customHeight="1" s="176">
      <c r="B317" s="211" t="n"/>
    </row>
    <row r="318" ht="13.2" customHeight="1" s="176">
      <c r="B318" s="211" t="n"/>
    </row>
    <row r="319" ht="13.2" customHeight="1" s="176">
      <c r="B319" s="211" t="n"/>
    </row>
    <row r="320" ht="13.2" customHeight="1" s="176">
      <c r="B320" s="211" t="n"/>
    </row>
    <row r="321" ht="13.2" customHeight="1" s="176">
      <c r="B321" s="211" t="n"/>
    </row>
    <row r="322" ht="13.2" customHeight="1" s="176">
      <c r="B322" s="211" t="n"/>
    </row>
    <row r="323" ht="13.2" customHeight="1" s="176">
      <c r="B323" s="211" t="n"/>
    </row>
    <row r="324" ht="13.2" customHeight="1" s="176">
      <c r="B324" s="211" t="n"/>
    </row>
    <row r="325" ht="13.2" customHeight="1" s="176">
      <c r="B325" s="211" t="n"/>
    </row>
    <row r="326" ht="13.2" customHeight="1" s="176">
      <c r="B326" s="211" t="n"/>
    </row>
    <row r="327" ht="13.2" customHeight="1" s="176">
      <c r="B327" s="211" t="n"/>
    </row>
    <row r="328" ht="13.2" customHeight="1" s="176">
      <c r="B328" s="211" t="n"/>
    </row>
    <row r="329" ht="13.2" customHeight="1" s="176">
      <c r="B329" s="211" t="n"/>
    </row>
    <row r="330" ht="13.2" customHeight="1" s="176">
      <c r="B330" s="211" t="n"/>
    </row>
    <row r="331" ht="13.2" customHeight="1" s="176">
      <c r="B331" s="211" t="n"/>
    </row>
    <row r="332" ht="13.2" customHeight="1" s="176">
      <c r="B332" s="211" t="n"/>
    </row>
    <row r="333" ht="13.2" customHeight="1" s="176">
      <c r="B333" s="211" t="n"/>
    </row>
    <row r="334" ht="13.2" customHeight="1" s="176">
      <c r="B334" s="211" t="n"/>
    </row>
    <row r="335" ht="13.2" customHeight="1" s="176">
      <c r="B335" s="211" t="n"/>
    </row>
    <row r="336" ht="13.2" customHeight="1" s="176">
      <c r="B336" s="211" t="n"/>
    </row>
    <row r="337" ht="13.2" customHeight="1" s="176">
      <c r="B337" s="211" t="n"/>
    </row>
    <row r="338" ht="13.2" customHeight="1" s="176">
      <c r="B338" s="211" t="n"/>
    </row>
    <row r="339" ht="13.2" customHeight="1" s="176">
      <c r="B339" s="211" t="n"/>
    </row>
    <row r="340" ht="13.2" customHeight="1" s="176">
      <c r="B340" s="211" t="n"/>
    </row>
    <row r="341" ht="13.2" customHeight="1" s="176">
      <c r="B341" s="211" t="n"/>
    </row>
    <row r="342" ht="13.2" customHeight="1" s="176">
      <c r="B342" s="211" t="n"/>
    </row>
    <row r="343" ht="13.2" customHeight="1" s="176">
      <c r="B343" s="211" t="n"/>
    </row>
    <row r="344" ht="13.2" customHeight="1" s="176">
      <c r="B344" s="211" t="n"/>
    </row>
    <row r="345" ht="13.2" customHeight="1" s="176">
      <c r="B345" s="211" t="n"/>
    </row>
    <row r="346" ht="13.2" customHeight="1" s="176">
      <c r="B346" s="211" t="n"/>
    </row>
    <row r="347" ht="13.2" customHeight="1" s="176">
      <c r="B347" s="211" t="n"/>
    </row>
    <row r="348" ht="13.2" customHeight="1" s="176">
      <c r="B348" s="211" t="n"/>
    </row>
    <row r="349" ht="13.2" customHeight="1" s="176">
      <c r="B349" s="211" t="n"/>
    </row>
    <row r="350" ht="13.2" customHeight="1" s="176">
      <c r="B350" s="211" t="n"/>
    </row>
    <row r="351" ht="13.2" customHeight="1" s="176">
      <c r="B351" s="211" t="n"/>
    </row>
    <row r="352" ht="13.2" customHeight="1" s="176">
      <c r="B352" s="211" t="n"/>
    </row>
    <row r="353" ht="13.2" customHeight="1" s="176">
      <c r="B353" s="211" t="n"/>
    </row>
    <row r="354" ht="13.2" customHeight="1" s="176">
      <c r="B354" s="211" t="n"/>
    </row>
    <row r="355" ht="13.2" customHeight="1" s="176">
      <c r="B355" s="211" t="n"/>
    </row>
    <row r="356" ht="13.2" customHeight="1" s="176">
      <c r="B356" s="211" t="n"/>
    </row>
    <row r="357" ht="13.2" customHeight="1" s="176">
      <c r="B357" s="211" t="n"/>
    </row>
    <row r="358" ht="13.2" customHeight="1" s="176">
      <c r="B358" s="211" t="n"/>
    </row>
    <row r="359" ht="13.2" customHeight="1" s="176">
      <c r="B359" s="211" t="n"/>
    </row>
    <row r="360" ht="13.2" customHeight="1" s="176">
      <c r="B360" s="211" t="n"/>
    </row>
    <row r="361" ht="13.2" customHeight="1" s="176">
      <c r="B361" s="211" t="n"/>
    </row>
    <row r="362" ht="13.2" customHeight="1" s="176">
      <c r="B362" s="211" t="n"/>
    </row>
    <row r="363" ht="13.2" customHeight="1" s="176">
      <c r="B363" s="211" t="n"/>
    </row>
    <row r="364" ht="13.2" customHeight="1" s="176">
      <c r="B364" s="211" t="n"/>
    </row>
    <row r="365" ht="13.2" customHeight="1" s="176">
      <c r="B365" s="211" t="n"/>
    </row>
    <row r="366" ht="13.2" customHeight="1" s="176">
      <c r="B366" s="211" t="n"/>
    </row>
    <row r="367" ht="13.2" customHeight="1" s="176">
      <c r="B367" s="211" t="n"/>
    </row>
    <row r="368" ht="13.2" customHeight="1" s="176">
      <c r="B368" s="211" t="n"/>
    </row>
    <row r="369" ht="13.2" customHeight="1" s="176">
      <c r="B369" s="211" t="n"/>
    </row>
    <row r="370" ht="13.2" customHeight="1" s="176">
      <c r="B370" s="211" t="n"/>
    </row>
    <row r="371" ht="13.2" customHeight="1" s="176">
      <c r="B371" s="211" t="n"/>
    </row>
    <row r="372" ht="13.2" customHeight="1" s="176">
      <c r="B372" s="211" t="n"/>
    </row>
    <row r="373" ht="13.2" customHeight="1" s="176">
      <c r="B373" s="211" t="n"/>
    </row>
    <row r="374" ht="13.2" customHeight="1" s="176">
      <c r="B374" s="211" t="n"/>
    </row>
    <row r="375" ht="13.2" customHeight="1" s="176">
      <c r="B375" s="211" t="n"/>
    </row>
    <row r="376" ht="13.2" customHeight="1" s="176">
      <c r="B376" s="211" t="n"/>
    </row>
    <row r="377" ht="13.2" customHeight="1" s="176">
      <c r="B377" s="211" t="n"/>
    </row>
    <row r="378" ht="13.2" customHeight="1" s="176">
      <c r="B378" s="211" t="n"/>
    </row>
    <row r="379" ht="13.2" customHeight="1" s="176">
      <c r="B379" s="211" t="n"/>
    </row>
    <row r="380" ht="13.2" customHeight="1" s="176">
      <c r="B380" s="211" t="n"/>
    </row>
    <row r="381" ht="13.2" customHeight="1" s="176">
      <c r="B381" s="211" t="n"/>
    </row>
    <row r="382" ht="13.2" customHeight="1" s="176">
      <c r="B382" s="211" t="n"/>
    </row>
    <row r="383" ht="13.2" customHeight="1" s="176">
      <c r="B383" s="211" t="n"/>
    </row>
    <row r="384" ht="13.2" customHeight="1" s="176">
      <c r="B384" s="211" t="n"/>
    </row>
    <row r="385" ht="13.2" customHeight="1" s="176">
      <c r="B385" s="211" t="n"/>
    </row>
    <row r="386" ht="13.2" customHeight="1" s="176">
      <c r="B386" s="211" t="n"/>
    </row>
    <row r="387" ht="13.2" customHeight="1" s="176">
      <c r="B387" s="211" t="n"/>
    </row>
    <row r="388" ht="13.2" customHeight="1" s="176">
      <c r="B388" s="211" t="n"/>
    </row>
    <row r="389" ht="13.2" customHeight="1" s="176">
      <c r="B389" s="211" t="n"/>
    </row>
    <row r="390" ht="13.2" customHeight="1" s="176">
      <c r="B390" s="211" t="n"/>
    </row>
    <row r="391" ht="13.2" customHeight="1" s="176">
      <c r="B391" s="211" t="n"/>
    </row>
    <row r="392" ht="13.2" customHeight="1" s="176">
      <c r="B392" s="211" t="n"/>
    </row>
    <row r="393" ht="13.2" customHeight="1" s="176">
      <c r="B393" s="211" t="n"/>
    </row>
    <row r="394" ht="13.2" customHeight="1" s="176">
      <c r="B394" s="211" t="n"/>
    </row>
    <row r="395" ht="13.2" customHeight="1" s="176">
      <c r="B395" s="211" t="n"/>
    </row>
    <row r="396" ht="13.2" customHeight="1" s="176">
      <c r="B396" s="211" t="n"/>
    </row>
    <row r="397" ht="13.2" customHeight="1" s="176">
      <c r="B397" s="211" t="n"/>
    </row>
    <row r="398" ht="13.2" customHeight="1" s="176">
      <c r="B398" s="211" t="n"/>
    </row>
    <row r="399" ht="13.2" customHeight="1" s="176">
      <c r="B399" s="211" t="n"/>
    </row>
    <row r="400" ht="13.2" customHeight="1" s="176">
      <c r="B400" s="211" t="n"/>
    </row>
    <row r="401" ht="13.2" customHeight="1" s="176">
      <c r="B401" s="211" t="n"/>
    </row>
    <row r="402" ht="13.2" customHeight="1" s="176">
      <c r="B402" s="211" t="n"/>
    </row>
    <row r="403" ht="13.2" customHeight="1" s="176">
      <c r="B403" s="211" t="n"/>
    </row>
    <row r="404" ht="13.2" customHeight="1" s="176">
      <c r="B404" s="211" t="n"/>
    </row>
    <row r="405" ht="13.2" customHeight="1" s="176">
      <c r="B405" s="211" t="n"/>
    </row>
    <row r="406" ht="13.2" customHeight="1" s="176">
      <c r="B406" s="211" t="n"/>
    </row>
    <row r="407" ht="13.2" customHeight="1" s="176">
      <c r="B407" s="211" t="n"/>
    </row>
    <row r="408" ht="13.2" customHeight="1" s="176">
      <c r="B408" s="211" t="n"/>
    </row>
    <row r="409" ht="13.2" customHeight="1" s="176">
      <c r="B409" s="211" t="n"/>
    </row>
    <row r="410" ht="13.2" customHeight="1" s="176">
      <c r="B410" s="211" t="n"/>
    </row>
    <row r="411" ht="13.2" customHeight="1" s="176">
      <c r="B411" s="211" t="n"/>
    </row>
    <row r="412" ht="13.2" customHeight="1" s="176">
      <c r="B412" s="211" t="n"/>
    </row>
    <row r="413" ht="13.2" customHeight="1" s="176">
      <c r="B413" s="211" t="n"/>
    </row>
    <row r="414" ht="13.2" customHeight="1" s="176">
      <c r="B414" s="211" t="n"/>
    </row>
    <row r="415" ht="13.2" customHeight="1" s="176">
      <c r="B415" s="211" t="n"/>
    </row>
    <row r="416" ht="13.2" customHeight="1" s="176">
      <c r="B416" s="211" t="n"/>
    </row>
    <row r="417" ht="13.2" customHeight="1" s="176">
      <c r="B417" s="211" t="n"/>
    </row>
    <row r="418" ht="13.2" customHeight="1" s="176">
      <c r="B418" s="211" t="n"/>
    </row>
    <row r="419" ht="13.2" customHeight="1" s="176">
      <c r="B419" s="211" t="n"/>
    </row>
    <row r="420" ht="13.2" customHeight="1" s="176">
      <c r="B420" s="211" t="n"/>
    </row>
    <row r="421" ht="13.2" customHeight="1" s="176">
      <c r="B421" s="211" t="n"/>
    </row>
    <row r="422" ht="13.2" customHeight="1" s="176">
      <c r="B422" s="211" t="n"/>
    </row>
    <row r="423" ht="13.2" customHeight="1" s="176">
      <c r="B423" s="211" t="n"/>
    </row>
    <row r="424" ht="13.2" customHeight="1" s="176">
      <c r="B424" s="211" t="n"/>
    </row>
    <row r="425" ht="13.2" customHeight="1" s="176">
      <c r="B425" s="211" t="n"/>
    </row>
  </sheetData>
  <printOptions horizontalCentered="1" verticalCentered="0" headings="0" gridLines="0" gridLinesSet="1"/>
  <pageMargins left="0.9840277777777779" right="0.9840277777777779" top="1.02361111111111" bottom="0.472222222222222" header="0.236111111111111" footer="0.236111111111111"/>
  <pageSetup orientation="landscape" paperSize="9" scale="39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  &amp;P&amp;R&amp;"Times New Roman,Regular"&amp;8 3/11/06</oddFooter>
    <evenHeader/>
    <evenFooter/>
    <firstHeader/>
    <firstFooter/>
  </headerFooter>
  <rowBreaks count="1" manualBreakCount="1">
    <brk id="70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S4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015625" defaultRowHeight="13.2" customHeight="1" zeroHeight="0" outlineLevelRow="0"/>
  <cols>
    <col width="1.87" customWidth="1" style="211" min="1" max="1"/>
    <col width="58.32" customWidth="1" style="211" min="2" max="2"/>
    <col width="33.66" customWidth="1" style="212" min="3" max="3"/>
    <col width="14.1" customWidth="1" style="213" min="4" max="10"/>
    <col width="14.1" customWidth="1" style="255" min="11" max="19"/>
    <col width="12.99" customWidth="1" style="211" min="20" max="20"/>
    <col width="11.32" customWidth="1" style="211" min="21" max="21"/>
    <col width="14.1" customWidth="1" style="211" min="22" max="22"/>
    <col width="18.33" customWidth="1" style="211" min="23" max="23"/>
    <col width="23.99" customWidth="1" style="211" min="24" max="24"/>
    <col width="24.1" customWidth="1" style="211" min="25" max="25"/>
    <col width="14.99" customWidth="1" style="211" min="26" max="26"/>
    <col width="15.99" customWidth="1" style="211" min="27" max="27"/>
    <col width="9.1" customWidth="1" style="211" min="28" max="36"/>
    <col width="11.43" customWidth="1" style="211" min="37" max="37"/>
    <col width="9.1" customWidth="1" style="211" min="38" max="257"/>
  </cols>
  <sheetData>
    <row r="1" ht="13.8" customHeight="1" s="176"/>
    <row r="2" ht="13.2" customHeight="1" s="176">
      <c r="B2" s="214" t="inlineStr">
        <is>
          <t>Invoice details - Asset</t>
        </is>
      </c>
      <c r="H2" s="213" t="inlineStr">
        <is>
          <t>I = Investment</t>
        </is>
      </c>
    </row>
    <row r="3" ht="16.2" customHeight="1" s="176">
      <c r="B3" s="215" t="inlineStr">
        <is>
          <t>End User Computing - VendorAOrigin</t>
        </is>
      </c>
      <c r="C3" s="216" t="n"/>
      <c r="D3" s="217" t="n"/>
      <c r="E3" s="217" t="n"/>
      <c r="F3" s="217" t="n"/>
      <c r="G3" s="217" t="n"/>
      <c r="H3" s="213" t="inlineStr">
        <is>
          <t>L = Lease</t>
        </is>
      </c>
      <c r="I3" s="217" t="n"/>
      <c r="J3" s="217" t="n"/>
      <c r="K3" s="240" t="n"/>
      <c r="L3" s="240" t="n"/>
      <c r="M3" s="240" t="n"/>
      <c r="N3" s="240" t="n"/>
      <c r="O3" s="240" t="n"/>
      <c r="P3" s="240" t="n"/>
      <c r="Q3" s="240" t="n"/>
      <c r="R3" s="240" t="n"/>
      <c r="S3" s="240" t="n"/>
    </row>
    <row r="4" ht="16.8" customHeight="1" s="176">
      <c r="B4" s="218" t="n"/>
      <c r="C4" s="216" t="n"/>
      <c r="D4" s="217" t="n"/>
      <c r="E4" s="217" t="n"/>
      <c r="F4" s="217" t="n"/>
      <c r="G4" s="217" t="n"/>
      <c r="H4" s="213" t="inlineStr">
        <is>
          <t>C = Contract</t>
        </is>
      </c>
      <c r="I4" s="217" t="n"/>
      <c r="J4" s="217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</row>
    <row r="5" ht="27" customHeight="1" s="176">
      <c r="B5" s="219" t="inlineStr">
        <is>
          <t xml:space="preserve">Medium Service Level </t>
        </is>
      </c>
      <c r="C5" s="216" t="n"/>
      <c r="D5" s="220" t="inlineStr">
        <is>
          <t>Period:</t>
        </is>
      </c>
      <c r="E5" s="220" t="inlineStr">
        <is>
          <t>Period:</t>
        </is>
      </c>
      <c r="F5" s="188">
        <f>Period</f>
        <v/>
      </c>
      <c r="G5" s="217" t="n"/>
      <c r="H5" s="213" t="inlineStr">
        <is>
          <t>D = Direct Expense</t>
        </is>
      </c>
      <c r="I5" s="217" t="n"/>
      <c r="J5" s="217" t="n"/>
      <c r="K5" s="240" t="n"/>
      <c r="L5" s="240" t="n"/>
      <c r="M5" s="240" t="n"/>
      <c r="N5" s="240" t="n"/>
      <c r="O5" s="240" t="n"/>
      <c r="P5" s="240" t="n"/>
      <c r="Q5" s="240" t="n"/>
      <c r="R5" s="240" t="n"/>
      <c r="S5" s="240" t="n"/>
    </row>
    <row r="6" ht="16.8" customHeight="1" s="176">
      <c r="B6" s="218" t="n"/>
      <c r="C6" s="216" t="n"/>
      <c r="D6" s="217" t="n"/>
      <c r="E6" s="217" t="n"/>
      <c r="F6" s="217" t="n"/>
      <c r="G6" s="217" t="n"/>
      <c r="H6" s="217" t="n"/>
      <c r="I6" s="217" t="n"/>
      <c r="J6" s="217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</row>
    <row r="7" ht="40.2" customHeight="1" s="176">
      <c r="B7" s="190" t="inlineStr">
        <is>
          <t>Category of Service</t>
        </is>
      </c>
      <c r="C7" s="221" t="inlineStr">
        <is>
          <t>Units</t>
        </is>
      </c>
      <c r="D7" s="221" t="inlineStr">
        <is>
          <t>Contract code</t>
        </is>
      </c>
      <c r="E7" s="221" t="inlineStr">
        <is>
          <t>Supplier</t>
        </is>
      </c>
      <c r="F7" s="221" t="inlineStr">
        <is>
          <t>Country</t>
        </is>
      </c>
      <c r="G7" s="221" t="inlineStr">
        <is>
          <t>Description</t>
        </is>
      </c>
      <c r="H7" s="221" t="inlineStr">
        <is>
          <t>I/L/C/D</t>
        </is>
      </c>
      <c r="I7" s="221" t="inlineStr">
        <is>
          <t>Start date</t>
        </is>
      </c>
      <c r="J7" s="221" t="inlineStr">
        <is>
          <t>Duration</t>
        </is>
      </c>
      <c r="K7" s="222" t="inlineStr">
        <is>
          <t>Volume</t>
        </is>
      </c>
      <c r="L7" s="222" t="inlineStr">
        <is>
          <t>Investement/Contract amount</t>
        </is>
      </c>
      <c r="M7" s="222" t="inlineStr">
        <is>
          <t>Current month</t>
        </is>
      </c>
      <c r="N7" s="222" t="inlineStr">
        <is>
          <t>Ytd</t>
        </is>
      </c>
      <c r="O7" s="222" t="inlineStr">
        <is>
          <t>Forecast Year 1</t>
        </is>
      </c>
      <c r="P7" s="222" t="inlineStr">
        <is>
          <t>Forecast Year 2</t>
        </is>
      </c>
      <c r="Q7" s="222" t="inlineStr">
        <is>
          <t>Forecast Year 3</t>
        </is>
      </c>
      <c r="R7" s="222" t="inlineStr">
        <is>
          <t>Forecast Year 4</t>
        </is>
      </c>
      <c r="S7" s="223" t="inlineStr">
        <is>
          <t>Forecast Year 5</t>
        </is>
      </c>
    </row>
    <row r="8" ht="13.2" customHeight="1" s="176">
      <c r="B8" s="192" t="inlineStr">
        <is>
          <t>Standard Desktops (CEDS)</t>
        </is>
      </c>
      <c r="C8" s="192" t="inlineStr">
        <is>
          <t>Desktops per location code</t>
        </is>
      </c>
      <c r="D8" s="192" t="n"/>
      <c r="E8" s="192" t="n"/>
      <c r="F8" s="192" t="n"/>
      <c r="G8" s="192" t="n"/>
      <c r="H8" s="192" t="n"/>
      <c r="I8" s="192" t="n"/>
      <c r="J8" s="192" t="n"/>
      <c r="K8" s="256" t="n"/>
      <c r="L8" s="256" t="n"/>
      <c r="M8" s="256" t="n"/>
      <c r="N8" s="256" t="n"/>
      <c r="O8" s="256" t="n"/>
      <c r="P8" s="256" t="n"/>
      <c r="Q8" s="256" t="n"/>
      <c r="R8" s="256" t="n"/>
      <c r="S8" s="256" t="n"/>
    </row>
    <row r="9" ht="13.2" customHeight="1" s="176">
      <c r="B9" s="195" t="inlineStr">
        <is>
          <t>Non-Standard Desktops (non CEDS)</t>
        </is>
      </c>
      <c r="C9" s="195" t="inlineStr">
        <is>
          <t>Desktops per location code</t>
        </is>
      </c>
      <c r="D9" s="195" t="n"/>
      <c r="E9" s="195" t="n"/>
      <c r="F9" s="195" t="n"/>
      <c r="G9" s="195" t="n"/>
      <c r="H9" s="195" t="n"/>
      <c r="I9" s="195" t="n"/>
      <c r="J9" s="195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</row>
    <row r="10" ht="13.2" customHeight="1" s="176">
      <c r="B10" s="204" t="inlineStr">
        <is>
          <t>Standard Laptops (CEDS)</t>
        </is>
      </c>
      <c r="C10" s="204" t="inlineStr">
        <is>
          <t>Laptops per User</t>
        </is>
      </c>
      <c r="D10" s="204" t="n"/>
      <c r="E10" s="204" t="n"/>
      <c r="F10" s="204" t="n"/>
      <c r="G10" s="204" t="n"/>
      <c r="H10" s="204" t="n"/>
      <c r="I10" s="204" t="n"/>
      <c r="J10" s="204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</row>
    <row r="11" ht="13.2" customHeight="1" s="176">
      <c r="B11" s="195" t="inlineStr">
        <is>
          <t>Non-Standard Laptops (non CEDS)</t>
        </is>
      </c>
      <c r="C11" s="195" t="inlineStr">
        <is>
          <t>Laptops per User</t>
        </is>
      </c>
      <c r="D11" s="195" t="n"/>
      <c r="E11" s="195" t="n"/>
      <c r="F11" s="195" t="n"/>
      <c r="G11" s="195" t="n"/>
      <c r="H11" s="195" t="n"/>
      <c r="I11" s="195" t="n"/>
      <c r="J11" s="195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</row>
    <row r="12" ht="13.2" customHeight="1" s="176">
      <c r="B12" s="204" t="inlineStr">
        <is>
          <t>Standard Local Printers</t>
        </is>
      </c>
      <c r="C12" s="204" t="inlineStr">
        <is>
          <t>Desktops per location code</t>
        </is>
      </c>
      <c r="D12" s="204" t="n"/>
      <c r="E12" s="204" t="n"/>
      <c r="F12" s="204" t="n"/>
      <c r="G12" s="204" t="n"/>
      <c r="H12" s="204" t="n"/>
      <c r="I12" s="204" t="n"/>
      <c r="J12" s="204" t="n"/>
      <c r="K12" s="258" t="n"/>
      <c r="L12" s="258" t="n"/>
      <c r="M12" s="258" t="n"/>
      <c r="N12" s="258" t="n"/>
      <c r="O12" s="258" t="n"/>
      <c r="P12" s="258" t="n"/>
      <c r="Q12" s="258" t="n"/>
      <c r="R12" s="258" t="n"/>
      <c r="S12" s="258" t="n"/>
    </row>
    <row r="13" ht="13.2" customHeight="1" s="176">
      <c r="B13" s="195" t="inlineStr">
        <is>
          <t>Non-Standard Local Printers</t>
        </is>
      </c>
      <c r="C13" s="195" t="inlineStr">
        <is>
          <t>Desktops per location code</t>
        </is>
      </c>
      <c r="D13" s="195" t="n"/>
      <c r="E13" s="195" t="n"/>
      <c r="F13" s="195" t="n"/>
      <c r="G13" s="195" t="n"/>
      <c r="H13" s="195" t="n"/>
      <c r="I13" s="195" t="n"/>
      <c r="J13" s="195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</row>
    <row r="14" ht="13.2" customHeight="1" s="176">
      <c r="B14" s="204" t="inlineStr">
        <is>
          <t>Standard Network Printers</t>
        </is>
      </c>
      <c r="C14" s="204" t="inlineStr">
        <is>
          <t>Desktops per location code</t>
        </is>
      </c>
      <c r="D14" s="204" t="n"/>
      <c r="E14" s="204" t="n"/>
      <c r="F14" s="204" t="n"/>
      <c r="G14" s="204" t="n"/>
      <c r="H14" s="204" t="n"/>
      <c r="I14" s="204" t="n"/>
      <c r="J14" s="204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</row>
    <row r="15" ht="13.2" customHeight="1" s="176">
      <c r="B15" s="195" t="inlineStr">
        <is>
          <t>Non-Standard Network Printers</t>
        </is>
      </c>
      <c r="C15" s="195" t="inlineStr">
        <is>
          <t>Desktops per location code</t>
        </is>
      </c>
      <c r="D15" s="195" t="n"/>
      <c r="E15" s="195" t="n"/>
      <c r="F15" s="195" t="n"/>
      <c r="G15" s="195" t="n"/>
      <c r="H15" s="195" t="n"/>
      <c r="I15" s="195" t="n"/>
      <c r="J15" s="195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</row>
    <row r="16" ht="13.8" customHeight="1" s="176">
      <c r="B16" s="230" t="inlineStr">
        <is>
          <t>Other Peripherals</t>
        </is>
      </c>
      <c r="C16" s="230" t="inlineStr">
        <is>
          <t>Desktops per location code</t>
        </is>
      </c>
      <c r="D16" s="230" t="n"/>
      <c r="E16" s="230" t="n"/>
      <c r="F16" s="230" t="n"/>
      <c r="G16" s="230" t="n"/>
      <c r="H16" s="230" t="n"/>
      <c r="I16" s="230" t="n"/>
      <c r="J16" s="230" t="n"/>
      <c r="K16" s="259" t="n"/>
      <c r="L16" s="259" t="n"/>
      <c r="M16" s="259" t="n"/>
      <c r="N16" s="259" t="n"/>
      <c r="O16" s="259" t="n"/>
      <c r="P16" s="259" t="n"/>
      <c r="Q16" s="259" t="n"/>
      <c r="R16" s="259" t="n"/>
      <c r="S16" s="259" t="n"/>
    </row>
    <row r="17" ht="13.8" customHeight="1" s="176">
      <c r="B17" s="233" t="n"/>
      <c r="C17" s="234" t="inlineStr">
        <is>
          <t>Subtotal:</t>
        </is>
      </c>
      <c r="D17" s="234" t="n"/>
      <c r="E17" s="234" t="n"/>
      <c r="F17" s="234" t="n"/>
      <c r="G17" s="234" t="n"/>
      <c r="H17" s="234" t="n"/>
      <c r="I17" s="234" t="n"/>
      <c r="J17" s="234" t="n"/>
      <c r="K17" s="260">
        <f>SUM(K8:K16)</f>
        <v/>
      </c>
      <c r="L17" s="260">
        <f>SUM(L8:L16)</f>
        <v/>
      </c>
      <c r="M17" s="260">
        <f>SUM(M8:M16)</f>
        <v/>
      </c>
      <c r="N17" s="260">
        <f>SUM(N8:N16)</f>
        <v/>
      </c>
      <c r="O17" s="260">
        <f>SUM(O8:O16)</f>
        <v/>
      </c>
      <c r="P17" s="260">
        <f>SUM(P8:P16)</f>
        <v/>
      </c>
      <c r="Q17" s="260">
        <f>SUM(Q8:Q16)</f>
        <v/>
      </c>
      <c r="R17" s="260">
        <f>SUM(R8:R16)</f>
        <v/>
      </c>
      <c r="S17" s="260">
        <f>SUM(S8:S16)</f>
        <v/>
      </c>
    </row>
    <row r="18" ht="16.2" customHeight="1" s="176">
      <c r="B18" s="237" t="n"/>
      <c r="C18" s="238" t="n"/>
      <c r="D18" s="261" t="n"/>
      <c r="E18" s="261" t="n"/>
      <c r="F18" s="261" t="n"/>
      <c r="G18" s="261" t="n"/>
      <c r="H18" s="261" t="n"/>
      <c r="I18" s="261" t="n"/>
      <c r="J18" s="261" t="n"/>
      <c r="K18" s="239" t="n"/>
      <c r="L18" s="239" t="n"/>
      <c r="M18" s="239" t="n"/>
      <c r="N18" s="239" t="n"/>
      <c r="O18" s="239" t="n"/>
      <c r="P18" s="239" t="n"/>
      <c r="Q18" s="239" t="n"/>
      <c r="R18" s="239" t="n"/>
      <c r="S18" s="239" t="n"/>
    </row>
    <row r="19" ht="16.2" customHeight="1" s="176">
      <c r="B19" s="190" t="inlineStr">
        <is>
          <t>Installations</t>
        </is>
      </c>
      <c r="C19" s="216" t="n"/>
      <c r="D19" s="217" t="n"/>
      <c r="E19" s="217" t="n"/>
      <c r="F19" s="217" t="n"/>
      <c r="G19" s="217" t="n"/>
      <c r="H19" s="217" t="n"/>
      <c r="I19" s="217" t="n"/>
      <c r="J19" s="217" t="n"/>
      <c r="K19" s="240" t="n"/>
      <c r="L19" s="240" t="n"/>
      <c r="M19" s="240" t="n"/>
      <c r="N19" s="240" t="n"/>
      <c r="O19" s="240" t="n"/>
      <c r="P19" s="240" t="n"/>
      <c r="Q19" s="240" t="n"/>
      <c r="R19" s="240" t="n"/>
      <c r="S19" s="240" t="n"/>
    </row>
    <row r="20" ht="16.2" customHeight="1" s="176">
      <c r="B20" s="237" t="n"/>
      <c r="C20" s="238" t="n"/>
      <c r="D20" s="261" t="n"/>
      <c r="E20" s="261" t="n"/>
      <c r="F20" s="261" t="n"/>
      <c r="G20" s="261" t="n"/>
      <c r="H20" s="261" t="n"/>
      <c r="I20" s="261" t="n"/>
      <c r="J20" s="261" t="n"/>
      <c r="K20" s="239" t="n"/>
      <c r="L20" s="239" t="n"/>
      <c r="M20" s="239" t="n"/>
      <c r="N20" s="239" t="n"/>
      <c r="O20" s="239" t="n"/>
      <c r="P20" s="239" t="n"/>
      <c r="Q20" s="239" t="n"/>
      <c r="R20" s="239" t="n"/>
      <c r="S20" s="239" t="n"/>
    </row>
    <row r="21" ht="40.2" customHeight="1" s="176">
      <c r="B21" s="190" t="inlineStr">
        <is>
          <t>Category of Service</t>
        </is>
      </c>
      <c r="C21" s="221" t="inlineStr">
        <is>
          <t>Units</t>
        </is>
      </c>
      <c r="D21" s="221" t="inlineStr">
        <is>
          <t>Contract code</t>
        </is>
      </c>
      <c r="E21" s="221" t="inlineStr">
        <is>
          <t>Contract code</t>
        </is>
      </c>
      <c r="F21" s="221" t="inlineStr">
        <is>
          <t>Country</t>
        </is>
      </c>
      <c r="G21" s="221" t="inlineStr">
        <is>
          <t>Description</t>
        </is>
      </c>
      <c r="H21" s="221" t="inlineStr">
        <is>
          <t>I/L/C/D</t>
        </is>
      </c>
      <c r="I21" s="221" t="inlineStr">
        <is>
          <t>Start date</t>
        </is>
      </c>
      <c r="J21" s="221" t="inlineStr">
        <is>
          <t>Duration</t>
        </is>
      </c>
      <c r="K21" s="222" t="inlineStr">
        <is>
          <t>Volume</t>
        </is>
      </c>
      <c r="L21" s="222" t="inlineStr">
        <is>
          <t>Investement/Contract amount</t>
        </is>
      </c>
      <c r="M21" s="222" t="inlineStr">
        <is>
          <t>Current month</t>
        </is>
      </c>
      <c r="N21" s="222" t="inlineStr">
        <is>
          <t>Ytd</t>
        </is>
      </c>
      <c r="O21" s="222" t="inlineStr">
        <is>
          <t>Year 1</t>
        </is>
      </c>
      <c r="P21" s="222" t="inlineStr">
        <is>
          <t>Year 2</t>
        </is>
      </c>
      <c r="Q21" s="222" t="inlineStr">
        <is>
          <t>Year 3</t>
        </is>
      </c>
      <c r="R21" s="222" t="inlineStr">
        <is>
          <t>Year 4</t>
        </is>
      </c>
      <c r="S21" s="223" t="inlineStr">
        <is>
          <t>Year 5</t>
        </is>
      </c>
    </row>
    <row r="22" ht="13.2" customHeight="1" s="176">
      <c r="B22" s="192" t="inlineStr">
        <is>
          <t>Moves</t>
        </is>
      </c>
      <c r="C22" s="192" t="inlineStr">
        <is>
          <t>Desktops per location code</t>
        </is>
      </c>
      <c r="D22" s="192" t="n"/>
      <c r="E22" s="192" t="n"/>
      <c r="F22" s="192" t="n"/>
      <c r="G22" s="192" t="n"/>
      <c r="H22" s="192" t="n"/>
      <c r="I22" s="192" t="n"/>
      <c r="J22" s="192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</row>
    <row r="23" ht="13.2" customHeight="1" s="176">
      <c r="B23" s="195" t="inlineStr">
        <is>
          <t>Adds</t>
        </is>
      </c>
      <c r="C23" s="195" t="inlineStr">
        <is>
          <t>Desktops per location code</t>
        </is>
      </c>
      <c r="D23" s="195" t="n"/>
      <c r="E23" s="195" t="n"/>
      <c r="F23" s="195" t="n"/>
      <c r="G23" s="195" t="n"/>
      <c r="H23" s="195" t="n"/>
      <c r="I23" s="195" t="n"/>
      <c r="J23" s="195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</row>
    <row r="24" ht="13.8" customHeight="1" s="176">
      <c r="B24" s="204" t="inlineStr">
        <is>
          <t>Changes</t>
        </is>
      </c>
      <c r="C24" s="204" t="inlineStr">
        <is>
          <t>Desktops per location code</t>
        </is>
      </c>
      <c r="D24" s="204" t="n"/>
      <c r="E24" s="204" t="n"/>
      <c r="F24" s="204" t="n"/>
      <c r="G24" s="204" t="n"/>
      <c r="H24" s="204" t="n"/>
      <c r="I24" s="204" t="n"/>
      <c r="J24" s="204" t="n"/>
      <c r="K24" s="258" t="n"/>
      <c r="L24" s="258" t="n"/>
      <c r="M24" s="258" t="n"/>
      <c r="N24" s="258" t="n"/>
      <c r="O24" s="258" t="n"/>
      <c r="P24" s="258" t="n"/>
      <c r="Q24" s="258" t="n"/>
      <c r="R24" s="258" t="n"/>
      <c r="S24" s="258" t="n"/>
    </row>
    <row r="25" ht="13.8" customHeight="1" s="176">
      <c r="B25" s="233" t="n"/>
      <c r="C25" s="234" t="inlineStr">
        <is>
          <t>Subtotal:</t>
        </is>
      </c>
      <c r="D25" s="234" t="n"/>
      <c r="E25" s="234" t="n"/>
      <c r="F25" s="234" t="n"/>
      <c r="G25" s="234" t="n"/>
      <c r="H25" s="234" t="n"/>
      <c r="I25" s="234" t="n"/>
      <c r="J25" s="234" t="n"/>
      <c r="K25" s="260">
        <f>SUM(K22:K24)</f>
        <v/>
      </c>
      <c r="L25" s="260">
        <f>SUM(L22:L24)</f>
        <v/>
      </c>
      <c r="M25" s="260">
        <f>SUM(M22:M24)</f>
        <v/>
      </c>
      <c r="N25" s="260">
        <f>SUM(N22:N24)</f>
        <v/>
      </c>
      <c r="O25" s="260">
        <f>SUM(O22:O24)</f>
        <v/>
      </c>
      <c r="P25" s="260">
        <f>SUM(P22:P24)</f>
        <v/>
      </c>
      <c r="Q25" s="260">
        <f>SUM(Q22:Q24)</f>
        <v/>
      </c>
      <c r="R25" s="260">
        <f>SUM(R22:R24)</f>
        <v/>
      </c>
      <c r="S25" s="260">
        <f>SUM(S22:S24)</f>
        <v/>
      </c>
    </row>
    <row r="26" ht="16.2" customHeight="1" s="176">
      <c r="B26" s="237" t="n"/>
      <c r="C26" s="238" t="n"/>
      <c r="D26" s="261" t="n"/>
      <c r="E26" s="261" t="n"/>
      <c r="F26" s="261" t="n"/>
      <c r="G26" s="261" t="n"/>
      <c r="H26" s="261" t="n"/>
      <c r="I26" s="261" t="n"/>
      <c r="J26" s="261" t="n"/>
      <c r="K26" s="239" t="n"/>
      <c r="L26" s="239" t="n"/>
      <c r="M26" s="239" t="n"/>
      <c r="N26" s="239" t="n"/>
      <c r="O26" s="239" t="n"/>
      <c r="P26" s="239" t="n"/>
      <c r="Q26" s="239" t="n"/>
      <c r="R26" s="239" t="n"/>
      <c r="S26" s="239" t="n"/>
    </row>
    <row r="27" ht="16.2" customHeight="1" s="176">
      <c r="B27" s="190" t="inlineStr">
        <is>
          <t xml:space="preserve">Low Service Level </t>
        </is>
      </c>
      <c r="C27" s="216" t="n"/>
      <c r="D27" s="217" t="n"/>
      <c r="E27" s="217" t="n"/>
      <c r="F27" s="217" t="n"/>
      <c r="G27" s="217" t="n"/>
      <c r="H27" s="217" t="n"/>
      <c r="I27" s="217" t="n"/>
      <c r="J27" s="217" t="n"/>
      <c r="K27" s="240" t="n"/>
      <c r="L27" s="240" t="n"/>
      <c r="M27" s="240" t="n"/>
      <c r="N27" s="240" t="n"/>
      <c r="O27" s="240" t="n"/>
      <c r="P27" s="240" t="n"/>
      <c r="Q27" s="240" t="n"/>
      <c r="R27" s="240" t="n"/>
      <c r="S27" s="240" t="n"/>
    </row>
    <row r="28" ht="16.2" customHeight="1" s="176">
      <c r="B28" s="237" t="n"/>
      <c r="C28" s="238" t="n"/>
      <c r="D28" s="261" t="n"/>
      <c r="E28" s="261" t="n"/>
      <c r="F28" s="261" t="n"/>
      <c r="G28" s="261" t="n"/>
      <c r="H28" s="261" t="n"/>
      <c r="I28" s="261" t="n"/>
      <c r="J28" s="261" t="n"/>
      <c r="K28" s="239" t="n"/>
      <c r="L28" s="239" t="n"/>
      <c r="M28" s="239" t="n"/>
      <c r="N28" s="239" t="n"/>
      <c r="O28" s="239" t="n"/>
      <c r="P28" s="239" t="n"/>
      <c r="Q28" s="239" t="n"/>
      <c r="R28" s="239" t="n"/>
      <c r="S28" s="239" t="n"/>
    </row>
    <row r="29" ht="40.2" customHeight="1" s="176">
      <c r="B29" s="190" t="inlineStr">
        <is>
          <t>Category of Service</t>
        </is>
      </c>
      <c r="C29" s="221" t="inlineStr">
        <is>
          <t>Units</t>
        </is>
      </c>
      <c r="D29" s="221" t="inlineStr">
        <is>
          <t>Contract code</t>
        </is>
      </c>
      <c r="E29" s="221" t="inlineStr">
        <is>
          <t>Contract code</t>
        </is>
      </c>
      <c r="F29" s="221" t="inlineStr">
        <is>
          <t>Country</t>
        </is>
      </c>
      <c r="G29" s="221" t="inlineStr">
        <is>
          <t>Description</t>
        </is>
      </c>
      <c r="H29" s="221" t="inlineStr">
        <is>
          <t>I/L/C/D</t>
        </is>
      </c>
      <c r="I29" s="221" t="inlineStr">
        <is>
          <t>Start date</t>
        </is>
      </c>
      <c r="J29" s="221" t="inlineStr">
        <is>
          <t>Duration</t>
        </is>
      </c>
      <c r="K29" s="222" t="inlineStr">
        <is>
          <t>Volume</t>
        </is>
      </c>
      <c r="L29" s="222" t="inlineStr">
        <is>
          <t>Investement/Contract amount</t>
        </is>
      </c>
      <c r="M29" s="222" t="inlineStr">
        <is>
          <t>Current month</t>
        </is>
      </c>
      <c r="N29" s="222" t="inlineStr">
        <is>
          <t>Ytd</t>
        </is>
      </c>
      <c r="O29" s="222" t="inlineStr">
        <is>
          <t>Year 1</t>
        </is>
      </c>
      <c r="P29" s="222" t="inlineStr">
        <is>
          <t>Year 2</t>
        </is>
      </c>
      <c r="Q29" s="222" t="inlineStr">
        <is>
          <t>Year 3</t>
        </is>
      </c>
      <c r="R29" s="222" t="inlineStr">
        <is>
          <t>Year 4</t>
        </is>
      </c>
      <c r="S29" s="223" t="inlineStr">
        <is>
          <t>Year 5</t>
        </is>
      </c>
    </row>
    <row r="30" ht="13.2" customHeight="1" s="176">
      <c r="B30" s="192" t="inlineStr">
        <is>
          <t>Standard Desktops (CEDS)</t>
        </is>
      </c>
      <c r="C30" s="192" t="inlineStr">
        <is>
          <t>Desktops per location code</t>
        </is>
      </c>
      <c r="D30" s="192" t="n"/>
      <c r="E30" s="192" t="n"/>
      <c r="F30" s="192" t="n"/>
      <c r="G30" s="192" t="n"/>
      <c r="H30" s="192" t="n"/>
      <c r="I30" s="192" t="n"/>
      <c r="J30" s="192" t="n"/>
      <c r="K30" s="256" t="n"/>
      <c r="L30" s="256" t="n"/>
      <c r="M30" s="256" t="n"/>
      <c r="N30" s="256" t="n"/>
      <c r="O30" s="256" t="n"/>
      <c r="P30" s="256" t="n"/>
      <c r="Q30" s="256" t="n"/>
      <c r="R30" s="256" t="n"/>
      <c r="S30" s="256" t="n"/>
    </row>
    <row r="31" ht="13.2" customHeight="1" s="176">
      <c r="B31" s="195" t="inlineStr">
        <is>
          <t>Non-Standard Desktops (non CEDS)</t>
        </is>
      </c>
      <c r="C31" s="195" t="inlineStr">
        <is>
          <t>Desktops per location code</t>
        </is>
      </c>
      <c r="D31" s="195" t="n"/>
      <c r="E31" s="195" t="n"/>
      <c r="F31" s="195" t="n"/>
      <c r="G31" s="195" t="n"/>
      <c r="H31" s="195" t="n"/>
      <c r="I31" s="195" t="n"/>
      <c r="J31" s="195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</row>
    <row r="32" ht="13.2" customHeight="1" s="176">
      <c r="B32" s="204" t="inlineStr">
        <is>
          <t>Standard Laptops (CEDS)</t>
        </is>
      </c>
      <c r="C32" s="204" t="inlineStr">
        <is>
          <t>Laptops per User</t>
        </is>
      </c>
      <c r="D32" s="204" t="n"/>
      <c r="E32" s="204" t="n"/>
      <c r="F32" s="204" t="n"/>
      <c r="G32" s="204" t="n"/>
      <c r="H32" s="204" t="n"/>
      <c r="I32" s="204" t="n"/>
      <c r="J32" s="204" t="n"/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</row>
    <row r="33" ht="13.2" customHeight="1" s="176">
      <c r="B33" s="195" t="inlineStr">
        <is>
          <t>Non-Standard Laptops (non CEDS)</t>
        </is>
      </c>
      <c r="C33" s="195" t="inlineStr">
        <is>
          <t>Laptops per User</t>
        </is>
      </c>
      <c r="D33" s="195" t="n"/>
      <c r="E33" s="195" t="n"/>
      <c r="F33" s="195" t="n"/>
      <c r="G33" s="195" t="n"/>
      <c r="H33" s="195" t="n"/>
      <c r="I33" s="195" t="n"/>
      <c r="J33" s="195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</row>
    <row r="34" ht="13.2" customHeight="1" s="176">
      <c r="B34" s="204" t="inlineStr">
        <is>
          <t>Standard Local Printers</t>
        </is>
      </c>
      <c r="C34" s="204" t="inlineStr">
        <is>
          <t>Desktops per location code</t>
        </is>
      </c>
      <c r="D34" s="204" t="n"/>
      <c r="E34" s="204" t="n"/>
      <c r="F34" s="204" t="n"/>
      <c r="G34" s="204" t="n"/>
      <c r="H34" s="204" t="n"/>
      <c r="I34" s="204" t="n"/>
      <c r="J34" s="204" t="n"/>
      <c r="K34" s="258" t="n"/>
      <c r="L34" s="258" t="n"/>
      <c r="M34" s="258" t="n"/>
      <c r="N34" s="258" t="n"/>
      <c r="O34" s="258" t="n"/>
      <c r="P34" s="258" t="n"/>
      <c r="Q34" s="258" t="n"/>
      <c r="R34" s="258" t="n"/>
      <c r="S34" s="258" t="n"/>
    </row>
    <row r="35" ht="13.2" customHeight="1" s="176">
      <c r="B35" s="195" t="inlineStr">
        <is>
          <t>Non-Standard Local Printers</t>
        </is>
      </c>
      <c r="C35" s="195" t="inlineStr">
        <is>
          <t>Desktops per location code</t>
        </is>
      </c>
      <c r="D35" s="195" t="n"/>
      <c r="E35" s="195" t="n"/>
      <c r="F35" s="195" t="n"/>
      <c r="G35" s="195" t="n"/>
      <c r="H35" s="195" t="n"/>
      <c r="I35" s="195" t="n"/>
      <c r="J35" s="195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</row>
    <row r="36" ht="13.2" customHeight="1" s="176">
      <c r="B36" s="204" t="inlineStr">
        <is>
          <t>Standard Network Printers</t>
        </is>
      </c>
      <c r="C36" s="204" t="inlineStr">
        <is>
          <t>Desktops per location code</t>
        </is>
      </c>
      <c r="D36" s="204" t="n"/>
      <c r="E36" s="204" t="n"/>
      <c r="F36" s="204" t="n"/>
      <c r="G36" s="204" t="n"/>
      <c r="H36" s="204" t="n"/>
      <c r="I36" s="204" t="n"/>
      <c r="J36" s="204" t="n"/>
      <c r="K36" s="258" t="n"/>
      <c r="L36" s="258" t="n"/>
      <c r="M36" s="258" t="n"/>
      <c r="N36" s="258" t="n"/>
      <c r="O36" s="258" t="n"/>
      <c r="P36" s="258" t="n"/>
      <c r="Q36" s="258" t="n"/>
      <c r="R36" s="258" t="n"/>
      <c r="S36" s="258" t="n"/>
    </row>
    <row r="37" ht="13.2" customHeight="1" s="176">
      <c r="B37" s="195" t="inlineStr">
        <is>
          <t>Non-Standard Network Printers</t>
        </is>
      </c>
      <c r="C37" s="195" t="inlineStr">
        <is>
          <t>Desktops per location code</t>
        </is>
      </c>
      <c r="D37" s="195" t="n"/>
      <c r="E37" s="195" t="n"/>
      <c r="F37" s="195" t="n"/>
      <c r="G37" s="195" t="n"/>
      <c r="H37" s="195" t="n"/>
      <c r="I37" s="195" t="n"/>
      <c r="J37" s="195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</row>
    <row r="38" ht="13.8" customHeight="1" s="176">
      <c r="B38" s="230" t="inlineStr">
        <is>
          <t>Other Peripherals</t>
        </is>
      </c>
      <c r="C38" s="230" t="inlineStr">
        <is>
          <t>Desktops per location code</t>
        </is>
      </c>
      <c r="D38" s="230" t="n"/>
      <c r="E38" s="230" t="n"/>
      <c r="F38" s="230" t="n"/>
      <c r="G38" s="230" t="n"/>
      <c r="H38" s="230" t="n"/>
      <c r="I38" s="230" t="n"/>
      <c r="J38" s="230" t="n"/>
      <c r="K38" s="259" t="n"/>
      <c r="L38" s="259" t="n"/>
      <c r="M38" s="259" t="n"/>
      <c r="N38" s="259" t="n"/>
      <c r="O38" s="259" t="n"/>
      <c r="P38" s="259" t="n"/>
      <c r="Q38" s="259" t="n"/>
      <c r="R38" s="259" t="n"/>
      <c r="S38" s="259" t="n"/>
    </row>
    <row r="39" ht="13.8" customHeight="1" s="176">
      <c r="B39" s="233" t="n"/>
      <c r="C39" s="234" t="inlineStr">
        <is>
          <t>Subtotal:</t>
        </is>
      </c>
      <c r="D39" s="234" t="n"/>
      <c r="E39" s="234" t="n"/>
      <c r="F39" s="234" t="n"/>
      <c r="G39" s="234" t="n"/>
      <c r="H39" s="234" t="n"/>
      <c r="I39" s="234" t="n"/>
      <c r="J39" s="234" t="n"/>
      <c r="K39" s="260">
        <f>SUM(K30:K38)</f>
        <v/>
      </c>
      <c r="L39" s="260">
        <f>SUM(L30:L38)</f>
        <v/>
      </c>
      <c r="M39" s="260">
        <f>SUM(M30:M38)</f>
        <v/>
      </c>
      <c r="N39" s="260">
        <f>SUM(N30:N38)</f>
        <v/>
      </c>
      <c r="O39" s="260">
        <f>SUM(O30:O38)</f>
        <v/>
      </c>
      <c r="P39" s="260">
        <f>SUM(P30:P38)</f>
        <v/>
      </c>
      <c r="Q39" s="260">
        <f>SUM(Q30:Q38)</f>
        <v/>
      </c>
      <c r="R39" s="260">
        <f>SUM(R30:R38)</f>
        <v/>
      </c>
      <c r="S39" s="260">
        <f>SUM(S30:S38)</f>
        <v/>
      </c>
    </row>
    <row r="40" ht="16.2" customHeight="1" s="176">
      <c r="B40" s="237" t="n"/>
      <c r="C40" s="238" t="n"/>
      <c r="D40" s="261" t="n"/>
      <c r="E40" s="261" t="n"/>
      <c r="F40" s="261" t="n"/>
      <c r="G40" s="261" t="n"/>
      <c r="H40" s="261" t="n"/>
      <c r="I40" s="261" t="n"/>
      <c r="J40" s="261" t="n"/>
      <c r="K40" s="239" t="n"/>
      <c r="L40" s="239" t="n"/>
      <c r="M40" s="239" t="n"/>
      <c r="N40" s="239" t="n"/>
      <c r="O40" s="239" t="n"/>
      <c r="P40" s="239" t="n"/>
      <c r="Q40" s="239" t="n"/>
      <c r="R40" s="239" t="n"/>
      <c r="S40" s="239" t="n"/>
    </row>
    <row r="41" ht="16.2" customHeight="1" s="176">
      <c r="B41" s="190" t="inlineStr">
        <is>
          <t>Installations</t>
        </is>
      </c>
      <c r="C41" s="216" t="n"/>
      <c r="D41" s="217" t="n"/>
      <c r="E41" s="217" t="n"/>
      <c r="F41" s="217" t="n"/>
      <c r="G41" s="217" t="n"/>
      <c r="H41" s="217" t="n"/>
      <c r="I41" s="217" t="n"/>
      <c r="J41" s="217" t="n"/>
      <c r="K41" s="240" t="n"/>
      <c r="L41" s="240" t="n"/>
      <c r="M41" s="240" t="n"/>
      <c r="N41" s="240" t="n"/>
      <c r="O41" s="240" t="n"/>
      <c r="P41" s="240" t="n"/>
      <c r="Q41" s="240" t="n"/>
      <c r="R41" s="240" t="n"/>
      <c r="S41" s="240" t="n"/>
    </row>
    <row r="42" ht="16.2" customHeight="1" s="176">
      <c r="B42" s="237" t="n"/>
      <c r="C42" s="238" t="n"/>
      <c r="D42" s="261" t="n"/>
      <c r="E42" s="261" t="n"/>
      <c r="F42" s="261" t="n"/>
      <c r="G42" s="261" t="n"/>
      <c r="H42" s="261" t="n"/>
      <c r="I42" s="261" t="n"/>
      <c r="J42" s="261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</row>
    <row r="43" ht="40.2" customHeight="1" s="176">
      <c r="B43" s="190" t="inlineStr">
        <is>
          <t>Category of Service</t>
        </is>
      </c>
      <c r="C43" s="221" t="inlineStr">
        <is>
          <t>Units</t>
        </is>
      </c>
      <c r="D43" s="221" t="inlineStr">
        <is>
          <t>Contract code</t>
        </is>
      </c>
      <c r="E43" s="221" t="inlineStr">
        <is>
          <t>Contract code</t>
        </is>
      </c>
      <c r="F43" s="221" t="inlineStr">
        <is>
          <t>Country</t>
        </is>
      </c>
      <c r="G43" s="221" t="inlineStr">
        <is>
          <t>Description</t>
        </is>
      </c>
      <c r="H43" s="221" t="inlineStr">
        <is>
          <t>I/L/C/D</t>
        </is>
      </c>
      <c r="I43" s="221" t="inlineStr">
        <is>
          <t>Start date</t>
        </is>
      </c>
      <c r="J43" s="221" t="inlineStr">
        <is>
          <t>Duration</t>
        </is>
      </c>
      <c r="K43" s="222" t="inlineStr">
        <is>
          <t>Volume</t>
        </is>
      </c>
      <c r="L43" s="222" t="inlineStr">
        <is>
          <t>Investement/Contract amount</t>
        </is>
      </c>
      <c r="M43" s="222" t="inlineStr">
        <is>
          <t>Current month</t>
        </is>
      </c>
      <c r="N43" s="222" t="inlineStr">
        <is>
          <t>Ytd</t>
        </is>
      </c>
      <c r="O43" s="222" t="inlineStr">
        <is>
          <t>Year 1</t>
        </is>
      </c>
      <c r="P43" s="222" t="inlineStr">
        <is>
          <t>Year 2</t>
        </is>
      </c>
      <c r="Q43" s="222" t="inlineStr">
        <is>
          <t>Year 3</t>
        </is>
      </c>
      <c r="R43" s="222" t="inlineStr">
        <is>
          <t>Year 4</t>
        </is>
      </c>
      <c r="S43" s="223" t="inlineStr">
        <is>
          <t>Year 5</t>
        </is>
      </c>
    </row>
    <row r="44" ht="13.2" customHeight="1" s="176">
      <c r="B44" s="204" t="inlineStr">
        <is>
          <t>Moves</t>
        </is>
      </c>
      <c r="C44" s="204" t="inlineStr">
        <is>
          <t>Desktops per location code</t>
        </is>
      </c>
      <c r="D44" s="204" t="n"/>
      <c r="E44" s="204" t="n"/>
      <c r="F44" s="204" t="n"/>
      <c r="G44" s="204" t="n"/>
      <c r="H44" s="204" t="n"/>
      <c r="I44" s="204" t="n"/>
      <c r="J44" s="204" t="n"/>
      <c r="K44" s="258" t="n"/>
      <c r="L44" s="258" t="n"/>
      <c r="M44" s="258" t="n"/>
      <c r="N44" s="258" t="n"/>
      <c r="O44" s="258" t="n"/>
      <c r="P44" s="258" t="n"/>
      <c r="Q44" s="258" t="n"/>
      <c r="R44" s="258" t="n"/>
      <c r="S44" s="258" t="n"/>
    </row>
    <row r="45" ht="13.2" customHeight="1" s="176">
      <c r="B45" s="195" t="inlineStr">
        <is>
          <t>Adds</t>
        </is>
      </c>
      <c r="C45" s="195" t="inlineStr">
        <is>
          <t>Desktops per location code</t>
        </is>
      </c>
      <c r="D45" s="195" t="n"/>
      <c r="E45" s="195" t="n"/>
      <c r="F45" s="195" t="n"/>
      <c r="G45" s="195" t="n"/>
      <c r="H45" s="195" t="n"/>
      <c r="I45" s="195" t="n"/>
      <c r="J45" s="195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</row>
    <row r="46" ht="13.8" customHeight="1" s="176">
      <c r="B46" s="230" t="inlineStr">
        <is>
          <t>Changes</t>
        </is>
      </c>
      <c r="C46" s="230" t="inlineStr">
        <is>
          <t>Desktops per location code</t>
        </is>
      </c>
      <c r="D46" s="230" t="n"/>
      <c r="E46" s="230" t="n"/>
      <c r="F46" s="230" t="n"/>
      <c r="G46" s="230" t="n"/>
      <c r="H46" s="230" t="n"/>
      <c r="I46" s="230" t="n"/>
      <c r="J46" s="230" t="n"/>
      <c r="K46" s="259" t="n"/>
      <c r="L46" s="259" t="n"/>
      <c r="M46" s="259" t="n"/>
      <c r="N46" s="259" t="n"/>
      <c r="O46" s="259" t="n"/>
      <c r="P46" s="259" t="n"/>
      <c r="Q46" s="259" t="n"/>
      <c r="R46" s="259" t="n"/>
      <c r="S46" s="259" t="n"/>
    </row>
    <row r="47" ht="13.8" customHeight="1" s="176">
      <c r="B47" s="233" t="n"/>
      <c r="C47" s="234" t="inlineStr">
        <is>
          <t>Subtotal:</t>
        </is>
      </c>
      <c r="D47" s="234" t="n"/>
      <c r="E47" s="234" t="n"/>
      <c r="F47" s="234" t="n"/>
      <c r="G47" s="234" t="n"/>
      <c r="H47" s="234" t="n"/>
      <c r="I47" s="234" t="n"/>
      <c r="J47" s="234" t="n"/>
      <c r="K47" s="260">
        <f>SUM(K44:K46)</f>
        <v/>
      </c>
      <c r="L47" s="260">
        <f>SUM(L44:L46)</f>
        <v/>
      </c>
      <c r="M47" s="260">
        <f>SUM(M44:M46)</f>
        <v/>
      </c>
      <c r="N47" s="260">
        <f>SUM(N44:N46)</f>
        <v/>
      </c>
      <c r="O47" s="260">
        <f>SUM(O44:O46)</f>
        <v/>
      </c>
      <c r="P47" s="260">
        <f>SUM(P44:P46)</f>
        <v/>
      </c>
      <c r="Q47" s="260">
        <f>SUM(Q44:Q46)</f>
        <v/>
      </c>
      <c r="R47" s="260">
        <f>SUM(R44:R46)</f>
        <v/>
      </c>
      <c r="S47" s="260">
        <f>SUM(S44:S46)</f>
        <v/>
      </c>
    </row>
    <row r="48" ht="16.2" customHeight="1" s="176">
      <c r="B48" s="237" t="n"/>
      <c r="C48" s="238" t="n"/>
      <c r="D48" s="261" t="n"/>
      <c r="E48" s="261" t="n"/>
      <c r="F48" s="261" t="n"/>
      <c r="G48" s="261" t="n"/>
      <c r="H48" s="261" t="n"/>
      <c r="I48" s="261" t="n"/>
      <c r="J48" s="261" t="n"/>
      <c r="K48" s="239" t="n"/>
      <c r="L48" s="239" t="n"/>
      <c r="M48" s="239" t="n"/>
      <c r="N48" s="239" t="n"/>
      <c r="O48" s="239" t="n"/>
      <c r="P48" s="239" t="n"/>
      <c r="Q48" s="239" t="n"/>
      <c r="R48" s="239" t="n"/>
      <c r="S48" s="239" t="n"/>
    </row>
    <row r="49" ht="16.2" customHeight="1" s="176">
      <c r="B49" s="190" t="inlineStr">
        <is>
          <t>Packaging &amp; Distribution</t>
        </is>
      </c>
      <c r="C49" s="216" t="n"/>
      <c r="D49" s="217" t="n"/>
      <c r="E49" s="217" t="n"/>
      <c r="F49" s="217" t="n"/>
      <c r="G49" s="217" t="n"/>
      <c r="H49" s="217" t="n"/>
      <c r="I49" s="217" t="n"/>
      <c r="J49" s="217" t="n"/>
      <c r="K49" s="240" t="n"/>
      <c r="L49" s="240" t="n"/>
      <c r="M49" s="240" t="n"/>
      <c r="N49" s="240" t="n"/>
      <c r="O49" s="240" t="n"/>
      <c r="P49" s="240" t="n"/>
      <c r="Q49" s="240" t="n"/>
      <c r="R49" s="240" t="n"/>
      <c r="S49" s="240" t="n"/>
    </row>
    <row r="50" ht="16.2" customHeight="1" s="176">
      <c r="B50" s="237" t="n"/>
      <c r="C50" s="238" t="n"/>
      <c r="D50" s="261" t="n"/>
      <c r="E50" s="261" t="n"/>
      <c r="F50" s="261" t="n"/>
      <c r="G50" s="261" t="n"/>
      <c r="H50" s="261" t="n"/>
      <c r="I50" s="261" t="n"/>
      <c r="J50" s="261" t="n"/>
      <c r="K50" s="239" t="n"/>
      <c r="L50" s="239" t="n"/>
      <c r="M50" s="239" t="n"/>
      <c r="N50" s="239" t="n"/>
      <c r="O50" s="239" t="n"/>
      <c r="P50" s="239" t="n"/>
      <c r="Q50" s="239" t="n"/>
      <c r="R50" s="239" t="n"/>
      <c r="S50" s="239" t="n"/>
    </row>
    <row r="51" ht="40.2" customHeight="1" s="176">
      <c r="B51" s="190" t="inlineStr">
        <is>
          <t>Category of Service</t>
        </is>
      </c>
      <c r="C51" s="221" t="inlineStr">
        <is>
          <t>Units</t>
        </is>
      </c>
      <c r="D51" s="221" t="inlineStr">
        <is>
          <t>Contract code</t>
        </is>
      </c>
      <c r="E51" s="221" t="inlineStr">
        <is>
          <t>Contract code</t>
        </is>
      </c>
      <c r="F51" s="221" t="inlineStr">
        <is>
          <t>Country</t>
        </is>
      </c>
      <c r="G51" s="221" t="inlineStr">
        <is>
          <t>Description</t>
        </is>
      </c>
      <c r="H51" s="221" t="inlineStr">
        <is>
          <t>I/L/C/D</t>
        </is>
      </c>
      <c r="I51" s="221" t="inlineStr">
        <is>
          <t>Start date</t>
        </is>
      </c>
      <c r="J51" s="221" t="inlineStr">
        <is>
          <t>Duration</t>
        </is>
      </c>
      <c r="K51" s="222" t="inlineStr">
        <is>
          <t>Volume</t>
        </is>
      </c>
      <c r="L51" s="222" t="inlineStr">
        <is>
          <t>Investement/Contract amount</t>
        </is>
      </c>
      <c r="M51" s="222" t="inlineStr">
        <is>
          <t>Current month</t>
        </is>
      </c>
      <c r="N51" s="222" t="inlineStr">
        <is>
          <t>Ytd</t>
        </is>
      </c>
      <c r="O51" s="222" t="inlineStr">
        <is>
          <t>Year 1</t>
        </is>
      </c>
      <c r="P51" s="222" t="inlineStr">
        <is>
          <t>Year 2</t>
        </is>
      </c>
      <c r="Q51" s="222" t="inlineStr">
        <is>
          <t>Year 3</t>
        </is>
      </c>
      <c r="R51" s="222" t="inlineStr">
        <is>
          <t>Year 4</t>
        </is>
      </c>
      <c r="S51" s="223" t="inlineStr">
        <is>
          <t>Year 5</t>
        </is>
      </c>
    </row>
    <row r="52" ht="13.8" customHeight="1" s="176">
      <c r="B52" s="230" t="inlineStr">
        <is>
          <t>Packages Distributed per year</t>
        </is>
      </c>
      <c r="C52" s="230" t="inlineStr">
        <is>
          <t>Desktops per location code</t>
        </is>
      </c>
      <c r="D52" s="230" t="n"/>
      <c r="E52" s="230" t="n"/>
      <c r="F52" s="230" t="n"/>
      <c r="G52" s="230" t="n"/>
      <c r="H52" s="230" t="n"/>
      <c r="I52" s="230" t="n"/>
      <c r="J52" s="230" t="n"/>
      <c r="K52" s="259" t="n"/>
      <c r="L52" s="259" t="n"/>
      <c r="M52" s="259" t="n"/>
      <c r="N52" s="259" t="n"/>
      <c r="O52" s="259" t="n"/>
      <c r="P52" s="259" t="n"/>
      <c r="Q52" s="259" t="n"/>
      <c r="R52" s="259" t="n"/>
      <c r="S52" s="259" t="n"/>
    </row>
    <row r="53" ht="13.8" customHeight="1" s="176">
      <c r="B53" s="233" t="n"/>
      <c r="C53" s="234" t="inlineStr">
        <is>
          <t>Subtotal:</t>
        </is>
      </c>
      <c r="D53" s="234" t="n"/>
      <c r="E53" s="234" t="n"/>
      <c r="F53" s="234" t="n"/>
      <c r="G53" s="234" t="n"/>
      <c r="H53" s="234" t="n"/>
      <c r="I53" s="234" t="n"/>
      <c r="J53" s="234" t="n"/>
      <c r="K53" s="260">
        <f>SUM(K52)</f>
        <v/>
      </c>
      <c r="L53" s="260">
        <f>SUM(L52)</f>
        <v/>
      </c>
      <c r="M53" s="260">
        <f>SUM(M52)</f>
        <v/>
      </c>
      <c r="N53" s="260">
        <f>SUM(N52)</f>
        <v/>
      </c>
      <c r="O53" s="260">
        <f>SUM(O52)</f>
        <v/>
      </c>
      <c r="P53" s="260">
        <f>SUM(P52)</f>
        <v/>
      </c>
      <c r="Q53" s="260">
        <f>SUM(Q52)</f>
        <v/>
      </c>
      <c r="R53" s="260">
        <f>SUM(R52)</f>
        <v/>
      </c>
      <c r="S53" s="260">
        <f>SUM(S52)</f>
        <v/>
      </c>
    </row>
    <row r="54" ht="13.8" customHeight="1" s="176">
      <c r="B54" s="241" t="n"/>
      <c r="C54" s="242" t="n"/>
      <c r="D54" s="242" t="n"/>
      <c r="E54" s="242" t="n"/>
      <c r="F54" s="242" t="n"/>
      <c r="G54" s="242" t="n"/>
      <c r="H54" s="242" t="n"/>
      <c r="I54" s="242" t="n"/>
      <c r="J54" s="242" t="n"/>
      <c r="K54" s="262" t="n"/>
      <c r="L54" s="262" t="n"/>
      <c r="M54" s="262" t="n"/>
      <c r="N54" s="262" t="n"/>
      <c r="O54" s="262" t="n"/>
      <c r="P54" s="262" t="n"/>
      <c r="Q54" s="262" t="n"/>
      <c r="R54" s="262" t="n"/>
      <c r="S54" s="262" t="n"/>
    </row>
    <row r="55" ht="15.6" customHeight="1" s="176">
      <c r="B55" s="245" t="n"/>
      <c r="C55" s="246" t="inlineStr">
        <is>
          <t>Total End User Computing:</t>
        </is>
      </c>
      <c r="D55" s="263" t="n"/>
      <c r="E55" s="263" t="n"/>
      <c r="F55" s="263" t="n"/>
      <c r="G55" s="263" t="n"/>
      <c r="H55" s="263" t="n"/>
      <c r="I55" s="263" t="n"/>
      <c r="J55" s="263" t="n"/>
      <c r="K55" s="247">
        <f>K17+K25+K39+K47+K53</f>
        <v/>
      </c>
      <c r="L55" s="247">
        <f>L17+L25+L39+L47+L53</f>
        <v/>
      </c>
      <c r="M55" s="247">
        <f>M17+M25+M39+M47+M53</f>
        <v/>
      </c>
      <c r="N55" s="247">
        <f>N17+N25+N39+N47+N53</f>
        <v/>
      </c>
      <c r="O55" s="247">
        <f>O17+O25+O39+O47+O53</f>
        <v/>
      </c>
      <c r="P55" s="247">
        <f>P17+P25+P39+P47+P53</f>
        <v/>
      </c>
      <c r="Q55" s="247">
        <f>Q17+Q25+Q39+Q47+Q53</f>
        <v/>
      </c>
      <c r="R55" s="247">
        <f>R17+R25+R39+R47+R53</f>
        <v/>
      </c>
      <c r="S55" s="247">
        <f>S17+S25+S39+S47+S53</f>
        <v/>
      </c>
    </row>
    <row r="56" ht="16.2" customHeight="1" s="176">
      <c r="B56" s="237" t="n"/>
      <c r="C56" s="238" t="n"/>
      <c r="D56" s="261" t="n"/>
      <c r="E56" s="261" t="n"/>
      <c r="F56" s="261" t="n"/>
      <c r="G56" s="261" t="n"/>
      <c r="H56" s="261" t="n"/>
      <c r="I56" s="261" t="n"/>
      <c r="J56" s="261" t="n"/>
      <c r="K56" s="239" t="n"/>
      <c r="L56" s="239" t="n"/>
      <c r="M56" s="239" t="n"/>
      <c r="N56" s="239" t="n"/>
      <c r="O56" s="239" t="n"/>
      <c r="P56" s="239" t="n"/>
      <c r="Q56" s="239" t="n"/>
      <c r="R56" s="239" t="n"/>
      <c r="S56" s="239" t="n"/>
    </row>
    <row r="57" ht="16.2" customHeight="1" s="176">
      <c r="B57" s="190" t="inlineStr">
        <is>
          <t>Service Desk - Vendor Gamma</t>
        </is>
      </c>
      <c r="C57" s="216" t="n"/>
      <c r="D57" s="217" t="n"/>
      <c r="E57" s="217" t="n"/>
      <c r="F57" s="217" t="n"/>
      <c r="G57" s="217" t="n"/>
      <c r="H57" s="217" t="n"/>
      <c r="I57" s="217" t="n"/>
      <c r="J57" s="217" t="n"/>
      <c r="K57" s="240" t="n"/>
      <c r="L57" s="240" t="n"/>
      <c r="M57" s="240" t="n"/>
      <c r="N57" s="240" t="n"/>
      <c r="O57" s="240" t="n"/>
      <c r="P57" s="240" t="n"/>
      <c r="Q57" s="240" t="n"/>
      <c r="R57" s="240" t="n"/>
      <c r="S57" s="240" t="n"/>
    </row>
    <row r="58" ht="16.2" customHeight="1" s="176">
      <c r="B58" s="237" t="n"/>
      <c r="C58" s="238" t="n"/>
      <c r="D58" s="261" t="n"/>
      <c r="E58" s="261" t="n"/>
      <c r="F58" s="261" t="n"/>
      <c r="G58" s="261" t="n"/>
      <c r="H58" s="261" t="n"/>
      <c r="I58" s="261" t="n"/>
      <c r="J58" s="261" t="n"/>
      <c r="K58" s="239" t="n"/>
      <c r="L58" s="239" t="n"/>
      <c r="M58" s="239" t="n"/>
      <c r="N58" s="239" t="n"/>
      <c r="O58" s="239" t="n"/>
      <c r="P58" s="239" t="n"/>
      <c r="Q58" s="239" t="n"/>
      <c r="R58" s="239" t="n"/>
      <c r="S58" s="239" t="n"/>
    </row>
    <row r="59" ht="40.2" customHeight="1" s="176">
      <c r="B59" s="190" t="inlineStr">
        <is>
          <t>Category of Service</t>
        </is>
      </c>
      <c r="C59" s="221" t="inlineStr">
        <is>
          <t>Units</t>
        </is>
      </c>
      <c r="D59" s="221" t="inlineStr">
        <is>
          <t>Contract code</t>
        </is>
      </c>
      <c r="E59" s="221" t="inlineStr">
        <is>
          <t>Contract code</t>
        </is>
      </c>
      <c r="F59" s="221" t="inlineStr">
        <is>
          <t>Country</t>
        </is>
      </c>
      <c r="G59" s="221" t="inlineStr">
        <is>
          <t>Description</t>
        </is>
      </c>
      <c r="H59" s="221" t="inlineStr">
        <is>
          <t>I/L/C/D</t>
        </is>
      </c>
      <c r="I59" s="221" t="inlineStr">
        <is>
          <t>Start date</t>
        </is>
      </c>
      <c r="J59" s="221" t="inlineStr">
        <is>
          <t>Duration</t>
        </is>
      </c>
      <c r="K59" s="222" t="inlineStr">
        <is>
          <t>Volume</t>
        </is>
      </c>
      <c r="L59" s="222" t="inlineStr">
        <is>
          <t>Investement/Contract amount</t>
        </is>
      </c>
      <c r="M59" s="222" t="inlineStr">
        <is>
          <t>Current month</t>
        </is>
      </c>
      <c r="N59" s="222" t="inlineStr">
        <is>
          <t>Ytd</t>
        </is>
      </c>
      <c r="O59" s="222" t="inlineStr">
        <is>
          <t>Year 1</t>
        </is>
      </c>
      <c r="P59" s="222" t="inlineStr">
        <is>
          <t>Year 2</t>
        </is>
      </c>
      <c r="Q59" s="222" t="inlineStr">
        <is>
          <t>Year 3</t>
        </is>
      </c>
      <c r="R59" s="222" t="inlineStr">
        <is>
          <t>Year 4</t>
        </is>
      </c>
      <c r="S59" s="223" t="inlineStr">
        <is>
          <t>Year 5</t>
        </is>
      </c>
    </row>
    <row r="60" ht="13.2" customHeight="1" s="176">
      <c r="B60" s="204" t="inlineStr">
        <is>
          <t>Seats Supported</t>
        </is>
      </c>
      <c r="C60" s="204" t="inlineStr">
        <is>
          <t>Physical users</t>
        </is>
      </c>
      <c r="D60" s="204" t="n"/>
      <c r="E60" s="204" t="n"/>
      <c r="F60" s="204" t="n"/>
      <c r="G60" s="204" t="n"/>
      <c r="H60" s="204" t="n"/>
      <c r="I60" s="204" t="n"/>
      <c r="J60" s="204" t="n"/>
      <c r="K60" s="258" t="n"/>
      <c r="L60" s="258" t="n"/>
      <c r="M60" s="258" t="n"/>
      <c r="N60" s="258" t="n"/>
      <c r="O60" s="258" t="n"/>
      <c r="P60" s="258" t="n"/>
      <c r="Q60" s="258" t="n"/>
      <c r="R60" s="258" t="n"/>
      <c r="S60" s="258" t="n"/>
    </row>
    <row r="61" ht="13.8" customHeight="1" s="176">
      <c r="B61" s="241" t="n"/>
      <c r="C61" s="242" t="n"/>
      <c r="D61" s="242" t="n"/>
      <c r="E61" s="242" t="n"/>
      <c r="F61" s="242" t="n"/>
      <c r="G61" s="242" t="n"/>
      <c r="H61" s="242" t="n"/>
      <c r="I61" s="242" t="n"/>
      <c r="J61" s="242" t="n"/>
      <c r="K61" s="262" t="n"/>
      <c r="L61" s="262" t="n"/>
      <c r="M61" s="262" t="n"/>
      <c r="N61" s="262" t="n"/>
      <c r="O61" s="262" t="n"/>
      <c r="P61" s="262" t="n"/>
      <c r="Q61" s="262" t="n"/>
      <c r="R61" s="262" t="n"/>
      <c r="S61" s="262" t="n"/>
    </row>
    <row r="62" ht="15.6" customHeight="1" s="176">
      <c r="B62" s="245" t="n"/>
      <c r="C62" s="246" t="inlineStr">
        <is>
          <t>Total Sevice Desk:</t>
        </is>
      </c>
      <c r="D62" s="263" t="n"/>
      <c r="E62" s="263" t="n"/>
      <c r="F62" s="263" t="n"/>
      <c r="G62" s="263" t="n"/>
      <c r="H62" s="263" t="n"/>
      <c r="I62" s="263" t="n"/>
      <c r="J62" s="263" t="n"/>
      <c r="K62" s="247">
        <f>SUM(K60)</f>
        <v/>
      </c>
      <c r="L62" s="247">
        <f>SUM(L60)</f>
        <v/>
      </c>
      <c r="M62" s="247">
        <f>SUM(M60)</f>
        <v/>
      </c>
      <c r="N62" s="247">
        <f>SUM(N60)</f>
        <v/>
      </c>
      <c r="O62" s="247">
        <f>SUM(O60)</f>
        <v/>
      </c>
      <c r="P62" s="247">
        <f>SUM(P60)</f>
        <v/>
      </c>
      <c r="Q62" s="247">
        <f>SUM(Q60)</f>
        <v/>
      </c>
      <c r="R62" s="247">
        <f>SUM(R60)</f>
        <v/>
      </c>
      <c r="S62" s="247">
        <f>SUM(S60)</f>
        <v/>
      </c>
    </row>
    <row r="63" ht="16.2" customHeight="1" s="176">
      <c r="B63" s="237" t="n"/>
      <c r="C63" s="238" t="n"/>
      <c r="D63" s="261" t="n"/>
      <c r="E63" s="261" t="n"/>
      <c r="F63" s="261" t="n"/>
      <c r="G63" s="261" t="n"/>
      <c r="H63" s="261" t="n"/>
      <c r="I63" s="261" t="n"/>
      <c r="J63" s="261" t="n"/>
      <c r="K63" s="239" t="n"/>
      <c r="L63" s="239" t="n"/>
      <c r="M63" s="239" t="n"/>
      <c r="N63" s="239" t="n"/>
      <c r="O63" s="239" t="n"/>
      <c r="P63" s="239" t="n"/>
      <c r="Q63" s="239" t="n"/>
      <c r="R63" s="239" t="n"/>
      <c r="S63" s="239" t="n"/>
    </row>
    <row r="64" ht="16.2" customHeight="1" s="176">
      <c r="B64" s="190" t="inlineStr">
        <is>
          <t>Lan Services - TelCo</t>
        </is>
      </c>
      <c r="C64" s="216" t="n"/>
      <c r="D64" s="217" t="n"/>
      <c r="E64" s="217" t="n"/>
      <c r="F64" s="217" t="n"/>
      <c r="G64" s="217" t="n"/>
      <c r="H64" s="217" t="n"/>
      <c r="I64" s="217" t="n"/>
      <c r="J64" s="217" t="n"/>
      <c r="K64" s="240" t="n"/>
      <c r="L64" s="240" t="n"/>
      <c r="M64" s="240" t="n"/>
      <c r="N64" s="240" t="n"/>
      <c r="O64" s="240" t="n"/>
      <c r="P64" s="240" t="n"/>
      <c r="Q64" s="240" t="n"/>
      <c r="R64" s="240" t="n"/>
      <c r="S64" s="240" t="n"/>
    </row>
    <row r="65" ht="16.2" customHeight="1" s="176">
      <c r="B65" s="237" t="n"/>
      <c r="C65" s="238" t="n"/>
      <c r="D65" s="261" t="n"/>
      <c r="E65" s="261" t="n"/>
      <c r="F65" s="261" t="n"/>
      <c r="G65" s="261" t="n"/>
      <c r="H65" s="261" t="n"/>
      <c r="I65" s="261" t="n"/>
      <c r="J65" s="261" t="n"/>
      <c r="K65" s="239" t="n"/>
      <c r="L65" s="239" t="n"/>
      <c r="M65" s="239" t="n"/>
      <c r="N65" s="239" t="n"/>
      <c r="O65" s="239" t="n"/>
      <c r="P65" s="239" t="n"/>
      <c r="Q65" s="239" t="n"/>
      <c r="R65" s="239" t="n"/>
      <c r="S65" s="239" t="n"/>
    </row>
    <row r="66" ht="40.2" customHeight="1" s="176">
      <c r="B66" s="190" t="inlineStr">
        <is>
          <t>Category of Service</t>
        </is>
      </c>
      <c r="C66" s="221" t="inlineStr">
        <is>
          <t>Units</t>
        </is>
      </c>
      <c r="D66" s="221" t="inlineStr">
        <is>
          <t>Contract code</t>
        </is>
      </c>
      <c r="E66" s="221" t="inlineStr">
        <is>
          <t>Contract code</t>
        </is>
      </c>
      <c r="F66" s="221" t="inlineStr">
        <is>
          <t>Country</t>
        </is>
      </c>
      <c r="G66" s="221" t="inlineStr">
        <is>
          <t>Description</t>
        </is>
      </c>
      <c r="H66" s="221" t="inlineStr">
        <is>
          <t>I/L/C/D</t>
        </is>
      </c>
      <c r="I66" s="221" t="inlineStr">
        <is>
          <t>Start date</t>
        </is>
      </c>
      <c r="J66" s="221" t="inlineStr">
        <is>
          <t>Duration</t>
        </is>
      </c>
      <c r="K66" s="222" t="inlineStr">
        <is>
          <t>Volume</t>
        </is>
      </c>
      <c r="L66" s="222" t="inlineStr">
        <is>
          <t>Investement/Contract amount</t>
        </is>
      </c>
      <c r="M66" s="222" t="inlineStr">
        <is>
          <t>Current month</t>
        </is>
      </c>
      <c r="N66" s="222" t="inlineStr">
        <is>
          <t>Ytd</t>
        </is>
      </c>
      <c r="O66" s="222" t="inlineStr">
        <is>
          <t>Year 1</t>
        </is>
      </c>
      <c r="P66" s="222" t="inlineStr">
        <is>
          <t>Year 2</t>
        </is>
      </c>
      <c r="Q66" s="222" t="inlineStr">
        <is>
          <t>Year 3</t>
        </is>
      </c>
      <c r="R66" s="222" t="inlineStr">
        <is>
          <t>Year 4</t>
        </is>
      </c>
      <c r="S66" s="223" t="inlineStr">
        <is>
          <t>Year 5</t>
        </is>
      </c>
    </row>
    <row r="67" ht="13.2" customHeight="1" s="176">
      <c r="B67" s="204" t="inlineStr">
        <is>
          <t>LAN-Attached Devices</t>
        </is>
      </c>
      <c r="C67" s="204" t="inlineStr">
        <is>
          <t>Active ports</t>
        </is>
      </c>
      <c r="D67" s="204" t="n"/>
      <c r="E67" s="204" t="n"/>
      <c r="F67" s="204" t="n"/>
      <c r="G67" s="204" t="n"/>
      <c r="H67" s="204" t="n"/>
      <c r="I67" s="204" t="n"/>
      <c r="J67" s="204" t="n"/>
      <c r="K67" s="258" t="n"/>
      <c r="L67" s="258" t="n"/>
      <c r="M67" s="258" t="n"/>
      <c r="N67" s="258" t="n"/>
      <c r="O67" s="258" t="n"/>
      <c r="P67" s="258" t="n"/>
      <c r="Q67" s="258" t="n"/>
      <c r="R67" s="258" t="n"/>
      <c r="S67" s="258" t="n"/>
    </row>
    <row r="68" ht="13.2" customHeight="1" s="176">
      <c r="B68" s="204" t="inlineStr">
        <is>
          <t>Monitoring LAN ports</t>
        </is>
      </c>
      <c r="C68" s="204" t="inlineStr">
        <is>
          <t>Active ports</t>
        </is>
      </c>
      <c r="D68" s="204" t="n"/>
      <c r="E68" s="204" t="n"/>
      <c r="F68" s="204" t="n"/>
      <c r="G68" s="204" t="n"/>
      <c r="H68" s="204" t="n"/>
      <c r="I68" s="204" t="n"/>
      <c r="J68" s="204" t="n"/>
      <c r="K68" s="258" t="n"/>
      <c r="L68" s="258" t="n"/>
      <c r="M68" s="258" t="n"/>
      <c r="N68" s="258" t="n"/>
      <c r="O68" s="258" t="n"/>
      <c r="P68" s="258" t="n"/>
      <c r="Q68" s="258" t="n"/>
      <c r="R68" s="258" t="n"/>
      <c r="S68" s="262" t="n"/>
    </row>
    <row r="69" ht="13.8" customHeight="1" s="176">
      <c r="B69" s="241" t="n"/>
      <c r="C69" s="242" t="n"/>
      <c r="D69" s="242" t="n"/>
      <c r="E69" s="242" t="n"/>
      <c r="F69" s="242" t="n"/>
      <c r="G69" s="242" t="n"/>
      <c r="H69" s="242" t="n"/>
      <c r="I69" s="242" t="n"/>
      <c r="J69" s="242" t="n"/>
      <c r="K69" s="262" t="n"/>
      <c r="L69" s="262" t="n"/>
      <c r="M69" s="262" t="n"/>
      <c r="N69" s="262" t="n"/>
      <c r="O69" s="262" t="n"/>
      <c r="P69" s="262" t="n"/>
      <c r="Q69" s="262" t="n"/>
      <c r="R69" s="262" t="n"/>
      <c r="S69" s="262" t="n"/>
    </row>
    <row r="70" ht="15.6" customHeight="1" s="176">
      <c r="B70" s="245" t="n"/>
      <c r="C70" s="246" t="inlineStr">
        <is>
          <t>Total LAN Services:</t>
        </is>
      </c>
      <c r="D70" s="263" t="n"/>
      <c r="E70" s="263" t="n"/>
      <c r="F70" s="263" t="n"/>
      <c r="G70" s="263" t="n"/>
      <c r="H70" s="263" t="n"/>
      <c r="I70" s="263" t="n"/>
      <c r="J70" s="263" t="n"/>
      <c r="K70" s="247">
        <f>SUM(K67)</f>
        <v/>
      </c>
      <c r="L70" s="247">
        <f>SUM(L67)</f>
        <v/>
      </c>
      <c r="M70" s="247">
        <f>SUM(M67)</f>
        <v/>
      </c>
      <c r="N70" s="247">
        <f>SUM(N67)</f>
        <v/>
      </c>
      <c r="O70" s="247">
        <f>SUM(O67)</f>
        <v/>
      </c>
      <c r="P70" s="247">
        <f>SUM(P67)</f>
        <v/>
      </c>
      <c r="Q70" s="247">
        <f>SUM(Q67)</f>
        <v/>
      </c>
      <c r="R70" s="247">
        <f>SUM(R67)</f>
        <v/>
      </c>
      <c r="S70" s="247">
        <f>SUM(S67)</f>
        <v/>
      </c>
    </row>
    <row r="71" ht="16.2" customHeight="1" s="176">
      <c r="B71" s="237" t="n"/>
      <c r="C71" s="238" t="n"/>
      <c r="D71" s="261" t="n"/>
      <c r="E71" s="261" t="n"/>
      <c r="F71" s="261" t="n"/>
      <c r="G71" s="261" t="n"/>
      <c r="H71" s="261" t="n"/>
      <c r="I71" s="261" t="n"/>
      <c r="J71" s="261" t="n"/>
      <c r="K71" s="239" t="n"/>
      <c r="L71" s="239" t="n"/>
      <c r="M71" s="239" t="n"/>
      <c r="N71" s="239" t="n"/>
      <c r="O71" s="239" t="n"/>
      <c r="P71" s="239" t="n"/>
      <c r="Q71" s="239" t="n"/>
      <c r="R71" s="239" t="n"/>
      <c r="S71" s="239" t="n"/>
    </row>
    <row r="72" ht="16.2" customHeight="1" s="176">
      <c r="B72" s="190" t="inlineStr">
        <is>
          <t>Voice Services - TelCo</t>
        </is>
      </c>
      <c r="C72" s="216" t="n"/>
      <c r="D72" s="217" t="n"/>
      <c r="E72" s="217" t="n"/>
      <c r="F72" s="217" t="n"/>
      <c r="G72" s="217" t="n"/>
      <c r="H72" s="217" t="n"/>
      <c r="I72" s="217" t="n"/>
      <c r="J72" s="217" t="n"/>
      <c r="K72" s="240" t="n"/>
      <c r="L72" s="240" t="n"/>
      <c r="M72" s="240" t="n"/>
      <c r="N72" s="240" t="n"/>
      <c r="O72" s="240" t="n"/>
      <c r="P72" s="240" t="n"/>
      <c r="Q72" s="240" t="n"/>
      <c r="R72" s="240" t="n"/>
      <c r="S72" s="240" t="n"/>
    </row>
    <row r="73" ht="16.2" customHeight="1" s="176">
      <c r="B73" s="237" t="n"/>
      <c r="C73" s="238" t="n"/>
      <c r="D73" s="261" t="n"/>
      <c r="E73" s="261" t="n"/>
      <c r="F73" s="261" t="n"/>
      <c r="G73" s="261" t="n"/>
      <c r="H73" s="261" t="n"/>
      <c r="I73" s="261" t="n"/>
      <c r="J73" s="261" t="n"/>
      <c r="K73" s="239" t="n"/>
      <c r="L73" s="239" t="n"/>
      <c r="M73" s="239" t="n"/>
      <c r="N73" s="239" t="n"/>
      <c r="O73" s="239" t="n"/>
      <c r="P73" s="239" t="n"/>
      <c r="Q73" s="239" t="n"/>
      <c r="R73" s="239" t="n"/>
      <c r="S73" s="239" t="n"/>
    </row>
    <row r="74" ht="40.2" customHeight="1" s="176">
      <c r="B74" s="190" t="inlineStr">
        <is>
          <t>Category of Service</t>
        </is>
      </c>
      <c r="C74" s="221" t="inlineStr">
        <is>
          <t>Units</t>
        </is>
      </c>
      <c r="D74" s="221" t="inlineStr">
        <is>
          <t>Contract code</t>
        </is>
      </c>
      <c r="E74" s="221" t="inlineStr">
        <is>
          <t>Contract code</t>
        </is>
      </c>
      <c r="F74" s="221" t="inlineStr">
        <is>
          <t>Country</t>
        </is>
      </c>
      <c r="G74" s="221" t="inlineStr">
        <is>
          <t>Description</t>
        </is>
      </c>
      <c r="H74" s="221" t="inlineStr">
        <is>
          <t>I/L/C/D</t>
        </is>
      </c>
      <c r="I74" s="221" t="inlineStr">
        <is>
          <t>Start date</t>
        </is>
      </c>
      <c r="J74" s="221" t="inlineStr">
        <is>
          <t>Duration</t>
        </is>
      </c>
      <c r="K74" s="222" t="inlineStr">
        <is>
          <t>Volume</t>
        </is>
      </c>
      <c r="L74" s="222" t="inlineStr">
        <is>
          <t>Investement/Contract amount</t>
        </is>
      </c>
      <c r="M74" s="222" t="inlineStr">
        <is>
          <t>Current month</t>
        </is>
      </c>
      <c r="N74" s="222" t="inlineStr">
        <is>
          <t>Ytd</t>
        </is>
      </c>
      <c r="O74" s="222" t="inlineStr">
        <is>
          <t>Year 1</t>
        </is>
      </c>
      <c r="P74" s="222" t="inlineStr">
        <is>
          <t>Year 2</t>
        </is>
      </c>
      <c r="Q74" s="222" t="inlineStr">
        <is>
          <t>Year 3</t>
        </is>
      </c>
      <c r="R74" s="222" t="inlineStr">
        <is>
          <t>Year 4</t>
        </is>
      </c>
      <c r="S74" s="223" t="inlineStr">
        <is>
          <t>Year 5</t>
        </is>
      </c>
    </row>
    <row r="75" ht="13.2" customHeight="1" s="176">
      <c r="B75" s="192" t="inlineStr">
        <is>
          <t>Call Centers</t>
        </is>
      </c>
      <c r="C75" s="192" t="inlineStr">
        <is>
          <t>Seats</t>
        </is>
      </c>
      <c r="D75" s="192" t="n"/>
      <c r="E75" s="192" t="n"/>
      <c r="F75" s="192" t="n"/>
      <c r="G75" s="192" t="n"/>
      <c r="H75" s="192" t="n"/>
      <c r="I75" s="192" t="n"/>
      <c r="J75" s="192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</row>
    <row r="76" ht="13.2" customHeight="1" s="176">
      <c r="B76" s="195" t="inlineStr">
        <is>
          <t>Employee ISDN</t>
        </is>
      </c>
      <c r="C76" s="195" t="inlineStr">
        <is>
          <t>ISDN subscriptions</t>
        </is>
      </c>
      <c r="D76" s="195" t="n"/>
      <c r="E76" s="195" t="n"/>
      <c r="F76" s="195" t="n"/>
      <c r="G76" s="195" t="n"/>
      <c r="H76" s="195" t="n"/>
      <c r="I76" s="195" t="n"/>
      <c r="J76" s="195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</row>
    <row r="77" ht="13.2" customHeight="1" s="176">
      <c r="B77" s="195" t="inlineStr">
        <is>
          <t>Video conferencing</t>
        </is>
      </c>
      <c r="C77" s="195" t="inlineStr">
        <is>
          <t>Video conference rooms</t>
        </is>
      </c>
      <c r="D77" s="195" t="n"/>
      <c r="E77" s="195" t="n"/>
      <c r="F77" s="195" t="n"/>
      <c r="G77" s="195" t="n"/>
      <c r="H77" s="195" t="n"/>
      <c r="I77" s="195" t="n"/>
      <c r="J77" s="195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</row>
    <row r="78" ht="13.2" customHeight="1" s="176">
      <c r="B78" s="195" t="inlineStr">
        <is>
          <t>Handsets - Digital (incl. DECT)</t>
        </is>
      </c>
      <c r="C78" s="195" t="inlineStr">
        <is>
          <t>Sets</t>
        </is>
      </c>
      <c r="D78" s="195" t="n"/>
      <c r="E78" s="195" t="n"/>
      <c r="F78" s="195" t="n"/>
      <c r="G78" s="195" t="n"/>
      <c r="H78" s="195" t="n"/>
      <c r="I78" s="195" t="n"/>
      <c r="J78" s="195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</row>
    <row r="79" ht="13.2" customHeight="1" s="176">
      <c r="B79" s="192" t="inlineStr">
        <is>
          <t>Handsets - Analog</t>
        </is>
      </c>
      <c r="C79" s="192" t="inlineStr">
        <is>
          <t>Sets</t>
        </is>
      </c>
      <c r="D79" s="192" t="n"/>
      <c r="E79" s="192" t="n"/>
      <c r="F79" s="192" t="n"/>
      <c r="G79" s="192" t="n"/>
      <c r="H79" s="192" t="n"/>
      <c r="I79" s="192" t="n"/>
      <c r="J79" s="192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</row>
    <row r="80" ht="13.2" customHeight="1" s="176">
      <c r="B80" s="195" t="inlineStr">
        <is>
          <t>Cellular Phones management fee</t>
        </is>
      </c>
      <c r="C80" s="195" t="inlineStr">
        <is>
          <t>Subscriptions</t>
        </is>
      </c>
      <c r="D80" s="192" t="n"/>
      <c r="E80" s="192" t="n"/>
      <c r="F80" s="192" t="n"/>
      <c r="G80" s="192" t="n"/>
      <c r="H80" s="192" t="n"/>
      <c r="I80" s="192" t="n"/>
      <c r="J80" s="192" t="n"/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</row>
    <row r="81" ht="13.2" customHeight="1" s="176">
      <c r="B81" s="195" t="inlineStr">
        <is>
          <t>Cellular Phones subscription</t>
        </is>
      </c>
      <c r="C81" s="195" t="inlineStr">
        <is>
          <t>Subscriptions</t>
        </is>
      </c>
      <c r="D81" s="195" t="n"/>
      <c r="E81" s="195" t="n"/>
      <c r="F81" s="195" t="n"/>
      <c r="G81" s="195" t="n"/>
      <c r="H81" s="195" t="n"/>
      <c r="I81" s="195" t="n"/>
      <c r="J81" s="195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</row>
    <row r="82" ht="13.2" customHeight="1" s="176">
      <c r="B82" s="204" t="inlineStr">
        <is>
          <t>Cellular Phones refresh</t>
        </is>
      </c>
      <c r="C82" s="204" t="inlineStr">
        <is>
          <t>Devices</t>
        </is>
      </c>
      <c r="D82" s="204" t="n"/>
      <c r="E82" s="204" t="n"/>
      <c r="F82" s="204" t="n"/>
      <c r="G82" s="204" t="n"/>
      <c r="H82" s="204" t="n"/>
      <c r="I82" s="204" t="n"/>
      <c r="J82" s="204" t="n"/>
      <c r="K82" s="258" t="n"/>
      <c r="L82" s="258" t="n"/>
      <c r="M82" s="258" t="n"/>
      <c r="N82" s="258" t="n"/>
      <c r="O82" s="258" t="n"/>
      <c r="P82" s="258" t="n"/>
      <c r="Q82" s="258" t="n"/>
      <c r="R82" s="258" t="n"/>
      <c r="S82" s="258" t="n"/>
    </row>
    <row r="83" ht="13.2" customHeight="1" s="176">
      <c r="B83" s="195" t="inlineStr">
        <is>
          <t>GPRS/UMTS Cards or Devices management fee</t>
        </is>
      </c>
      <c r="C83" s="195" t="inlineStr">
        <is>
          <t>Subscriptions</t>
        </is>
      </c>
      <c r="D83" s="192" t="n"/>
      <c r="E83" s="192" t="n"/>
      <c r="F83" s="192" t="n"/>
      <c r="G83" s="192" t="n"/>
      <c r="H83" s="192" t="n"/>
      <c r="I83" s="192" t="n"/>
      <c r="J83" s="192" t="n"/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</row>
    <row r="84" ht="13.2" customHeight="1" s="176">
      <c r="B84" s="195" t="inlineStr">
        <is>
          <t>GPRS/UMTS Cards or Devices subscription</t>
        </is>
      </c>
      <c r="C84" s="195" t="inlineStr">
        <is>
          <t>Subscriptions</t>
        </is>
      </c>
      <c r="D84" s="195" t="n"/>
      <c r="E84" s="195" t="n"/>
      <c r="F84" s="195" t="n"/>
      <c r="G84" s="195" t="n"/>
      <c r="H84" s="195" t="n"/>
      <c r="I84" s="195" t="n"/>
      <c r="J84" s="195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</row>
    <row r="85" ht="13.2" customHeight="1" s="176">
      <c r="B85" s="204" t="inlineStr">
        <is>
          <t>GPRS/UMTS Cards or Devices refresh</t>
        </is>
      </c>
      <c r="C85" s="204" t="inlineStr">
        <is>
          <t>Devices</t>
        </is>
      </c>
      <c r="D85" s="204" t="n"/>
      <c r="E85" s="204" t="n"/>
      <c r="F85" s="204" t="n"/>
      <c r="G85" s="204" t="n"/>
      <c r="H85" s="204" t="n"/>
      <c r="I85" s="204" t="n"/>
      <c r="J85" s="204" t="n"/>
      <c r="K85" s="258" t="n"/>
      <c r="L85" s="258" t="n"/>
      <c r="M85" s="258" t="n"/>
      <c r="N85" s="258" t="n"/>
      <c r="O85" s="258" t="n"/>
      <c r="P85" s="258" t="n"/>
      <c r="Q85" s="258" t="n"/>
      <c r="R85" s="258" t="n"/>
      <c r="S85" s="258" t="n"/>
    </row>
    <row r="86" ht="13.2" customHeight="1" s="176">
      <c r="B86" s="195" t="inlineStr">
        <is>
          <t>Blackberries management fee</t>
        </is>
      </c>
      <c r="C86" s="195" t="inlineStr">
        <is>
          <t>Subscriptions</t>
        </is>
      </c>
      <c r="D86" s="192" t="n"/>
      <c r="E86" s="192" t="n"/>
      <c r="F86" s="192" t="n"/>
      <c r="G86" s="192" t="n"/>
      <c r="H86" s="192" t="n"/>
      <c r="I86" s="192" t="n"/>
      <c r="J86" s="192" t="n"/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</row>
    <row r="87" ht="13.2" customHeight="1" s="176">
      <c r="B87" s="195" t="inlineStr">
        <is>
          <t>Blackberries subscription (data)</t>
        </is>
      </c>
      <c r="C87" s="195" t="inlineStr">
        <is>
          <t>Subscriptions</t>
        </is>
      </c>
      <c r="D87" s="195" t="n"/>
      <c r="E87" s="195" t="n"/>
      <c r="F87" s="195" t="n"/>
      <c r="G87" s="195" t="n"/>
      <c r="H87" s="195" t="n"/>
      <c r="I87" s="195" t="n"/>
      <c r="J87" s="195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</row>
    <row r="88" ht="13.2" customHeight="1" s="176">
      <c r="B88" s="204" t="inlineStr">
        <is>
          <t>Blackberries refresh incl CAL licence</t>
        </is>
      </c>
      <c r="C88" s="204" t="inlineStr">
        <is>
          <t>Devices</t>
        </is>
      </c>
      <c r="D88" s="204" t="n"/>
      <c r="E88" s="204" t="n"/>
      <c r="F88" s="204" t="n"/>
      <c r="G88" s="204" t="n"/>
      <c r="H88" s="204" t="n"/>
      <c r="I88" s="204" t="n"/>
      <c r="J88" s="204" t="n"/>
      <c r="K88" s="258" t="n"/>
      <c r="L88" s="258" t="n"/>
      <c r="M88" s="258" t="n"/>
      <c r="N88" s="258" t="n"/>
      <c r="O88" s="258" t="n"/>
      <c r="P88" s="258" t="n"/>
      <c r="Q88" s="258" t="n"/>
      <c r="R88" s="258" t="n"/>
      <c r="S88" s="258" t="n"/>
    </row>
    <row r="89" ht="13.2" customHeight="1" s="176">
      <c r="B89" s="195" t="inlineStr">
        <is>
          <t>Internal Pagers management fee</t>
        </is>
      </c>
      <c r="C89" s="195" t="inlineStr">
        <is>
          <t>Devices</t>
        </is>
      </c>
      <c r="D89" s="192" t="n"/>
      <c r="E89" s="192" t="n"/>
      <c r="F89" s="192" t="n"/>
      <c r="G89" s="192" t="n"/>
      <c r="H89" s="192" t="n"/>
      <c r="I89" s="192" t="n"/>
      <c r="J89" s="192" t="n"/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</row>
    <row r="90" ht="13.2" customHeight="1" s="176">
      <c r="B90" s="195" t="inlineStr">
        <is>
          <t>Internal Pagers refresh</t>
        </is>
      </c>
      <c r="C90" s="195" t="inlineStr">
        <is>
          <t>Devices</t>
        </is>
      </c>
      <c r="D90" s="195" t="n"/>
      <c r="E90" s="195" t="n"/>
      <c r="F90" s="195" t="n"/>
      <c r="G90" s="195" t="n"/>
      <c r="H90" s="195" t="n"/>
      <c r="I90" s="195" t="n"/>
      <c r="J90" s="195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</row>
    <row r="91" ht="13.2" customHeight="1" s="176">
      <c r="B91" s="249" t="inlineStr">
        <is>
          <t>External Pagers management fee</t>
        </is>
      </c>
      <c r="C91" s="249" t="inlineStr">
        <is>
          <t>Devices</t>
        </is>
      </c>
      <c r="D91" s="249" t="n"/>
      <c r="E91" s="249" t="n"/>
      <c r="F91" s="249" t="n"/>
      <c r="G91" s="249" t="n"/>
      <c r="H91" s="249" t="n"/>
      <c r="I91" s="249" t="n"/>
      <c r="J91" s="249" t="n"/>
      <c r="K91" s="264" t="n"/>
      <c r="L91" s="264" t="n"/>
      <c r="M91" s="264" t="n"/>
      <c r="N91" s="264" t="n"/>
      <c r="O91" s="264" t="n"/>
      <c r="P91" s="264" t="n"/>
      <c r="Q91" s="264" t="n"/>
      <c r="R91" s="264" t="n"/>
      <c r="S91" s="264" t="n"/>
    </row>
    <row r="92" ht="13.8" customHeight="1" s="176">
      <c r="B92" s="230" t="inlineStr">
        <is>
          <t>External Pagers refresh</t>
        </is>
      </c>
      <c r="C92" s="230" t="inlineStr">
        <is>
          <t>Devices</t>
        </is>
      </c>
      <c r="D92" s="230" t="n"/>
      <c r="E92" s="230" t="n"/>
      <c r="F92" s="230" t="n"/>
      <c r="G92" s="230" t="n"/>
      <c r="H92" s="230" t="n"/>
      <c r="I92" s="230" t="n"/>
      <c r="J92" s="230" t="n"/>
      <c r="K92" s="259" t="n"/>
      <c r="L92" s="259" t="n"/>
      <c r="M92" s="259" t="n"/>
      <c r="N92" s="259" t="n"/>
      <c r="O92" s="259" t="n"/>
      <c r="P92" s="259" t="n"/>
      <c r="Q92" s="259" t="n"/>
      <c r="R92" s="259" t="n"/>
      <c r="S92" s="259" t="n"/>
    </row>
    <row r="93" ht="13.8" customHeight="1" s="176">
      <c r="B93" s="233" t="n"/>
      <c r="C93" s="234" t="inlineStr">
        <is>
          <t>Subtotal:</t>
        </is>
      </c>
      <c r="D93" s="234" t="n"/>
      <c r="E93" s="234" t="n"/>
      <c r="F93" s="234" t="n"/>
      <c r="G93" s="234" t="n"/>
      <c r="H93" s="234" t="n"/>
      <c r="I93" s="234" t="n"/>
      <c r="J93" s="234" t="n"/>
      <c r="K93" s="260">
        <f>SUM(K75:K92)</f>
        <v/>
      </c>
      <c r="L93" s="260">
        <f>SUM(L75:L92)</f>
        <v/>
      </c>
      <c r="M93" s="260">
        <f>SUM(M75:M92)</f>
        <v/>
      </c>
      <c r="N93" s="260">
        <f>SUM(N75:N92)</f>
        <v/>
      </c>
      <c r="O93" s="260">
        <f>SUM(O75:O92)</f>
        <v/>
      </c>
      <c r="P93" s="260">
        <f>SUM(P75:P92)</f>
        <v/>
      </c>
      <c r="Q93" s="260">
        <f>SUM(Q75:Q92)</f>
        <v/>
      </c>
      <c r="R93" s="260">
        <f>SUM(R75:R92)</f>
        <v/>
      </c>
      <c r="S93" s="260">
        <f>SUM(S75:S92)</f>
        <v/>
      </c>
    </row>
    <row r="94" ht="16.2" customHeight="1" s="176">
      <c r="B94" s="237" t="n"/>
      <c r="C94" s="238" t="n"/>
      <c r="D94" s="261" t="n"/>
      <c r="E94" s="261" t="n"/>
      <c r="F94" s="261" t="n"/>
      <c r="G94" s="261" t="n"/>
      <c r="H94" s="261" t="n"/>
      <c r="I94" s="261" t="n"/>
      <c r="J94" s="261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</row>
    <row r="95" ht="16.2" customHeight="1" s="176">
      <c r="B95" s="190" t="inlineStr">
        <is>
          <t>Voice consumption</t>
        </is>
      </c>
      <c r="C95" s="216" t="n"/>
      <c r="D95" s="217" t="n"/>
      <c r="E95" s="217" t="n"/>
      <c r="F95" s="217" t="n"/>
      <c r="G95" s="217" t="n"/>
      <c r="H95" s="217" t="n"/>
      <c r="I95" s="217" t="n"/>
      <c r="J95" s="217" t="n"/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</row>
    <row r="96" ht="16.2" customHeight="1" s="176">
      <c r="B96" s="237" t="n"/>
      <c r="C96" s="238" t="n"/>
      <c r="D96" s="261" t="n"/>
      <c r="E96" s="261" t="n"/>
      <c r="F96" s="261" t="n"/>
      <c r="G96" s="261" t="n"/>
      <c r="H96" s="261" t="n"/>
      <c r="I96" s="261" t="n"/>
      <c r="J96" s="261" t="n"/>
      <c r="K96" s="239" t="n"/>
      <c r="L96" s="239" t="n"/>
      <c r="M96" s="239" t="n"/>
      <c r="N96" s="239" t="n"/>
      <c r="O96" s="239" t="n"/>
      <c r="P96" s="239" t="n"/>
      <c r="Q96" s="239" t="n"/>
      <c r="R96" s="239" t="n"/>
      <c r="S96" s="239" t="n"/>
    </row>
    <row r="97" ht="40.2" customHeight="1" s="176">
      <c r="B97" s="190" t="inlineStr">
        <is>
          <t>Category of Service</t>
        </is>
      </c>
      <c r="C97" s="221" t="inlineStr">
        <is>
          <t>Units</t>
        </is>
      </c>
      <c r="D97" s="221" t="inlineStr">
        <is>
          <t>Contract code</t>
        </is>
      </c>
      <c r="E97" s="221" t="inlineStr">
        <is>
          <t>Contract code</t>
        </is>
      </c>
      <c r="F97" s="221" t="inlineStr">
        <is>
          <t>Country</t>
        </is>
      </c>
      <c r="G97" s="221" t="inlineStr">
        <is>
          <t>Description</t>
        </is>
      </c>
      <c r="H97" s="221" t="inlineStr">
        <is>
          <t>I/L/C/D</t>
        </is>
      </c>
      <c r="I97" s="221" t="inlineStr">
        <is>
          <t>Start date</t>
        </is>
      </c>
      <c r="J97" s="221" t="inlineStr">
        <is>
          <t>Duration</t>
        </is>
      </c>
      <c r="K97" s="222" t="inlineStr">
        <is>
          <t>Volume</t>
        </is>
      </c>
      <c r="L97" s="222" t="inlineStr">
        <is>
          <t>Investement/Contract amount</t>
        </is>
      </c>
      <c r="M97" s="222" t="inlineStr">
        <is>
          <t>Current month</t>
        </is>
      </c>
      <c r="N97" s="222" t="inlineStr">
        <is>
          <t>Ytd</t>
        </is>
      </c>
      <c r="O97" s="222" t="inlineStr">
        <is>
          <t>Year 1</t>
        </is>
      </c>
      <c r="P97" s="222" t="inlineStr">
        <is>
          <t>Year 2</t>
        </is>
      </c>
      <c r="Q97" s="222" t="inlineStr">
        <is>
          <t>Year 3</t>
        </is>
      </c>
      <c r="R97" s="222" t="inlineStr">
        <is>
          <t>Year 4</t>
        </is>
      </c>
      <c r="S97" s="223" t="inlineStr">
        <is>
          <t>Year 5</t>
        </is>
      </c>
    </row>
    <row r="98" ht="13.2" customHeight="1" s="176">
      <c r="B98" s="265" t="inlineStr">
        <is>
          <t>Domestic Outbound Calls - Local</t>
        </is>
      </c>
      <c r="C98" s="265" t="inlineStr">
        <is>
          <t>Minutes</t>
        </is>
      </c>
      <c r="D98" s="192" t="n"/>
      <c r="E98" s="192" t="n"/>
      <c r="F98" s="192" t="n"/>
      <c r="G98" s="192" t="n"/>
      <c r="H98" s="192" t="n"/>
      <c r="I98" s="192" t="n"/>
      <c r="J98" s="192" t="n"/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</row>
    <row r="99" ht="13.2" customHeight="1" s="176">
      <c r="B99" s="265" t="inlineStr">
        <is>
          <t>Domestic Outbound Calls - Long Distance</t>
        </is>
      </c>
      <c r="C99" s="265" t="inlineStr">
        <is>
          <t>Minutes</t>
        </is>
      </c>
      <c r="D99" s="195" t="n"/>
      <c r="E99" s="195" t="n"/>
      <c r="F99" s="195" t="n"/>
      <c r="G99" s="195" t="n"/>
      <c r="H99" s="195" t="n"/>
      <c r="I99" s="195" t="n"/>
      <c r="J99" s="195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</row>
    <row r="100" ht="13.2" customHeight="1" s="176">
      <c r="B100" s="266" t="inlineStr">
        <is>
          <t>Domestic Outbound Calls - Cellular</t>
        </is>
      </c>
      <c r="C100" s="266" t="inlineStr">
        <is>
          <t>Minutes</t>
        </is>
      </c>
      <c r="D100" s="204" t="n"/>
      <c r="E100" s="204" t="n"/>
      <c r="F100" s="204" t="n"/>
      <c r="G100" s="204" t="n"/>
      <c r="H100" s="204" t="n"/>
      <c r="I100" s="204" t="n"/>
      <c r="J100" s="204" t="n"/>
      <c r="K100" s="258" t="n"/>
      <c r="L100" s="258" t="n"/>
      <c r="M100" s="258" t="n"/>
      <c r="N100" s="258" t="n"/>
      <c r="O100" s="258" t="n"/>
      <c r="P100" s="258" t="n"/>
      <c r="Q100" s="258" t="n"/>
      <c r="R100" s="258" t="n"/>
      <c r="S100" s="258" t="n"/>
    </row>
    <row r="101" ht="13.2" customHeight="1" s="176">
      <c r="B101" s="265" t="inlineStr">
        <is>
          <t>International Outbound Calls</t>
        </is>
      </c>
      <c r="C101" s="265" t="inlineStr">
        <is>
          <t>Minutes</t>
        </is>
      </c>
      <c r="D101" s="195" t="n"/>
      <c r="E101" s="195" t="n"/>
      <c r="F101" s="195" t="n"/>
      <c r="G101" s="195" t="n"/>
      <c r="H101" s="195" t="n"/>
      <c r="I101" s="195" t="n"/>
      <c r="J101" s="195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</row>
    <row r="102" ht="13.2" customHeight="1" s="176">
      <c r="B102" s="266" t="inlineStr">
        <is>
          <t>Mobile - national</t>
        </is>
      </c>
      <c r="C102" s="266" t="inlineStr">
        <is>
          <t>Minutes</t>
        </is>
      </c>
      <c r="D102" s="204" t="n"/>
      <c r="E102" s="204" t="n"/>
      <c r="F102" s="204" t="n"/>
      <c r="G102" s="204" t="n"/>
      <c r="H102" s="204" t="n"/>
      <c r="I102" s="204" t="n"/>
      <c r="J102" s="204" t="n"/>
      <c r="K102" s="258" t="n"/>
      <c r="L102" s="258" t="n"/>
      <c r="M102" s="258" t="n"/>
      <c r="N102" s="258" t="n"/>
      <c r="O102" s="258" t="n"/>
      <c r="P102" s="258" t="n"/>
      <c r="Q102" s="258" t="n"/>
      <c r="R102" s="258" t="n"/>
      <c r="S102" s="258" t="n"/>
    </row>
    <row r="103" ht="13.2" customHeight="1" s="176">
      <c r="B103" s="265" t="inlineStr">
        <is>
          <t>Mobile - international</t>
        </is>
      </c>
      <c r="C103" s="265" t="inlineStr">
        <is>
          <t>Minutes</t>
        </is>
      </c>
      <c r="D103" s="195" t="n"/>
      <c r="E103" s="195" t="n"/>
      <c r="F103" s="195" t="n"/>
      <c r="G103" s="195" t="n"/>
      <c r="H103" s="195" t="n"/>
      <c r="I103" s="195" t="n"/>
      <c r="J103" s="195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</row>
    <row r="104" ht="13.2" customHeight="1" s="176">
      <c r="B104" s="266" t="inlineStr">
        <is>
          <t>Mobile - roaming outbound</t>
        </is>
      </c>
      <c r="C104" s="266" t="inlineStr">
        <is>
          <t>Minutes</t>
        </is>
      </c>
      <c r="D104" s="204" t="n"/>
      <c r="E104" s="204" t="n"/>
      <c r="F104" s="204" t="n"/>
      <c r="G104" s="204" t="n"/>
      <c r="H104" s="204" t="n"/>
      <c r="I104" s="204" t="n"/>
      <c r="J104" s="204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</row>
    <row r="105" ht="13.2" customHeight="1" s="176">
      <c r="B105" s="265" t="inlineStr">
        <is>
          <t>Mobile - roaming inbound</t>
        </is>
      </c>
      <c r="C105" s="265" t="inlineStr">
        <is>
          <t>Minutes</t>
        </is>
      </c>
      <c r="D105" s="195" t="n"/>
      <c r="E105" s="195" t="n"/>
      <c r="F105" s="195" t="n"/>
      <c r="G105" s="195" t="n"/>
      <c r="H105" s="195" t="n"/>
      <c r="I105" s="195" t="n"/>
      <c r="J105" s="195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</row>
    <row r="106" ht="13.2" customHeight="1" s="176">
      <c r="B106" s="265" t="inlineStr">
        <is>
          <t>Free phone Service Calls</t>
        </is>
      </c>
      <c r="C106" s="265" t="inlineStr">
        <is>
          <t>Calls</t>
        </is>
      </c>
      <c r="D106" s="192" t="n"/>
      <c r="E106" s="192" t="n"/>
      <c r="F106" s="192" t="n"/>
      <c r="G106" s="192" t="n"/>
      <c r="H106" s="192" t="n"/>
      <c r="I106" s="192" t="n"/>
      <c r="J106" s="192" t="n"/>
      <c r="K106" s="256" t="n"/>
      <c r="L106" s="256" t="n"/>
      <c r="M106" s="256" t="n"/>
      <c r="N106" s="256" t="n"/>
      <c r="O106" s="256" t="n"/>
      <c r="P106" s="256" t="n"/>
      <c r="Q106" s="256" t="n"/>
      <c r="R106" s="256" t="n"/>
      <c r="S106" s="256" t="n"/>
    </row>
    <row r="107" ht="13.2" customHeight="1" s="176">
      <c r="B107" s="265" t="inlineStr">
        <is>
          <t>Free phone Services Dedicated per min.</t>
        </is>
      </c>
      <c r="C107" s="265" t="inlineStr">
        <is>
          <t>Minutes</t>
        </is>
      </c>
      <c r="D107" s="195" t="n"/>
      <c r="E107" s="195" t="n"/>
      <c r="F107" s="195" t="n"/>
      <c r="G107" s="195" t="n"/>
      <c r="H107" s="195" t="n"/>
      <c r="I107" s="195" t="n"/>
      <c r="J107" s="195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</row>
    <row r="108" ht="13.2" customHeight="1" s="176">
      <c r="B108" s="266" t="inlineStr">
        <is>
          <t>High Tariff Outbound Calls (0900)</t>
        </is>
      </c>
      <c r="C108" s="266" t="inlineStr">
        <is>
          <t>Minutes</t>
        </is>
      </c>
      <c r="D108" s="204" t="n"/>
      <c r="E108" s="204" t="n"/>
      <c r="F108" s="204" t="n"/>
      <c r="G108" s="204" t="n"/>
      <c r="H108" s="204" t="n"/>
      <c r="I108" s="204" t="n"/>
      <c r="J108" s="204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</row>
    <row r="109" ht="13.2" customHeight="1" s="176">
      <c r="B109" s="265" t="inlineStr">
        <is>
          <t>High Tariff Outbound Calls (0676 internet)</t>
        </is>
      </c>
      <c r="C109" s="265" t="inlineStr">
        <is>
          <t>Minutes</t>
        </is>
      </c>
      <c r="D109" s="195" t="n"/>
      <c r="E109" s="195" t="n"/>
      <c r="F109" s="195" t="n"/>
      <c r="G109" s="195" t="n"/>
      <c r="H109" s="195" t="n"/>
      <c r="I109" s="195" t="n"/>
      <c r="J109" s="195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</row>
    <row r="110" ht="13.2" customHeight="1" s="176">
      <c r="B110" s="265" t="inlineStr">
        <is>
          <t>High Tariff Outbound Calls  Other</t>
        </is>
      </c>
      <c r="C110" s="265" t="inlineStr">
        <is>
          <t>Minutes</t>
        </is>
      </c>
      <c r="D110" s="192" t="n"/>
      <c r="E110" s="192" t="n"/>
      <c r="F110" s="192" t="n"/>
      <c r="G110" s="192" t="n"/>
      <c r="H110" s="192" t="n"/>
      <c r="I110" s="192" t="n"/>
      <c r="J110" s="192" t="n"/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</row>
    <row r="111" ht="13.2" customHeight="1" s="176">
      <c r="B111" s="265" t="inlineStr">
        <is>
          <t>Voice - Directory Assistance Calls per call</t>
        </is>
      </c>
      <c r="C111" s="265" t="inlineStr">
        <is>
          <t>Calls</t>
        </is>
      </c>
      <c r="D111" s="195" t="n"/>
      <c r="E111" s="195" t="n"/>
      <c r="F111" s="195" t="n"/>
      <c r="G111" s="195" t="n"/>
      <c r="H111" s="195" t="n"/>
      <c r="I111" s="195" t="n"/>
      <c r="J111" s="195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</row>
    <row r="112" ht="13.8" customHeight="1" s="176">
      <c r="B112" s="267" t="inlineStr">
        <is>
          <t>Voice - IMACS</t>
        </is>
      </c>
      <c r="C112" s="267" t="inlineStr">
        <is>
          <t>IMACS</t>
        </is>
      </c>
      <c r="D112" s="230" t="n"/>
      <c r="E112" s="230" t="n"/>
      <c r="F112" s="230" t="n"/>
      <c r="G112" s="230" t="n"/>
      <c r="H112" s="230" t="n"/>
      <c r="I112" s="230" t="n"/>
      <c r="J112" s="230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</row>
    <row r="113" ht="13.8" customHeight="1" s="176">
      <c r="B113" s="233" t="n"/>
      <c r="C113" s="234" t="inlineStr">
        <is>
          <t>Subtotal:</t>
        </is>
      </c>
      <c r="D113" s="234" t="n"/>
      <c r="E113" s="234" t="n"/>
      <c r="F113" s="234" t="n"/>
      <c r="G113" s="234" t="n"/>
      <c r="H113" s="234" t="n"/>
      <c r="I113" s="234" t="n"/>
      <c r="J113" s="234" t="n"/>
      <c r="K113" s="260">
        <f>SUM(K98:K112)</f>
        <v/>
      </c>
      <c r="L113" s="260">
        <f>SUM(L98:L112)</f>
        <v/>
      </c>
      <c r="M113" s="260">
        <f>SUM(M98:M112)</f>
        <v/>
      </c>
      <c r="N113" s="260">
        <f>SUM(N98:N112)</f>
        <v/>
      </c>
      <c r="O113" s="260">
        <f>SUM(O98:O112)</f>
        <v/>
      </c>
      <c r="P113" s="260">
        <f>SUM(P98:P112)</f>
        <v/>
      </c>
      <c r="Q113" s="260">
        <f>SUM(Q98:Q112)</f>
        <v/>
      </c>
      <c r="R113" s="260">
        <f>SUM(R98:R112)</f>
        <v/>
      </c>
      <c r="S113" s="260">
        <f>SUM(S98:S112)</f>
        <v/>
      </c>
    </row>
    <row r="114" ht="16.2" customHeight="1" s="176">
      <c r="B114" s="237" t="n"/>
      <c r="C114" s="238" t="n"/>
      <c r="D114" s="261" t="n"/>
      <c r="E114" s="261" t="n"/>
      <c r="F114" s="261" t="n"/>
      <c r="G114" s="261" t="n"/>
      <c r="H114" s="261" t="n"/>
      <c r="I114" s="261" t="n"/>
      <c r="J114" s="261" t="n"/>
      <c r="K114" s="239" t="n"/>
      <c r="L114" s="239" t="n"/>
      <c r="M114" s="239" t="n"/>
      <c r="N114" s="239" t="n"/>
      <c r="O114" s="239" t="n"/>
      <c r="P114" s="239" t="n"/>
      <c r="Q114" s="239" t="n"/>
      <c r="R114" s="239" t="n"/>
      <c r="S114" s="239" t="n"/>
    </row>
    <row r="115" ht="16.2" customHeight="1" s="176">
      <c r="B115" s="190" t="inlineStr">
        <is>
          <t>Voice subscriptions</t>
        </is>
      </c>
      <c r="C115" s="216" t="n"/>
      <c r="D115" s="217" t="n"/>
      <c r="E115" s="217" t="n"/>
      <c r="F115" s="217" t="n"/>
      <c r="G115" s="217" t="n"/>
      <c r="H115" s="217" t="n"/>
      <c r="I115" s="217" t="n"/>
      <c r="J115" s="217" t="n"/>
      <c r="K115" s="240" t="n"/>
      <c r="L115" s="240" t="n"/>
      <c r="M115" s="240" t="n"/>
      <c r="N115" s="240" t="n"/>
      <c r="O115" s="240" t="n"/>
      <c r="P115" s="240" t="n"/>
      <c r="Q115" s="240" t="n"/>
      <c r="R115" s="240" t="n"/>
      <c r="S115" s="240" t="n"/>
    </row>
    <row r="116" ht="16.2" customHeight="1" s="176">
      <c r="B116" s="237" t="n"/>
      <c r="C116" s="238" t="n"/>
      <c r="D116" s="261" t="n"/>
      <c r="E116" s="261" t="n"/>
      <c r="F116" s="261" t="n"/>
      <c r="G116" s="261" t="n"/>
      <c r="H116" s="261" t="n"/>
      <c r="I116" s="261" t="n"/>
      <c r="J116" s="261" t="n"/>
      <c r="K116" s="239" t="n"/>
      <c r="L116" s="239" t="n"/>
      <c r="M116" s="239" t="n"/>
      <c r="N116" s="239" t="n"/>
      <c r="O116" s="239" t="n"/>
      <c r="P116" s="239" t="n"/>
      <c r="Q116" s="239" t="n"/>
      <c r="R116" s="239" t="n"/>
      <c r="S116" s="239" t="n"/>
    </row>
    <row r="117" ht="40.2" customHeight="1" s="176">
      <c r="B117" s="190" t="inlineStr">
        <is>
          <t>Category of Service</t>
        </is>
      </c>
      <c r="C117" s="221" t="inlineStr">
        <is>
          <t>Units</t>
        </is>
      </c>
      <c r="D117" s="221" t="inlineStr">
        <is>
          <t>Contract code</t>
        </is>
      </c>
      <c r="E117" s="221" t="inlineStr">
        <is>
          <t>Contract code</t>
        </is>
      </c>
      <c r="F117" s="221" t="inlineStr">
        <is>
          <t>Country</t>
        </is>
      </c>
      <c r="G117" s="221" t="inlineStr">
        <is>
          <t>Description</t>
        </is>
      </c>
      <c r="H117" s="221" t="inlineStr">
        <is>
          <t>I/L/C/D</t>
        </is>
      </c>
      <c r="I117" s="221" t="inlineStr">
        <is>
          <t>Start date</t>
        </is>
      </c>
      <c r="J117" s="221" t="inlineStr">
        <is>
          <t>Duration</t>
        </is>
      </c>
      <c r="K117" s="222" t="inlineStr">
        <is>
          <t>Volume</t>
        </is>
      </c>
      <c r="L117" s="222" t="inlineStr">
        <is>
          <t>Investement/Contract amount</t>
        </is>
      </c>
      <c r="M117" s="222" t="inlineStr">
        <is>
          <t>Current month</t>
        </is>
      </c>
      <c r="N117" s="222" t="inlineStr">
        <is>
          <t>Ytd</t>
        </is>
      </c>
      <c r="O117" s="222" t="inlineStr">
        <is>
          <t>Year 1</t>
        </is>
      </c>
      <c r="P117" s="222" t="inlineStr">
        <is>
          <t>Year 2</t>
        </is>
      </c>
      <c r="Q117" s="222" t="inlineStr">
        <is>
          <t>Year 3</t>
        </is>
      </c>
      <c r="R117" s="222" t="inlineStr">
        <is>
          <t>Year 4</t>
        </is>
      </c>
      <c r="S117" s="223" t="inlineStr">
        <is>
          <t>Year 5</t>
        </is>
      </c>
    </row>
    <row r="118" ht="13.2" customHeight="1" s="176">
      <c r="B118" s="265" t="inlineStr">
        <is>
          <t>ISDN 1</t>
        </is>
      </c>
      <c r="C118" s="265" t="inlineStr">
        <is>
          <t>Subscriptions</t>
        </is>
      </c>
      <c r="D118" s="195" t="n"/>
      <c r="E118" s="195" t="n"/>
      <c r="F118" s="195" t="n"/>
      <c r="G118" s="195" t="n"/>
      <c r="H118" s="195" t="n"/>
      <c r="I118" s="195" t="n"/>
      <c r="J118" s="195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</row>
    <row r="119" ht="13.2" customHeight="1" s="176">
      <c r="B119" s="265" t="inlineStr">
        <is>
          <t>ISDN 2</t>
        </is>
      </c>
      <c r="C119" s="265" t="inlineStr">
        <is>
          <t>Subscriptions</t>
        </is>
      </c>
      <c r="D119" s="192" t="n"/>
      <c r="E119" s="192" t="n"/>
      <c r="F119" s="192" t="n"/>
      <c r="G119" s="192" t="n"/>
      <c r="H119" s="192" t="n"/>
      <c r="I119" s="192" t="n"/>
      <c r="J119" s="192" t="n"/>
      <c r="K119" s="256" t="n"/>
      <c r="L119" s="256" t="n"/>
      <c r="M119" s="256" t="n"/>
      <c r="N119" s="256" t="n"/>
      <c r="O119" s="256" t="n"/>
      <c r="P119" s="256" t="n"/>
      <c r="Q119" s="256" t="n"/>
      <c r="R119" s="256" t="n"/>
      <c r="S119" s="256" t="n"/>
    </row>
    <row r="120" ht="13.2" customHeight="1" s="176">
      <c r="B120" s="265" t="inlineStr">
        <is>
          <t>ISDN 15</t>
        </is>
      </c>
      <c r="C120" s="265" t="inlineStr">
        <is>
          <t>Subscriptions</t>
        </is>
      </c>
      <c r="D120" s="195" t="n"/>
      <c r="E120" s="195" t="n"/>
      <c r="F120" s="195" t="n"/>
      <c r="G120" s="195" t="n"/>
      <c r="H120" s="195" t="n"/>
      <c r="I120" s="195" t="n"/>
      <c r="J120" s="195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</row>
    <row r="121" ht="13.2" customHeight="1" s="176">
      <c r="B121" s="266" t="inlineStr">
        <is>
          <t xml:space="preserve">ISDN 30  </t>
        </is>
      </c>
      <c r="C121" s="266" t="inlineStr">
        <is>
          <t>Subscriptions</t>
        </is>
      </c>
      <c r="D121" s="204" t="n"/>
      <c r="E121" s="204" t="n"/>
      <c r="F121" s="204" t="n"/>
      <c r="G121" s="204" t="n"/>
      <c r="H121" s="204" t="n"/>
      <c r="I121" s="204" t="n"/>
      <c r="J121" s="204" t="n"/>
      <c r="K121" s="258" t="n"/>
      <c r="L121" s="258" t="n"/>
      <c r="M121" s="258" t="n"/>
      <c r="N121" s="258" t="n"/>
      <c r="O121" s="258" t="n"/>
      <c r="P121" s="258" t="n"/>
      <c r="Q121" s="258" t="n"/>
      <c r="R121" s="258" t="n"/>
      <c r="S121" s="258" t="n"/>
    </row>
    <row r="122" ht="13.2" customHeight="1" s="176">
      <c r="B122" s="265" t="inlineStr">
        <is>
          <t>ISDN 30 (CPA)</t>
        </is>
      </c>
      <c r="C122" s="265" t="inlineStr">
        <is>
          <t>Subscriptions</t>
        </is>
      </c>
      <c r="D122" s="195" t="n"/>
      <c r="E122" s="195" t="n"/>
      <c r="F122" s="195" t="n"/>
      <c r="G122" s="195" t="n"/>
      <c r="H122" s="195" t="n"/>
      <c r="I122" s="195" t="n"/>
      <c r="J122" s="195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</row>
    <row r="123" ht="13.2" customHeight="1" s="176">
      <c r="B123" s="266" t="inlineStr">
        <is>
          <t>Dual homing telephony</t>
        </is>
      </c>
      <c r="C123" s="266" t="inlineStr">
        <is>
          <t>Subscriptions</t>
        </is>
      </c>
      <c r="D123" s="204" t="n"/>
      <c r="E123" s="204" t="n"/>
      <c r="F123" s="204" t="n"/>
      <c r="G123" s="204" t="n"/>
      <c r="H123" s="204" t="n"/>
      <c r="I123" s="204" t="n"/>
      <c r="J123" s="204" t="n"/>
      <c r="K123" s="258" t="n"/>
      <c r="L123" s="258" t="n"/>
      <c r="M123" s="258" t="n"/>
      <c r="N123" s="258" t="n"/>
      <c r="O123" s="258" t="n"/>
      <c r="P123" s="258" t="n"/>
      <c r="Q123" s="258" t="n"/>
      <c r="R123" s="258" t="n"/>
      <c r="S123" s="258" t="n"/>
    </row>
    <row r="124" ht="13.2" customHeight="1" s="176">
      <c r="B124" s="265" t="inlineStr">
        <is>
          <t>DDI reserved numbers (10)</t>
        </is>
      </c>
      <c r="C124" s="265" t="inlineStr">
        <is>
          <t>Subscriptions</t>
        </is>
      </c>
      <c r="D124" s="195" t="n"/>
      <c r="E124" s="195" t="n"/>
      <c r="F124" s="195" t="n"/>
      <c r="G124" s="195" t="n"/>
      <c r="H124" s="195" t="n"/>
      <c r="I124" s="195" t="n"/>
      <c r="J124" s="195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</row>
    <row r="125" ht="13.2" customHeight="1" s="176">
      <c r="B125" s="266" t="inlineStr">
        <is>
          <t>DDI reserved numbers (100)</t>
        </is>
      </c>
      <c r="C125" s="266" t="inlineStr">
        <is>
          <t>Subscriptions</t>
        </is>
      </c>
      <c r="D125" s="204" t="n"/>
      <c r="E125" s="204" t="n"/>
      <c r="F125" s="204" t="n"/>
      <c r="G125" s="204" t="n"/>
      <c r="H125" s="204" t="n"/>
      <c r="I125" s="204" t="n"/>
      <c r="J125" s="204" t="n"/>
      <c r="K125" s="258" t="n"/>
      <c r="L125" s="258" t="n"/>
      <c r="M125" s="258" t="n"/>
      <c r="N125" s="258" t="n"/>
      <c r="O125" s="258" t="n"/>
      <c r="P125" s="258" t="n"/>
      <c r="Q125" s="258" t="n"/>
      <c r="R125" s="258" t="n"/>
      <c r="S125" s="258" t="n"/>
    </row>
    <row r="126" ht="13.2" customHeight="1" s="176">
      <c r="B126" s="265" t="inlineStr">
        <is>
          <t>DDI reserved numbers (1000)</t>
        </is>
      </c>
      <c r="C126" s="265" t="inlineStr">
        <is>
          <t>Subscriptions</t>
        </is>
      </c>
      <c r="D126" s="195" t="n"/>
      <c r="E126" s="195" t="n"/>
      <c r="F126" s="195" t="n"/>
      <c r="G126" s="195" t="n"/>
      <c r="H126" s="195" t="n"/>
      <c r="I126" s="195" t="n"/>
      <c r="J126" s="195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</row>
    <row r="127" ht="13.2" customHeight="1" s="176">
      <c r="B127" s="265" t="inlineStr">
        <is>
          <t>DDI reserved numbers (10000)</t>
        </is>
      </c>
      <c r="C127" s="265" t="inlineStr">
        <is>
          <t>Subscriptions</t>
        </is>
      </c>
      <c r="D127" s="192" t="n"/>
      <c r="E127" s="192" t="n"/>
      <c r="F127" s="192" t="n"/>
      <c r="G127" s="192" t="n"/>
      <c r="H127" s="192" t="n"/>
      <c r="I127" s="192" t="n"/>
      <c r="J127" s="192" t="n"/>
      <c r="K127" s="256" t="n"/>
      <c r="L127" s="256" t="n"/>
      <c r="M127" s="256" t="n"/>
      <c r="N127" s="256" t="n"/>
      <c r="O127" s="256" t="n"/>
      <c r="P127" s="256" t="n"/>
      <c r="Q127" s="256" t="n"/>
      <c r="R127" s="256" t="n"/>
      <c r="S127" s="256" t="n"/>
    </row>
    <row r="128" ht="13.2" customHeight="1" s="176">
      <c r="B128" s="265" t="inlineStr">
        <is>
          <t>DDI facilities</t>
        </is>
      </c>
      <c r="C128" s="265" t="inlineStr">
        <is>
          <t>Subscriptions</t>
        </is>
      </c>
      <c r="D128" s="195" t="n"/>
      <c r="E128" s="195" t="n"/>
      <c r="F128" s="195" t="n"/>
      <c r="G128" s="195" t="n"/>
      <c r="H128" s="195" t="n"/>
      <c r="I128" s="195" t="n"/>
      <c r="J128" s="195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</row>
    <row r="129" ht="13.2" customHeight="1" s="176">
      <c r="B129" s="266" t="inlineStr">
        <is>
          <t>Calamity services</t>
        </is>
      </c>
      <c r="C129" s="266" t="inlineStr">
        <is>
          <t>Services</t>
        </is>
      </c>
      <c r="D129" s="204" t="n"/>
      <c r="E129" s="204" t="n"/>
      <c r="F129" s="204" t="n"/>
      <c r="G129" s="204" t="n"/>
      <c r="H129" s="204" t="n"/>
      <c r="I129" s="204" t="n"/>
      <c r="J129" s="204" t="n"/>
      <c r="K129" s="258" t="n"/>
      <c r="L129" s="258" t="n"/>
      <c r="M129" s="258" t="n"/>
      <c r="N129" s="258" t="n"/>
      <c r="O129" s="258" t="n"/>
      <c r="P129" s="258" t="n"/>
      <c r="Q129" s="258" t="n"/>
      <c r="R129" s="258" t="n"/>
      <c r="S129" s="258" t="n"/>
    </row>
    <row r="130" ht="13.2" customHeight="1" s="176">
      <c r="B130" s="265" t="inlineStr">
        <is>
          <t>Infrastructure services</t>
        </is>
      </c>
      <c r="C130" s="265" t="inlineStr">
        <is>
          <t>Services</t>
        </is>
      </c>
      <c r="D130" s="195" t="n"/>
      <c r="E130" s="195" t="n"/>
      <c r="F130" s="195" t="n"/>
      <c r="G130" s="195" t="n"/>
      <c r="H130" s="195" t="n"/>
      <c r="I130" s="195" t="n"/>
      <c r="J130" s="195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</row>
    <row r="131" ht="13.2" customHeight="1" s="176">
      <c r="B131" s="266" t="inlineStr">
        <is>
          <t>ADSL</t>
        </is>
      </c>
      <c r="C131" s="266" t="inlineStr">
        <is>
          <t>Subscriptions</t>
        </is>
      </c>
      <c r="D131" s="204" t="n"/>
      <c r="E131" s="204" t="n"/>
      <c r="F131" s="204" t="n"/>
      <c r="G131" s="204" t="n"/>
      <c r="H131" s="204" t="n"/>
      <c r="I131" s="204" t="n"/>
      <c r="J131" s="204" t="n"/>
      <c r="K131" s="258" t="n"/>
      <c r="L131" s="258" t="n"/>
      <c r="M131" s="258" t="n"/>
      <c r="N131" s="258" t="n"/>
      <c r="O131" s="258" t="n"/>
      <c r="P131" s="258" t="n"/>
      <c r="Q131" s="258" t="n"/>
      <c r="R131" s="258" t="n"/>
      <c r="S131" s="258" t="n"/>
    </row>
    <row r="132" ht="13.2" customHeight="1" s="176">
      <c r="B132" s="265" t="inlineStr">
        <is>
          <t>PSTN</t>
        </is>
      </c>
      <c r="C132" s="265" t="inlineStr">
        <is>
          <t>Subscriptions</t>
        </is>
      </c>
      <c r="D132" s="195" t="n"/>
      <c r="E132" s="195" t="n"/>
      <c r="F132" s="195" t="n"/>
      <c r="G132" s="195" t="n"/>
      <c r="H132" s="195" t="n"/>
      <c r="I132" s="195" t="n"/>
      <c r="J132" s="195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</row>
    <row r="133" ht="13.8" customHeight="1" s="176">
      <c r="B133" s="267" t="inlineStr">
        <is>
          <t>Telex</t>
        </is>
      </c>
      <c r="C133" s="267" t="inlineStr">
        <is>
          <t>Subscriptions</t>
        </is>
      </c>
      <c r="D133" s="230" t="n"/>
      <c r="E133" s="230" t="n"/>
      <c r="F133" s="230" t="n"/>
      <c r="G133" s="230" t="n"/>
      <c r="H133" s="230" t="n"/>
      <c r="I133" s="230" t="n"/>
      <c r="J133" s="230" t="n"/>
      <c r="K133" s="259" t="n"/>
      <c r="L133" s="259" t="n"/>
      <c r="M133" s="259" t="n"/>
      <c r="N133" s="259" t="n"/>
      <c r="O133" s="259" t="n"/>
      <c r="P133" s="259" t="n"/>
      <c r="Q133" s="259" t="n"/>
      <c r="R133" s="259" t="n"/>
      <c r="S133" s="259" t="n"/>
    </row>
    <row r="134" ht="13.8" customHeight="1" s="176">
      <c r="B134" s="233" t="n"/>
      <c r="C134" s="234" t="inlineStr">
        <is>
          <t>Subtotal:</t>
        </is>
      </c>
      <c r="D134" s="234" t="n"/>
      <c r="E134" s="234" t="n"/>
      <c r="F134" s="234" t="n"/>
      <c r="G134" s="234" t="n"/>
      <c r="H134" s="234" t="n"/>
      <c r="I134" s="234" t="n"/>
      <c r="J134" s="234" t="n"/>
      <c r="K134" s="260">
        <f>SUM(K118:K133)</f>
        <v/>
      </c>
      <c r="L134" s="260">
        <f>SUM(L118:L133)</f>
        <v/>
      </c>
      <c r="M134" s="260">
        <f>SUM(M118:M133)</f>
        <v/>
      </c>
      <c r="N134" s="260">
        <f>SUM(N118:N133)</f>
        <v/>
      </c>
      <c r="O134" s="260">
        <f>SUM(O118:O133)</f>
        <v/>
      </c>
      <c r="P134" s="260">
        <f>SUM(P118:P133)</f>
        <v/>
      </c>
      <c r="Q134" s="260">
        <f>SUM(Q118:Q133)</f>
        <v/>
      </c>
      <c r="R134" s="260">
        <f>SUM(R118:R133)</f>
        <v/>
      </c>
      <c r="S134" s="260">
        <f>SUM(S118:S133)</f>
        <v/>
      </c>
    </row>
    <row r="135" ht="13.8" customHeight="1" s="176">
      <c r="B135" s="241" t="n"/>
      <c r="C135" s="242" t="n"/>
      <c r="D135" s="242" t="n"/>
      <c r="E135" s="242" t="n"/>
      <c r="F135" s="242" t="n"/>
      <c r="G135" s="242" t="n"/>
      <c r="H135" s="242" t="n"/>
      <c r="I135" s="242" t="n"/>
      <c r="J135" s="24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</row>
    <row r="136" ht="15.6" customHeight="1" s="176">
      <c r="B136" s="245" t="n"/>
      <c r="C136" s="246" t="inlineStr">
        <is>
          <t>Total Voice:</t>
        </is>
      </c>
      <c r="D136" s="263" t="n"/>
      <c r="E136" s="263" t="n"/>
      <c r="F136" s="263" t="n"/>
      <c r="G136" s="263" t="n"/>
      <c r="H136" s="263" t="n"/>
      <c r="I136" s="263" t="n"/>
      <c r="J136" s="263" t="n"/>
      <c r="K136" s="247" t="n"/>
      <c r="L136" s="247" t="n"/>
      <c r="M136" s="247">
        <f>M93+M113+M134</f>
        <v/>
      </c>
      <c r="N136" s="247" t="n"/>
      <c r="O136" s="247" t="n"/>
      <c r="P136" s="247" t="n"/>
      <c r="Q136" s="247" t="n"/>
      <c r="R136" s="247" t="n"/>
      <c r="S136" s="247" t="n"/>
    </row>
    <row r="137" ht="16.2" customHeight="1" s="176">
      <c r="B137" s="237" t="n"/>
      <c r="C137" s="238" t="n"/>
      <c r="D137" s="261" t="n"/>
      <c r="E137" s="261" t="n"/>
      <c r="F137" s="261" t="n"/>
      <c r="G137" s="261" t="n"/>
      <c r="H137" s="261" t="n"/>
      <c r="I137" s="261" t="n"/>
      <c r="J137" s="261" t="n"/>
      <c r="K137" s="239" t="n"/>
      <c r="L137" s="239" t="n"/>
      <c r="M137" s="239" t="n"/>
      <c r="N137" s="239" t="n"/>
      <c r="O137" s="239" t="n"/>
      <c r="P137" s="239" t="n"/>
      <c r="Q137" s="239" t="n"/>
      <c r="R137" s="239" t="n"/>
      <c r="S137" s="239" t="n"/>
    </row>
    <row r="138" ht="16.2" customHeight="1" s="176">
      <c r="B138" s="190" t="inlineStr">
        <is>
          <t>Server Management – Vendor Alpha</t>
        </is>
      </c>
      <c r="C138" s="216" t="n"/>
      <c r="D138" s="217" t="n"/>
      <c r="E138" s="217" t="n"/>
      <c r="F138" s="217" t="n"/>
      <c r="G138" s="217" t="n"/>
      <c r="H138" s="217" t="n"/>
      <c r="I138" s="217" t="n"/>
      <c r="J138" s="217" t="n"/>
      <c r="K138" s="240" t="n"/>
      <c r="L138" s="240" t="n"/>
      <c r="M138" s="240" t="n"/>
      <c r="N138" s="240" t="n"/>
      <c r="O138" s="240" t="n"/>
      <c r="P138" s="240" t="n"/>
      <c r="Q138" s="240" t="n"/>
      <c r="R138" s="240" t="n"/>
      <c r="S138" s="240" t="n"/>
    </row>
    <row r="139" ht="16.2" customHeight="1" s="176">
      <c r="B139" s="237" t="n"/>
      <c r="C139" s="238" t="n"/>
      <c r="D139" s="261" t="n"/>
      <c r="E139" s="261" t="n"/>
      <c r="F139" s="261" t="n"/>
      <c r="G139" s="261" t="n"/>
      <c r="H139" s="261" t="n"/>
      <c r="I139" s="261" t="n"/>
      <c r="J139" s="261" t="n"/>
      <c r="K139" s="239" t="n"/>
      <c r="L139" s="239" t="n"/>
      <c r="M139" s="239" t="n"/>
      <c r="N139" s="239" t="n"/>
      <c r="O139" s="239" t="n"/>
      <c r="P139" s="239" t="n"/>
      <c r="Q139" s="239" t="n"/>
      <c r="R139" s="239" t="n"/>
      <c r="S139" s="239" t="n"/>
    </row>
    <row r="140" ht="40.2" customHeight="1" s="176">
      <c r="B140" s="190" t="inlineStr">
        <is>
          <t>Category of Service</t>
        </is>
      </c>
      <c r="C140" s="221" t="inlineStr">
        <is>
          <t>Units</t>
        </is>
      </c>
      <c r="D140" s="221" t="inlineStr">
        <is>
          <t>Contract code</t>
        </is>
      </c>
      <c r="E140" s="221" t="inlineStr">
        <is>
          <t>Contract code</t>
        </is>
      </c>
      <c r="F140" s="221" t="inlineStr">
        <is>
          <t>Country</t>
        </is>
      </c>
      <c r="G140" s="221" t="inlineStr">
        <is>
          <t>Description</t>
        </is>
      </c>
      <c r="H140" s="221" t="inlineStr">
        <is>
          <t>I/L/C/D</t>
        </is>
      </c>
      <c r="I140" s="221" t="inlineStr">
        <is>
          <t>Start date</t>
        </is>
      </c>
      <c r="J140" s="221" t="inlineStr">
        <is>
          <t>Duration</t>
        </is>
      </c>
      <c r="K140" s="222" t="inlineStr">
        <is>
          <t>Volume</t>
        </is>
      </c>
      <c r="L140" s="222" t="inlineStr">
        <is>
          <t>Investement/Contract amount</t>
        </is>
      </c>
      <c r="M140" s="222" t="inlineStr">
        <is>
          <t>Current month</t>
        </is>
      </c>
      <c r="N140" s="222" t="inlineStr">
        <is>
          <t>Ytd</t>
        </is>
      </c>
      <c r="O140" s="222" t="inlineStr">
        <is>
          <t>Year 1</t>
        </is>
      </c>
      <c r="P140" s="222" t="inlineStr">
        <is>
          <t>Year 2</t>
        </is>
      </c>
      <c r="Q140" s="222" t="inlineStr">
        <is>
          <t>Year 3</t>
        </is>
      </c>
      <c r="R140" s="222" t="inlineStr">
        <is>
          <t>Year 4</t>
        </is>
      </c>
      <c r="S140" s="223" t="inlineStr">
        <is>
          <t>Year 5</t>
        </is>
      </c>
    </row>
    <row r="141" ht="13.2" customHeight="1" s="176">
      <c r="B141" s="192" t="inlineStr">
        <is>
          <t>Number of servers</t>
        </is>
      </c>
      <c r="C141" s="192" t="inlineStr">
        <is>
          <t>(Virtual) systems/Nodes</t>
        </is>
      </c>
      <c r="D141" s="192" t="n"/>
      <c r="E141" s="192" t="n"/>
      <c r="F141" s="192" t="n"/>
      <c r="G141" s="192" t="n"/>
      <c r="H141" s="192" t="n"/>
      <c r="I141" s="192" t="n"/>
      <c r="J141" s="192" t="n"/>
      <c r="K141" s="256" t="n"/>
      <c r="L141" s="256" t="n"/>
      <c r="M141" s="256" t="n"/>
      <c r="N141" s="256" t="n"/>
      <c r="O141" s="256" t="n"/>
      <c r="P141" s="256" t="n"/>
      <c r="Q141" s="256" t="n"/>
      <c r="R141" s="256" t="n"/>
      <c r="S141" s="256" t="n"/>
    </row>
    <row r="142" ht="13.2" customHeight="1" s="176">
      <c r="B142" s="195" t="inlineStr">
        <is>
          <t>Number of Production Servers</t>
        </is>
      </c>
      <c r="C142" s="195" t="inlineStr">
        <is>
          <t>(Virtual) systems/Nodes</t>
        </is>
      </c>
      <c r="D142" s="195" t="n"/>
      <c r="E142" s="195" t="n"/>
      <c r="F142" s="195" t="n"/>
      <c r="G142" s="195" t="n"/>
      <c r="H142" s="195" t="n"/>
      <c r="I142" s="195" t="n"/>
      <c r="J142" s="195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</row>
    <row r="143" ht="13.2" customHeight="1" s="176">
      <c r="B143" s="204" t="inlineStr">
        <is>
          <t>Number of High Availability Servers</t>
        </is>
      </c>
      <c r="C143" s="204" t="inlineStr">
        <is>
          <t>(Virtual) systems/Nodes</t>
        </is>
      </c>
      <c r="D143" s="204" t="n"/>
      <c r="E143" s="204" t="n"/>
      <c r="F143" s="204" t="n"/>
      <c r="G143" s="204" t="n"/>
      <c r="H143" s="204" t="n"/>
      <c r="I143" s="204" t="n"/>
      <c r="J143" s="204" t="n"/>
      <c r="K143" s="258" t="n"/>
      <c r="L143" s="258" t="n"/>
      <c r="M143" s="258" t="n"/>
      <c r="N143" s="258" t="n"/>
      <c r="O143" s="258" t="n"/>
      <c r="P143" s="258" t="n"/>
      <c r="Q143" s="258" t="n"/>
      <c r="R143" s="258" t="n"/>
      <c r="S143" s="258" t="n"/>
    </row>
    <row r="144" ht="13.2" customHeight="1" s="176">
      <c r="B144" s="195" t="inlineStr">
        <is>
          <t>Number of Centralised Servers</t>
        </is>
      </c>
      <c r="C144" s="195" t="inlineStr">
        <is>
          <t>(Virtual) systems/Nodes</t>
        </is>
      </c>
      <c r="D144" s="195" t="n"/>
      <c r="E144" s="195" t="n"/>
      <c r="F144" s="195" t="n"/>
      <c r="G144" s="195" t="n"/>
      <c r="H144" s="195" t="n"/>
      <c r="I144" s="195" t="n"/>
      <c r="J144" s="195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</row>
    <row r="145" ht="13.2" customHeight="1" s="176">
      <c r="B145" s="204" t="inlineStr">
        <is>
          <t>Number of Decentralized Servers</t>
        </is>
      </c>
      <c r="C145" s="204" t="inlineStr">
        <is>
          <t>(Virtual) systems/Nodes</t>
        </is>
      </c>
      <c r="D145" s="204" t="n"/>
      <c r="E145" s="204" t="n"/>
      <c r="F145" s="204" t="n"/>
      <c r="G145" s="204" t="n"/>
      <c r="H145" s="204" t="n"/>
      <c r="I145" s="204" t="n"/>
      <c r="J145" s="204" t="n"/>
      <c r="K145" s="258" t="n"/>
      <c r="L145" s="258" t="n"/>
      <c r="M145" s="258" t="n"/>
      <c r="N145" s="258" t="n"/>
      <c r="O145" s="258" t="n"/>
      <c r="P145" s="258" t="n"/>
      <c r="Q145" s="258" t="n"/>
      <c r="R145" s="258" t="n"/>
      <c r="S145" s="258" t="n"/>
    </row>
    <row r="146" ht="13.2" customHeight="1" s="176">
      <c r="B146" s="195" t="inlineStr">
        <is>
          <t>Number of Pedestal Servers</t>
        </is>
      </c>
      <c r="C146" s="195" t="inlineStr">
        <is>
          <t>(Virtual) systems/Nodes</t>
        </is>
      </c>
      <c r="D146" s="195" t="n"/>
      <c r="E146" s="195" t="n"/>
      <c r="F146" s="195" t="n"/>
      <c r="G146" s="195" t="n"/>
      <c r="H146" s="195" t="n"/>
      <c r="I146" s="195" t="n"/>
      <c r="J146" s="195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</row>
    <row r="147" ht="13.2" customHeight="1" s="176">
      <c r="B147" s="204" t="inlineStr">
        <is>
          <t>Number of Rack Servers</t>
        </is>
      </c>
      <c r="C147" s="204" t="inlineStr">
        <is>
          <t>(Virtual) systems/Nodes</t>
        </is>
      </c>
      <c r="D147" s="204" t="n"/>
      <c r="E147" s="204" t="n"/>
      <c r="F147" s="204" t="n"/>
      <c r="G147" s="204" t="n"/>
      <c r="H147" s="204" t="n"/>
      <c r="I147" s="204" t="n"/>
      <c r="J147" s="204" t="n"/>
      <c r="K147" s="258" t="n"/>
      <c r="L147" s="258" t="n"/>
      <c r="M147" s="258" t="n"/>
      <c r="N147" s="258" t="n"/>
      <c r="O147" s="258" t="n"/>
      <c r="P147" s="258" t="n"/>
      <c r="Q147" s="258" t="n"/>
      <c r="R147" s="258" t="n"/>
      <c r="S147" s="258" t="n"/>
    </row>
    <row r="148" ht="13.2" customHeight="1" s="176">
      <c r="B148" s="195" t="inlineStr">
        <is>
          <t>Number of Blade Servers</t>
        </is>
      </c>
      <c r="C148" s="195" t="inlineStr">
        <is>
          <t>(Virtual) systems/Nodes</t>
        </is>
      </c>
      <c r="D148" s="195" t="n"/>
      <c r="E148" s="195" t="n"/>
      <c r="F148" s="195" t="n"/>
      <c r="G148" s="195" t="n"/>
      <c r="H148" s="195" t="n"/>
      <c r="I148" s="195" t="n"/>
      <c r="J148" s="195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</row>
    <row r="149" ht="13.2" customHeight="1" s="176">
      <c r="B149" s="192" t="inlineStr">
        <is>
          <t>Total DAS (TB)</t>
        </is>
      </c>
      <c r="C149" s="192" t="inlineStr">
        <is>
          <t>TB per user/group/application</t>
        </is>
      </c>
      <c r="D149" s="192" t="n"/>
      <c r="E149" s="192" t="n"/>
      <c r="F149" s="192" t="n"/>
      <c r="G149" s="192" t="n"/>
      <c r="H149" s="192" t="n"/>
      <c r="I149" s="192" t="n"/>
      <c r="J149" s="192" t="n"/>
      <c r="K149" s="256" t="n"/>
      <c r="L149" s="256" t="n"/>
      <c r="M149" s="256" t="n"/>
      <c r="N149" s="256" t="n"/>
      <c r="O149" s="256" t="n"/>
      <c r="P149" s="256" t="n"/>
      <c r="Q149" s="256" t="n"/>
      <c r="R149" s="256" t="n"/>
      <c r="S149" s="256" t="n"/>
    </row>
    <row r="150" ht="13.2" customHeight="1" s="176">
      <c r="B150" s="195" t="inlineStr">
        <is>
          <t>E-mail Accounts (1)</t>
        </is>
      </c>
      <c r="C150" s="195" t="inlineStr">
        <is>
          <t>Mailboxes</t>
        </is>
      </c>
      <c r="D150" s="195" t="n"/>
      <c r="E150" s="195" t="n"/>
      <c r="F150" s="195" t="n"/>
      <c r="G150" s="195" t="n"/>
      <c r="H150" s="195" t="n"/>
      <c r="I150" s="195" t="n"/>
      <c r="J150" s="195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</row>
    <row r="151" ht="13.2" customHeight="1" s="176">
      <c r="B151" s="252" t="inlineStr">
        <is>
          <t>E-mail Accounts (2)</t>
        </is>
      </c>
      <c r="C151" s="252" t="inlineStr">
        <is>
          <t>Group mailboxes</t>
        </is>
      </c>
      <c r="D151" s="252" t="n"/>
      <c r="E151" s="252" t="n"/>
      <c r="F151" s="252" t="n"/>
      <c r="G151" s="252" t="n"/>
      <c r="H151" s="252" t="n"/>
      <c r="I151" s="252" t="n"/>
      <c r="J151" s="252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</row>
    <row r="152" ht="13.8" customHeight="1" s="176">
      <c r="B152" s="241" t="n"/>
      <c r="C152" s="242" t="n"/>
      <c r="D152" s="242" t="n"/>
      <c r="E152" s="242" t="n"/>
      <c r="F152" s="242" t="n"/>
      <c r="G152" s="242" t="n"/>
      <c r="H152" s="242" t="n"/>
      <c r="I152" s="242" t="n"/>
      <c r="J152" s="242" t="n"/>
      <c r="K152" s="262" t="n"/>
      <c r="L152" s="262" t="n"/>
      <c r="M152" s="262" t="n"/>
      <c r="N152" s="262" t="n"/>
      <c r="O152" s="262" t="n"/>
      <c r="P152" s="262" t="n"/>
      <c r="Q152" s="262" t="n"/>
      <c r="R152" s="262" t="n"/>
      <c r="S152" s="262" t="n"/>
    </row>
    <row r="153" ht="15.6" customHeight="1" s="176">
      <c r="B153" s="245" t="n"/>
      <c r="C153" s="246" t="inlineStr">
        <is>
          <t>Total Server Management:</t>
        </is>
      </c>
      <c r="D153" s="263" t="n"/>
      <c r="E153" s="263" t="n"/>
      <c r="F153" s="263" t="n"/>
      <c r="G153" s="263" t="n"/>
      <c r="H153" s="263" t="n"/>
      <c r="I153" s="263" t="n"/>
      <c r="J153" s="263" t="n"/>
      <c r="K153" s="247">
        <f>SUM(K141:K151)</f>
        <v/>
      </c>
      <c r="L153" s="247">
        <f>SUM(L141:L151)</f>
        <v/>
      </c>
      <c r="M153" s="247">
        <f>SUM(M141:M151)</f>
        <v/>
      </c>
      <c r="N153" s="247">
        <f>SUM(N141:N151)</f>
        <v/>
      </c>
      <c r="O153" s="247">
        <f>SUM(O141:O151)</f>
        <v/>
      </c>
      <c r="P153" s="247">
        <f>SUM(P141:P151)</f>
        <v/>
      </c>
      <c r="Q153" s="247">
        <f>SUM(Q141:Q151)</f>
        <v/>
      </c>
      <c r="R153" s="247">
        <f>SUM(R141:R151)</f>
        <v/>
      </c>
      <c r="S153" s="247">
        <f>SUM(S141:S151)</f>
        <v/>
      </c>
    </row>
    <row r="154" ht="13.8" customHeight="1" s="176">
      <c r="B154" s="211" t="n"/>
    </row>
    <row r="155" ht="15.6" customHeight="1" s="176">
      <c r="B155" s="245" t="n"/>
      <c r="C155" s="246" t="inlineStr">
        <is>
          <t>Total Charge</t>
        </is>
      </c>
      <c r="D155" s="263" t="n"/>
      <c r="E155" s="263" t="n"/>
      <c r="F155" s="263" t="n"/>
      <c r="G155" s="263" t="n"/>
      <c r="H155" s="263" t="n"/>
      <c r="I155" s="263" t="n"/>
      <c r="J155" s="263" t="n"/>
      <c r="K155" s="247" t="n"/>
      <c r="L155" s="247" t="n"/>
      <c r="M155" s="247">
        <f>M55+M62+M70+M136+M153</f>
        <v/>
      </c>
      <c r="N155" s="247" t="n"/>
      <c r="O155" s="247" t="n"/>
      <c r="P155" s="247" t="n"/>
      <c r="Q155" s="247" t="n"/>
      <c r="R155" s="247" t="n"/>
      <c r="S155" s="247" t="n"/>
    </row>
    <row r="156" ht="13.2" customHeight="1" s="176">
      <c r="B156" s="211" t="n"/>
      <c r="C156" s="212" t="n"/>
      <c r="D156" s="213" t="n"/>
      <c r="E156" s="213" t="n"/>
      <c r="F156" s="213" t="n"/>
    </row>
    <row r="157" ht="13.2" customHeight="1" s="176">
      <c r="B157" s="211" t="n"/>
      <c r="C157" s="212" t="n"/>
      <c r="D157" s="213" t="n"/>
      <c r="E157" s="213" t="n"/>
      <c r="F157" s="213" t="n"/>
    </row>
    <row r="158" ht="13.2" customHeight="1" s="176">
      <c r="B158" s="269" t="n"/>
      <c r="C158" s="212" t="n"/>
      <c r="D158" s="255" t="n"/>
      <c r="E158" s="255" t="n"/>
      <c r="F158" s="213" t="n"/>
    </row>
    <row r="159" ht="13.2" customHeight="1" s="176">
      <c r="B159" s="269" t="n"/>
      <c r="C159" s="212" t="n"/>
      <c r="D159" s="213" t="n"/>
      <c r="E159" s="213" t="n"/>
      <c r="F159" s="213" t="n"/>
    </row>
    <row r="160" ht="13.2" customHeight="1" s="176">
      <c r="B160" s="211" t="n"/>
      <c r="C160" s="212" t="n"/>
      <c r="D160" s="213" t="n"/>
      <c r="E160" s="213" t="n"/>
      <c r="F160" s="213" t="n"/>
    </row>
    <row r="161" ht="13.2" customHeight="1" s="176">
      <c r="B161" s="211" t="n"/>
    </row>
    <row r="162" ht="13.2" customHeight="1" s="176">
      <c r="B162" s="211" t="n"/>
    </row>
    <row r="163" ht="13.2" customHeight="1" s="176">
      <c r="B163" s="211" t="n"/>
    </row>
    <row r="164" ht="13.2" customHeight="1" s="176">
      <c r="B164" s="211" t="n"/>
    </row>
    <row r="165" ht="13.2" customHeight="1" s="176">
      <c r="B165" s="211" t="n"/>
    </row>
    <row r="166" ht="13.2" customHeight="1" s="176">
      <c r="B166" s="211" t="n"/>
    </row>
    <row r="167" ht="13.2" customHeight="1" s="176">
      <c r="B167" s="211" t="n"/>
    </row>
    <row r="168" ht="13.2" customHeight="1" s="176">
      <c r="B168" s="211" t="n"/>
    </row>
    <row r="169" ht="13.2" customHeight="1" s="176">
      <c r="B169" s="211" t="n"/>
    </row>
    <row r="170" ht="13.2" customHeight="1" s="176">
      <c r="B170" s="211" t="n"/>
    </row>
    <row r="171" ht="13.2" customHeight="1" s="176">
      <c r="B171" s="211" t="n"/>
    </row>
    <row r="172" ht="13.2" customHeight="1" s="176">
      <c r="B172" s="211" t="n"/>
    </row>
    <row r="173" ht="13.2" customHeight="1" s="176">
      <c r="B173" s="211" t="n"/>
    </row>
    <row r="174" ht="13.2" customHeight="1" s="176">
      <c r="B174" s="211" t="n"/>
    </row>
    <row r="175" ht="13.2" customHeight="1" s="176">
      <c r="B175" s="211" t="n"/>
    </row>
    <row r="176" ht="13.2" customHeight="1" s="176">
      <c r="B176" s="211" t="n"/>
    </row>
    <row r="177" ht="13.2" customHeight="1" s="176">
      <c r="B177" s="211" t="n"/>
    </row>
    <row r="178" ht="13.2" customHeight="1" s="176">
      <c r="B178" s="211" t="n"/>
    </row>
    <row r="179" ht="13.2" customHeight="1" s="176">
      <c r="B179" s="211" t="n"/>
    </row>
    <row r="180" ht="13.2" customHeight="1" s="176">
      <c r="B180" s="211" t="n"/>
    </row>
    <row r="181" ht="13.2" customHeight="1" s="176">
      <c r="B181" s="211" t="n"/>
    </row>
    <row r="182" ht="13.2" customHeight="1" s="176">
      <c r="B182" s="211" t="n"/>
    </row>
    <row r="183" ht="13.2" customHeight="1" s="176">
      <c r="B183" s="211" t="n"/>
    </row>
    <row r="184" ht="13.2" customHeight="1" s="176">
      <c r="B184" s="211" t="n"/>
    </row>
    <row r="185" ht="13.2" customHeight="1" s="176">
      <c r="B185" s="211" t="n"/>
    </row>
    <row r="186" ht="13.2" customHeight="1" s="176">
      <c r="B186" s="211" t="n"/>
    </row>
    <row r="187" ht="13.2" customHeight="1" s="176">
      <c r="B187" s="211" t="n"/>
    </row>
    <row r="188" ht="13.2" customHeight="1" s="176">
      <c r="B188" s="211" t="n"/>
    </row>
    <row r="189" ht="13.2" customHeight="1" s="176">
      <c r="B189" s="211" t="n"/>
    </row>
    <row r="190" ht="13.2" customHeight="1" s="176">
      <c r="B190" s="211" t="n"/>
    </row>
    <row r="191" ht="13.2" customHeight="1" s="176">
      <c r="B191" s="211" t="n"/>
    </row>
    <row r="192" ht="13.2" customHeight="1" s="176">
      <c r="B192" s="211" t="n"/>
    </row>
    <row r="193" ht="13.2" customHeight="1" s="176">
      <c r="B193" s="211" t="n"/>
    </row>
    <row r="194" ht="13.2" customHeight="1" s="176">
      <c r="B194" s="211" t="n"/>
    </row>
    <row r="195" ht="13.2" customHeight="1" s="176">
      <c r="B195" s="211" t="n"/>
    </row>
    <row r="196" ht="13.2" customHeight="1" s="176">
      <c r="B196" s="211" t="n"/>
    </row>
    <row r="197" ht="13.2" customHeight="1" s="176">
      <c r="B197" s="211" t="n"/>
    </row>
    <row r="198" ht="13.2" customHeight="1" s="176">
      <c r="B198" s="211" t="n"/>
    </row>
    <row r="199" ht="13.2" customHeight="1" s="176">
      <c r="B199" s="211" t="n"/>
    </row>
    <row r="200" ht="13.2" customHeight="1" s="176">
      <c r="B200" s="211" t="n"/>
    </row>
    <row r="201" ht="13.2" customHeight="1" s="176">
      <c r="B201" s="211" t="n"/>
    </row>
    <row r="202" ht="13.2" customHeight="1" s="176">
      <c r="B202" s="211" t="n"/>
    </row>
    <row r="203" ht="13.2" customHeight="1" s="176">
      <c r="B203" s="211" t="n"/>
    </row>
    <row r="204" ht="13.2" customHeight="1" s="176">
      <c r="B204" s="211" t="n"/>
    </row>
    <row r="205" ht="13.2" customHeight="1" s="176">
      <c r="B205" s="211" t="n"/>
    </row>
    <row r="206" ht="13.2" customHeight="1" s="176">
      <c r="B206" s="211" t="n"/>
    </row>
    <row r="207" ht="13.2" customHeight="1" s="176">
      <c r="B207" s="211" t="n"/>
    </row>
    <row r="208" ht="13.2" customHeight="1" s="176">
      <c r="B208" s="211" t="n"/>
    </row>
    <row r="209" ht="13.2" customHeight="1" s="176">
      <c r="B209" s="211" t="n"/>
    </row>
    <row r="210" ht="13.2" customHeight="1" s="176">
      <c r="B210" s="211" t="n"/>
    </row>
    <row r="211" ht="13.2" customHeight="1" s="176">
      <c r="B211" s="211" t="n"/>
    </row>
    <row r="212" ht="13.2" customHeight="1" s="176">
      <c r="B212" s="211" t="n"/>
    </row>
    <row r="213" ht="13.2" customHeight="1" s="176">
      <c r="B213" s="211" t="n"/>
    </row>
    <row r="214" ht="13.2" customHeight="1" s="176">
      <c r="B214" s="211" t="n"/>
    </row>
    <row r="215" ht="13.2" customHeight="1" s="176">
      <c r="B215" s="211" t="n"/>
    </row>
    <row r="216" ht="13.2" customHeight="1" s="176">
      <c r="B216" s="211" t="n"/>
    </row>
    <row r="217" ht="13.2" customHeight="1" s="176">
      <c r="B217" s="211" t="n"/>
    </row>
    <row r="218" ht="13.2" customHeight="1" s="176">
      <c r="B218" s="211" t="n"/>
    </row>
    <row r="219" ht="13.2" customHeight="1" s="176">
      <c r="B219" s="211" t="n"/>
    </row>
    <row r="220" ht="13.2" customHeight="1" s="176">
      <c r="B220" s="211" t="n"/>
    </row>
    <row r="221" ht="13.2" customHeight="1" s="176">
      <c r="B221" s="211" t="n"/>
    </row>
    <row r="222" ht="13.2" customHeight="1" s="176">
      <c r="B222" s="211" t="n"/>
    </row>
    <row r="223" ht="13.2" customHeight="1" s="176">
      <c r="B223" s="211" t="n"/>
    </row>
    <row r="224" ht="13.2" customHeight="1" s="176">
      <c r="B224" s="211" t="n"/>
    </row>
    <row r="225" ht="13.2" customHeight="1" s="176">
      <c r="B225" s="211" t="n"/>
    </row>
    <row r="226" ht="13.2" customHeight="1" s="176">
      <c r="B226" s="211" t="n"/>
    </row>
    <row r="227" ht="13.2" customHeight="1" s="176">
      <c r="B227" s="211" t="n"/>
    </row>
    <row r="228" ht="13.2" customHeight="1" s="176">
      <c r="B228" s="211" t="n"/>
    </row>
    <row r="229" ht="13.2" customHeight="1" s="176">
      <c r="B229" s="211" t="n"/>
    </row>
    <row r="230" ht="13.2" customHeight="1" s="176">
      <c r="B230" s="211" t="n"/>
    </row>
    <row r="231" ht="13.2" customHeight="1" s="176">
      <c r="B231" s="211" t="n"/>
    </row>
    <row r="232" ht="13.2" customHeight="1" s="176">
      <c r="B232" s="211" t="n"/>
    </row>
    <row r="233" ht="13.2" customHeight="1" s="176">
      <c r="B233" s="211" t="n"/>
    </row>
    <row r="234" ht="13.2" customHeight="1" s="176">
      <c r="B234" s="211" t="n"/>
    </row>
    <row r="235" ht="13.2" customHeight="1" s="176">
      <c r="B235" s="211" t="n"/>
    </row>
    <row r="236" ht="13.2" customHeight="1" s="176">
      <c r="B236" s="211" t="n"/>
    </row>
    <row r="237" ht="13.2" customHeight="1" s="176">
      <c r="B237" s="211" t="n"/>
    </row>
    <row r="238" ht="13.2" customHeight="1" s="176">
      <c r="B238" s="211" t="n"/>
    </row>
    <row r="239" ht="13.2" customHeight="1" s="176">
      <c r="B239" s="211" t="n"/>
    </row>
    <row r="240" ht="13.2" customHeight="1" s="176">
      <c r="B240" s="211" t="n"/>
    </row>
    <row r="241" ht="13.2" customHeight="1" s="176">
      <c r="B241" s="211" t="n"/>
    </row>
    <row r="242" ht="13.2" customHeight="1" s="176">
      <c r="B242" s="211" t="n"/>
    </row>
    <row r="243" ht="13.2" customHeight="1" s="176">
      <c r="B243" s="211" t="n"/>
    </row>
    <row r="244" ht="13.2" customHeight="1" s="176">
      <c r="B244" s="211" t="n"/>
    </row>
    <row r="245" ht="13.2" customHeight="1" s="176">
      <c r="B245" s="211" t="n"/>
    </row>
    <row r="246" ht="13.2" customHeight="1" s="176">
      <c r="B246" s="211" t="n"/>
    </row>
    <row r="247" ht="13.2" customHeight="1" s="176">
      <c r="B247" s="211" t="n"/>
    </row>
    <row r="248" ht="13.2" customHeight="1" s="176">
      <c r="B248" s="211" t="n"/>
    </row>
    <row r="249" ht="13.2" customHeight="1" s="176">
      <c r="B249" s="211" t="n"/>
    </row>
    <row r="250" ht="13.2" customHeight="1" s="176">
      <c r="B250" s="211" t="n"/>
    </row>
    <row r="251" ht="13.2" customHeight="1" s="176">
      <c r="B251" s="211" t="n"/>
    </row>
    <row r="252" ht="13.2" customHeight="1" s="176">
      <c r="B252" s="211" t="n"/>
    </row>
    <row r="253" ht="13.2" customHeight="1" s="176">
      <c r="B253" s="211" t="n"/>
    </row>
    <row r="254" ht="13.2" customHeight="1" s="176">
      <c r="B254" s="211" t="n"/>
    </row>
    <row r="255" ht="13.2" customHeight="1" s="176">
      <c r="B255" s="211" t="n"/>
    </row>
    <row r="256" ht="13.2" customHeight="1" s="176">
      <c r="B256" s="211" t="n"/>
    </row>
    <row r="257" ht="13.2" customHeight="1" s="176">
      <c r="B257" s="211" t="n"/>
    </row>
    <row r="258" ht="13.2" customHeight="1" s="176">
      <c r="B258" s="211" t="n"/>
    </row>
    <row r="259" ht="13.2" customHeight="1" s="176">
      <c r="B259" s="211" t="n"/>
    </row>
    <row r="260" ht="13.2" customHeight="1" s="176">
      <c r="B260" s="211" t="n"/>
    </row>
    <row r="261" ht="13.2" customHeight="1" s="176">
      <c r="B261" s="211" t="n"/>
    </row>
    <row r="262" ht="13.2" customHeight="1" s="176">
      <c r="B262" s="211" t="n"/>
    </row>
    <row r="263" ht="13.2" customHeight="1" s="176">
      <c r="B263" s="211" t="n"/>
    </row>
    <row r="264" ht="13.2" customHeight="1" s="176">
      <c r="B264" s="211" t="n"/>
    </row>
    <row r="265" ht="13.2" customHeight="1" s="176">
      <c r="B265" s="211" t="n"/>
    </row>
    <row r="266" ht="13.2" customHeight="1" s="176">
      <c r="B266" s="211" t="n"/>
    </row>
    <row r="267" ht="13.2" customHeight="1" s="176">
      <c r="B267" s="211" t="n"/>
    </row>
    <row r="268" ht="13.2" customHeight="1" s="176">
      <c r="B268" s="211" t="n"/>
    </row>
    <row r="269" ht="13.2" customHeight="1" s="176">
      <c r="B269" s="211" t="n"/>
    </row>
    <row r="270" ht="13.2" customHeight="1" s="176">
      <c r="B270" s="211" t="n"/>
    </row>
    <row r="271" ht="13.2" customHeight="1" s="176">
      <c r="B271" s="211" t="n"/>
    </row>
    <row r="272" ht="13.2" customHeight="1" s="176">
      <c r="B272" s="211" t="n"/>
    </row>
    <row r="273" ht="13.2" customHeight="1" s="176">
      <c r="B273" s="211" t="n"/>
    </row>
    <row r="274" ht="13.2" customHeight="1" s="176">
      <c r="B274" s="211" t="n"/>
    </row>
    <row r="275" ht="13.2" customHeight="1" s="176">
      <c r="B275" s="211" t="n"/>
    </row>
    <row r="276" ht="13.2" customHeight="1" s="176">
      <c r="B276" s="211" t="n"/>
    </row>
    <row r="277" ht="13.2" customHeight="1" s="176">
      <c r="B277" s="211" t="n"/>
    </row>
    <row r="278" ht="13.2" customHeight="1" s="176">
      <c r="B278" s="211" t="n"/>
    </row>
    <row r="279" ht="13.2" customHeight="1" s="176">
      <c r="B279" s="211" t="n"/>
    </row>
    <row r="280" ht="13.2" customHeight="1" s="176">
      <c r="B280" s="211" t="n"/>
    </row>
    <row r="281" ht="13.2" customHeight="1" s="176">
      <c r="B281" s="211" t="n"/>
    </row>
    <row r="282" ht="13.2" customHeight="1" s="176">
      <c r="B282" s="211" t="n"/>
    </row>
    <row r="283" ht="13.2" customHeight="1" s="176">
      <c r="B283" s="211" t="n"/>
    </row>
    <row r="284" ht="13.2" customHeight="1" s="176">
      <c r="B284" s="211" t="n"/>
    </row>
    <row r="285" ht="13.2" customHeight="1" s="176">
      <c r="B285" s="211" t="n"/>
    </row>
    <row r="286" ht="13.2" customHeight="1" s="176">
      <c r="B286" s="211" t="n"/>
    </row>
    <row r="287" ht="13.2" customHeight="1" s="176">
      <c r="B287" s="211" t="n"/>
    </row>
    <row r="288" ht="13.2" customHeight="1" s="176">
      <c r="B288" s="211" t="n"/>
    </row>
    <row r="289" ht="13.2" customHeight="1" s="176">
      <c r="B289" s="211" t="n"/>
    </row>
    <row r="290" ht="13.2" customHeight="1" s="176">
      <c r="B290" s="211" t="n"/>
    </row>
    <row r="291" ht="13.2" customHeight="1" s="176">
      <c r="B291" s="211" t="n"/>
    </row>
    <row r="292" ht="13.2" customHeight="1" s="176">
      <c r="B292" s="211" t="n"/>
    </row>
    <row r="293" ht="13.2" customHeight="1" s="176">
      <c r="B293" s="211" t="n"/>
    </row>
    <row r="294" ht="13.2" customHeight="1" s="176">
      <c r="B294" s="211" t="n"/>
    </row>
    <row r="295" ht="13.2" customHeight="1" s="176">
      <c r="B295" s="211" t="n"/>
    </row>
    <row r="296" ht="13.2" customHeight="1" s="176">
      <c r="B296" s="211" t="n"/>
    </row>
    <row r="297" ht="13.2" customHeight="1" s="176">
      <c r="B297" s="211" t="n"/>
    </row>
    <row r="298" ht="13.2" customHeight="1" s="176">
      <c r="B298" s="211" t="n"/>
    </row>
    <row r="299" ht="13.2" customHeight="1" s="176">
      <c r="B299" s="211" t="n"/>
    </row>
    <row r="300" ht="13.2" customHeight="1" s="176">
      <c r="B300" s="211" t="n"/>
    </row>
    <row r="301" ht="13.2" customHeight="1" s="176">
      <c r="B301" s="211" t="n"/>
    </row>
    <row r="302" ht="13.2" customHeight="1" s="176">
      <c r="B302" s="211" t="n"/>
    </row>
    <row r="303" ht="13.2" customHeight="1" s="176">
      <c r="B303" s="211" t="n"/>
    </row>
    <row r="304" ht="13.2" customHeight="1" s="176">
      <c r="B304" s="211" t="n"/>
    </row>
    <row r="305" ht="13.2" customHeight="1" s="176">
      <c r="B305" s="211" t="n"/>
    </row>
    <row r="306" ht="13.2" customHeight="1" s="176">
      <c r="B306" s="211" t="n"/>
    </row>
    <row r="307" ht="13.2" customHeight="1" s="176">
      <c r="B307" s="211" t="n"/>
    </row>
    <row r="308" ht="13.2" customHeight="1" s="176">
      <c r="B308" s="211" t="n"/>
    </row>
    <row r="309" ht="13.2" customHeight="1" s="176">
      <c r="B309" s="211" t="n"/>
    </row>
    <row r="310" ht="13.2" customHeight="1" s="176">
      <c r="B310" s="211" t="n"/>
    </row>
    <row r="311" ht="13.2" customHeight="1" s="176">
      <c r="B311" s="211" t="n"/>
    </row>
    <row r="312" ht="13.2" customHeight="1" s="176">
      <c r="B312" s="211" t="n"/>
    </row>
    <row r="313" ht="13.2" customHeight="1" s="176">
      <c r="B313" s="211" t="n"/>
    </row>
    <row r="314" ht="13.2" customHeight="1" s="176">
      <c r="B314" s="211" t="n"/>
    </row>
    <row r="315" ht="13.2" customHeight="1" s="176">
      <c r="B315" s="211" t="n"/>
    </row>
    <row r="316" ht="13.2" customHeight="1" s="176">
      <c r="B316" s="211" t="n"/>
    </row>
    <row r="317" ht="13.2" customHeight="1" s="176">
      <c r="B317" s="211" t="n"/>
    </row>
    <row r="318" ht="13.2" customHeight="1" s="176">
      <c r="B318" s="211" t="n"/>
    </row>
    <row r="319" ht="13.2" customHeight="1" s="176">
      <c r="B319" s="211" t="n"/>
    </row>
    <row r="320" ht="13.2" customHeight="1" s="176">
      <c r="B320" s="211" t="n"/>
    </row>
    <row r="321" ht="13.2" customHeight="1" s="176">
      <c r="B321" s="211" t="n"/>
    </row>
    <row r="322" ht="13.2" customHeight="1" s="176">
      <c r="B322" s="211" t="n"/>
    </row>
    <row r="323" ht="13.2" customHeight="1" s="176">
      <c r="B323" s="211" t="n"/>
    </row>
    <row r="324" ht="13.2" customHeight="1" s="176">
      <c r="B324" s="211" t="n"/>
    </row>
    <row r="325" ht="13.2" customHeight="1" s="176">
      <c r="B325" s="211" t="n"/>
    </row>
    <row r="326" ht="13.2" customHeight="1" s="176">
      <c r="B326" s="211" t="n"/>
    </row>
    <row r="327" ht="13.2" customHeight="1" s="176">
      <c r="B327" s="211" t="n"/>
    </row>
    <row r="328" ht="13.2" customHeight="1" s="176">
      <c r="B328" s="211" t="n"/>
    </row>
    <row r="329" ht="13.2" customHeight="1" s="176">
      <c r="B329" s="211" t="n"/>
    </row>
    <row r="330" ht="13.2" customHeight="1" s="176">
      <c r="B330" s="211" t="n"/>
    </row>
    <row r="331" ht="13.2" customHeight="1" s="176">
      <c r="B331" s="211" t="n"/>
    </row>
    <row r="332" ht="13.2" customHeight="1" s="176">
      <c r="B332" s="211" t="n"/>
    </row>
    <row r="333" ht="13.2" customHeight="1" s="176">
      <c r="B333" s="211" t="n"/>
    </row>
    <row r="334" ht="13.2" customHeight="1" s="176">
      <c r="B334" s="211" t="n"/>
    </row>
    <row r="335" ht="13.2" customHeight="1" s="176">
      <c r="B335" s="211" t="n"/>
    </row>
    <row r="336" ht="13.2" customHeight="1" s="176">
      <c r="B336" s="211" t="n"/>
    </row>
    <row r="337" ht="13.2" customHeight="1" s="176">
      <c r="B337" s="211" t="n"/>
    </row>
    <row r="338" ht="13.2" customHeight="1" s="176">
      <c r="B338" s="211" t="n"/>
    </row>
    <row r="339" ht="13.2" customHeight="1" s="176">
      <c r="B339" s="211" t="n"/>
    </row>
    <row r="340" ht="13.2" customHeight="1" s="176">
      <c r="B340" s="211" t="n"/>
    </row>
    <row r="341" ht="13.2" customHeight="1" s="176">
      <c r="B341" s="211" t="n"/>
    </row>
    <row r="342" ht="13.2" customHeight="1" s="176">
      <c r="B342" s="211" t="n"/>
    </row>
    <row r="343" ht="13.2" customHeight="1" s="176">
      <c r="B343" s="211" t="n"/>
    </row>
    <row r="344" ht="13.2" customHeight="1" s="176">
      <c r="B344" s="211" t="n"/>
    </row>
    <row r="345" ht="13.2" customHeight="1" s="176">
      <c r="B345" s="211" t="n"/>
    </row>
    <row r="346" ht="13.2" customHeight="1" s="176">
      <c r="B346" s="211" t="n"/>
    </row>
    <row r="347" ht="13.2" customHeight="1" s="176">
      <c r="B347" s="211" t="n"/>
    </row>
    <row r="348" ht="13.2" customHeight="1" s="176">
      <c r="B348" s="211" t="n"/>
    </row>
    <row r="349" ht="13.2" customHeight="1" s="176">
      <c r="B349" s="211" t="n"/>
    </row>
    <row r="350" ht="13.2" customHeight="1" s="176">
      <c r="B350" s="211" t="n"/>
    </row>
    <row r="351" ht="13.2" customHeight="1" s="176">
      <c r="B351" s="211" t="n"/>
    </row>
    <row r="352" ht="13.2" customHeight="1" s="176">
      <c r="B352" s="211" t="n"/>
    </row>
    <row r="353" ht="13.2" customHeight="1" s="176">
      <c r="B353" s="211" t="n"/>
    </row>
    <row r="354" ht="13.2" customHeight="1" s="176">
      <c r="B354" s="211" t="n"/>
    </row>
    <row r="355" ht="13.2" customHeight="1" s="176">
      <c r="B355" s="211" t="n"/>
    </row>
    <row r="356" ht="13.2" customHeight="1" s="176">
      <c r="B356" s="211" t="n"/>
    </row>
    <row r="357" ht="13.2" customHeight="1" s="176">
      <c r="B357" s="211" t="n"/>
    </row>
    <row r="358" ht="13.2" customHeight="1" s="176">
      <c r="B358" s="211" t="n"/>
    </row>
    <row r="359" ht="13.2" customHeight="1" s="176">
      <c r="B359" s="211" t="n"/>
    </row>
    <row r="360" ht="13.2" customHeight="1" s="176">
      <c r="B360" s="211" t="n"/>
    </row>
    <row r="361" ht="13.2" customHeight="1" s="176">
      <c r="B361" s="211" t="n"/>
    </row>
    <row r="362" ht="13.2" customHeight="1" s="176">
      <c r="B362" s="211" t="n"/>
    </row>
    <row r="363" ht="13.2" customHeight="1" s="176">
      <c r="B363" s="211" t="n"/>
    </row>
    <row r="364" ht="13.2" customHeight="1" s="176">
      <c r="B364" s="211" t="n"/>
    </row>
    <row r="365" ht="13.2" customHeight="1" s="176">
      <c r="B365" s="211" t="n"/>
    </row>
    <row r="366" ht="13.2" customHeight="1" s="176">
      <c r="B366" s="211" t="n"/>
    </row>
    <row r="367" ht="13.2" customHeight="1" s="176">
      <c r="B367" s="211" t="n"/>
    </row>
    <row r="368" ht="13.2" customHeight="1" s="176">
      <c r="B368" s="211" t="n"/>
    </row>
    <row r="369" ht="13.2" customHeight="1" s="176">
      <c r="B369" s="211" t="n"/>
    </row>
    <row r="370" ht="13.2" customHeight="1" s="176">
      <c r="B370" s="211" t="n"/>
    </row>
    <row r="371" ht="13.2" customHeight="1" s="176">
      <c r="B371" s="211" t="n"/>
    </row>
    <row r="372" ht="13.2" customHeight="1" s="176">
      <c r="B372" s="211" t="n"/>
    </row>
    <row r="373" ht="13.2" customHeight="1" s="176">
      <c r="B373" s="211" t="n"/>
    </row>
    <row r="374" ht="13.2" customHeight="1" s="176">
      <c r="B374" s="211" t="n"/>
    </row>
    <row r="375" ht="13.2" customHeight="1" s="176">
      <c r="B375" s="211" t="n"/>
    </row>
    <row r="376" ht="13.2" customHeight="1" s="176">
      <c r="B376" s="211" t="n"/>
    </row>
    <row r="377" ht="13.2" customHeight="1" s="176">
      <c r="B377" s="211" t="n"/>
    </row>
    <row r="378" ht="13.2" customHeight="1" s="176">
      <c r="B378" s="211" t="n"/>
    </row>
    <row r="379" ht="13.2" customHeight="1" s="176">
      <c r="B379" s="211" t="n"/>
    </row>
    <row r="380" ht="13.2" customHeight="1" s="176">
      <c r="B380" s="211" t="n"/>
    </row>
    <row r="381" ht="13.2" customHeight="1" s="176">
      <c r="B381" s="211" t="n"/>
    </row>
    <row r="382" ht="13.2" customHeight="1" s="176">
      <c r="B382" s="211" t="n"/>
    </row>
    <row r="383" ht="13.2" customHeight="1" s="176">
      <c r="B383" s="211" t="n"/>
    </row>
    <row r="384" ht="13.2" customHeight="1" s="176">
      <c r="B384" s="211" t="n"/>
    </row>
    <row r="385" ht="13.2" customHeight="1" s="176">
      <c r="B385" s="211" t="n"/>
    </row>
    <row r="386" ht="13.2" customHeight="1" s="176">
      <c r="B386" s="211" t="n"/>
    </row>
    <row r="387" ht="13.2" customHeight="1" s="176">
      <c r="B387" s="211" t="n"/>
    </row>
    <row r="388" ht="13.2" customHeight="1" s="176">
      <c r="B388" s="211" t="n"/>
    </row>
    <row r="389" ht="13.2" customHeight="1" s="176">
      <c r="B389" s="211" t="n"/>
    </row>
    <row r="390" ht="13.2" customHeight="1" s="176">
      <c r="B390" s="211" t="n"/>
    </row>
    <row r="391" ht="13.2" customHeight="1" s="176">
      <c r="B391" s="211" t="n"/>
    </row>
    <row r="392" ht="13.2" customHeight="1" s="176">
      <c r="B392" s="211" t="n"/>
    </row>
    <row r="393" ht="13.2" customHeight="1" s="176">
      <c r="B393" s="211" t="n"/>
    </row>
    <row r="394" ht="13.2" customHeight="1" s="176">
      <c r="B394" s="211" t="n"/>
    </row>
    <row r="395" ht="13.2" customHeight="1" s="176">
      <c r="B395" s="211" t="n"/>
    </row>
    <row r="396" ht="13.2" customHeight="1" s="176">
      <c r="B396" s="211" t="n"/>
    </row>
    <row r="397" ht="13.2" customHeight="1" s="176">
      <c r="B397" s="211" t="n"/>
    </row>
    <row r="398" ht="13.2" customHeight="1" s="176">
      <c r="B398" s="211" t="n"/>
    </row>
    <row r="399" ht="13.2" customHeight="1" s="176">
      <c r="B399" s="211" t="n"/>
    </row>
    <row r="400" ht="13.2" customHeight="1" s="176">
      <c r="B400" s="211" t="n"/>
    </row>
    <row r="401" ht="13.2" customHeight="1" s="176">
      <c r="B401" s="211" t="n"/>
    </row>
    <row r="402" ht="13.2" customHeight="1" s="176">
      <c r="B402" s="211" t="n"/>
    </row>
    <row r="403" ht="13.2" customHeight="1" s="176">
      <c r="B403" s="211" t="n"/>
    </row>
    <row r="404" ht="13.2" customHeight="1" s="176">
      <c r="B404" s="211" t="n"/>
    </row>
    <row r="405" ht="13.2" customHeight="1" s="176">
      <c r="B405" s="211" t="n"/>
    </row>
    <row r="406" ht="13.2" customHeight="1" s="176">
      <c r="B406" s="211" t="n"/>
    </row>
    <row r="407" ht="13.2" customHeight="1" s="176">
      <c r="B407" s="211" t="n"/>
    </row>
    <row r="408" ht="13.2" customHeight="1" s="176">
      <c r="B408" s="211" t="n"/>
    </row>
    <row r="409" ht="13.2" customHeight="1" s="176">
      <c r="B409" s="211" t="n"/>
    </row>
    <row r="410" ht="13.2" customHeight="1" s="176">
      <c r="B410" s="211" t="n"/>
    </row>
    <row r="411" ht="13.2" customHeight="1" s="176">
      <c r="B411" s="211" t="n"/>
    </row>
    <row r="412" ht="13.2" customHeight="1" s="176">
      <c r="B412" s="211" t="n"/>
    </row>
    <row r="413" ht="13.2" customHeight="1" s="176">
      <c r="B413" s="211" t="n"/>
    </row>
    <row r="414" ht="13.2" customHeight="1" s="176">
      <c r="B414" s="211" t="n"/>
    </row>
    <row r="415" ht="13.2" customHeight="1" s="176">
      <c r="B415" s="211" t="n"/>
    </row>
    <row r="416" ht="13.2" customHeight="1" s="176">
      <c r="B416" s="211" t="n"/>
    </row>
    <row r="417" ht="13.2" customHeight="1" s="176">
      <c r="B417" s="211" t="n"/>
    </row>
    <row r="418" ht="13.2" customHeight="1" s="176">
      <c r="B418" s="211" t="n"/>
    </row>
    <row r="419" ht="13.2" customHeight="1" s="176">
      <c r="B419" s="211" t="n"/>
    </row>
    <row r="420" ht="13.2" customHeight="1" s="176">
      <c r="B420" s="211" t="n"/>
    </row>
    <row r="421" ht="13.2" customHeight="1" s="176">
      <c r="B421" s="211" t="n"/>
    </row>
    <row r="422" ht="13.2" customHeight="1" s="176">
      <c r="B422" s="211" t="n"/>
    </row>
    <row r="423" ht="13.2" customHeight="1" s="176">
      <c r="B423" s="211" t="n"/>
    </row>
    <row r="424" ht="13.2" customHeight="1" s="176">
      <c r="B424" s="211" t="n"/>
    </row>
    <row r="425" ht="13.2" customHeight="1" s="176">
      <c r="B425" s="211" t="n"/>
    </row>
    <row r="426" ht="13.2" customHeight="1" s="176">
      <c r="B426" s="211" t="n"/>
    </row>
    <row r="427" ht="13.2" customHeight="1" s="176">
      <c r="B427" s="211" t="n"/>
    </row>
    <row r="428" ht="13.2" customHeight="1" s="176">
      <c r="B428" s="211" t="n"/>
    </row>
    <row r="429" ht="13.2" customHeight="1" s="176">
      <c r="B429" s="211" t="n"/>
    </row>
    <row r="430" ht="13.2" customHeight="1" s="176">
      <c r="B430" s="211" t="n"/>
    </row>
    <row r="431" ht="13.2" customHeight="1" s="176">
      <c r="B431" s="211" t="n"/>
    </row>
    <row r="432" ht="13.2" customHeight="1" s="176">
      <c r="B432" s="211" t="n"/>
    </row>
    <row r="433" ht="13.2" customHeight="1" s="176">
      <c r="B433" s="211" t="n"/>
    </row>
  </sheetData>
  <printOptions horizontalCentered="1" verticalCentered="0" headings="0" gridLines="0" gridLinesSet="1"/>
  <pageMargins left="0.9840277777777779" right="0.9840277777777779" top="1.02361111111111" bottom="0.472222222222222" header="0.236111111111111" footer="0.236111111111111"/>
  <pageSetup orientation="landscape" paperSize="9" scale="100" fitToHeight="3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  &amp;P&amp;R&amp;"Times New Roman,Regular"&amp;8 3/11/06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S2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015625" defaultRowHeight="13.2" customHeight="1" zeroHeight="0" outlineLevelRow="0"/>
  <cols>
    <col width="2.32" customWidth="1" style="211" min="1" max="1"/>
    <col width="43.55" customWidth="1" style="211" min="2" max="2"/>
    <col width="14.1" customWidth="1" style="213" min="3" max="3"/>
    <col width="30.1" customWidth="1" style="213" min="4" max="4"/>
    <col width="14.1" customWidth="1" style="213" min="5" max="5"/>
    <col width="14.1" customWidth="1" style="255" min="6" max="6"/>
    <col width="14.1" customWidth="1" style="213" min="7" max="8"/>
    <col width="14.1" customWidth="1" style="255" min="9" max="19"/>
    <col width="14.99" customWidth="1" style="211" min="20" max="20"/>
    <col width="15.99" customWidth="1" style="211" min="21" max="21"/>
    <col width="9.1" customWidth="1" style="211" min="22" max="30"/>
    <col width="11.43" customWidth="1" style="211" min="31" max="31"/>
    <col width="9.1" customWidth="1" style="211" min="32" max="257"/>
  </cols>
  <sheetData>
    <row r="1" ht="13.8" customHeight="1" s="176"/>
    <row r="2" ht="13.8" customHeight="1" s="176">
      <c r="B2" s="190" t="inlineStr">
        <is>
          <t>Invoice details - Retained Contract</t>
        </is>
      </c>
      <c r="D2" s="220" t="inlineStr">
        <is>
          <t>Period:</t>
        </is>
      </c>
      <c r="E2" s="188">
        <f>Period</f>
        <v/>
      </c>
    </row>
    <row r="3" ht="16.2" customHeight="1" s="176">
      <c r="B3" s="218" t="n"/>
      <c r="C3" s="217" t="n"/>
      <c r="D3" s="217" t="n"/>
      <c r="E3" s="217" t="n"/>
      <c r="F3" s="240" t="n"/>
      <c r="G3" s="217" t="n"/>
      <c r="H3" s="217" t="n"/>
      <c r="I3" s="240" t="n"/>
      <c r="J3" s="240" t="n"/>
      <c r="K3" s="240" t="n"/>
      <c r="L3" s="240" t="n"/>
      <c r="M3" s="240" t="n"/>
      <c r="N3" s="240" t="n"/>
      <c r="O3" s="240" t="n"/>
      <c r="P3" s="240" t="n"/>
      <c r="Q3" s="240" t="n"/>
      <c r="R3" s="240" t="n"/>
      <c r="S3" s="240" t="n"/>
    </row>
    <row r="4" ht="34.5" customHeight="1" s="176">
      <c r="B4" s="270" t="inlineStr">
        <is>
          <t>bundle</t>
        </is>
      </c>
      <c r="C4" s="270" t="inlineStr">
        <is>
          <t>Contract code / Ref. No.</t>
        </is>
      </c>
      <c r="D4" s="270" t="inlineStr">
        <is>
          <t>Agreement Number</t>
        </is>
      </c>
      <c r="E4" s="270" t="inlineStr">
        <is>
          <t>Location (NL/Be)</t>
        </is>
      </c>
      <c r="F4" s="270" t="inlineStr">
        <is>
          <t>PST member</t>
        </is>
      </c>
      <c r="G4" s="270" t="inlineStr">
        <is>
          <t>Third Party Vendor</t>
        </is>
      </c>
      <c r="H4" s="270" t="inlineStr">
        <is>
          <t>Description of Services</t>
        </is>
      </c>
      <c r="I4" s="270" t="inlineStr">
        <is>
          <t>Start date</t>
        </is>
      </c>
      <c r="J4" s="270" t="inlineStr">
        <is>
          <t>Expiration Date</t>
        </is>
      </c>
      <c r="K4" s="270" t="inlineStr">
        <is>
          <t>Contract period</t>
        </is>
      </c>
      <c r="L4" s="270" t="inlineStr">
        <is>
          <t>Current month</t>
        </is>
      </c>
      <c r="M4" s="270" t="inlineStr">
        <is>
          <t>YTD payment</t>
        </is>
      </c>
      <c r="N4" s="270" t="inlineStr">
        <is>
          <t>Forecast Year 1</t>
        </is>
      </c>
      <c r="O4" s="270" t="inlineStr">
        <is>
          <t>Forecast Year 2</t>
        </is>
      </c>
      <c r="P4" s="270" t="inlineStr">
        <is>
          <t>Forecast Year 3</t>
        </is>
      </c>
      <c r="Q4" s="270" t="inlineStr">
        <is>
          <t>Forecast Year 4</t>
        </is>
      </c>
      <c r="R4" s="270" t="inlineStr">
        <is>
          <t>Forecast Year 5</t>
        </is>
      </c>
      <c r="S4" s="270" t="inlineStr">
        <is>
          <t>remarks</t>
        </is>
      </c>
    </row>
    <row r="5" ht="13.2" customHeight="1" s="176">
      <c r="B5" s="192" t="n"/>
      <c r="C5" s="192" t="n"/>
      <c r="D5" s="192" t="n"/>
      <c r="E5" s="192" t="n"/>
      <c r="F5" s="256" t="n"/>
      <c r="G5" s="192" t="n"/>
      <c r="H5" s="256" t="n"/>
      <c r="I5" s="192" t="n"/>
      <c r="J5" s="256" t="n"/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</row>
    <row r="6" ht="13.2" customHeight="1" s="176">
      <c r="B6" s="195" t="n"/>
      <c r="C6" s="195" t="n"/>
      <c r="D6" s="195" t="n"/>
      <c r="E6" s="195" t="n"/>
      <c r="F6" s="257" t="n"/>
      <c r="G6" s="195" t="n"/>
      <c r="H6" s="257" t="n"/>
      <c r="I6" s="195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</row>
    <row r="7" ht="13.2" customHeight="1" s="176">
      <c r="B7" s="204" t="n"/>
      <c r="C7" s="204" t="n"/>
      <c r="D7" s="204" t="n"/>
      <c r="E7" s="204" t="n"/>
      <c r="F7" s="258" t="n"/>
      <c r="G7" s="204" t="n"/>
      <c r="H7" s="258" t="n"/>
      <c r="I7" s="204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</row>
    <row r="8" ht="13.2" customHeight="1" s="176">
      <c r="B8" s="195" t="n"/>
      <c r="C8" s="195" t="n"/>
      <c r="D8" s="195" t="n"/>
      <c r="E8" s="195" t="n"/>
      <c r="F8" s="257" t="n"/>
      <c r="G8" s="195" t="n"/>
      <c r="H8" s="257" t="n"/>
      <c r="I8" s="195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</row>
    <row r="9" ht="13.2" customHeight="1" s="176">
      <c r="B9" s="204" t="n"/>
      <c r="C9" s="204" t="n"/>
      <c r="D9" s="204" t="n"/>
      <c r="E9" s="204" t="n"/>
      <c r="F9" s="258" t="n"/>
      <c r="G9" s="204" t="n"/>
      <c r="H9" s="258" t="n"/>
      <c r="I9" s="204" t="n"/>
      <c r="J9" s="258" t="n"/>
      <c r="K9" s="258" t="n"/>
      <c r="L9" s="258" t="n"/>
      <c r="M9" s="258" t="n"/>
      <c r="N9" s="258" t="n"/>
      <c r="O9" s="258" t="n"/>
      <c r="P9" s="258" t="n"/>
      <c r="Q9" s="258" t="n"/>
      <c r="R9" s="258" t="n"/>
      <c r="S9" s="258" t="n"/>
    </row>
    <row r="10" ht="13.2" customHeight="1" s="176">
      <c r="B10" s="195" t="n"/>
      <c r="C10" s="195" t="n"/>
      <c r="D10" s="195" t="n"/>
      <c r="E10" s="195" t="n"/>
      <c r="F10" s="257" t="n"/>
      <c r="G10" s="195" t="n"/>
      <c r="H10" s="257" t="n"/>
      <c r="I10" s="195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</row>
    <row r="11" ht="13.2" customHeight="1" s="176">
      <c r="B11" s="204" t="n"/>
      <c r="C11" s="204" t="n"/>
      <c r="D11" s="204" t="n"/>
      <c r="E11" s="204" t="n"/>
      <c r="F11" s="258" t="n"/>
      <c r="G11" s="204" t="n"/>
      <c r="H11" s="258" t="n"/>
      <c r="I11" s="204" t="n"/>
      <c r="J11" s="258" t="n"/>
      <c r="K11" s="258" t="n"/>
      <c r="L11" s="258" t="n"/>
      <c r="M11" s="258" t="n"/>
      <c r="N11" s="258" t="n"/>
      <c r="O11" s="258" t="n"/>
      <c r="P11" s="258" t="n"/>
      <c r="Q11" s="258" t="n"/>
      <c r="R11" s="258" t="n"/>
      <c r="S11" s="258" t="n"/>
    </row>
    <row r="12" ht="13.2" customHeight="1" s="176">
      <c r="B12" s="195" t="n"/>
      <c r="C12" s="195" t="n"/>
      <c r="D12" s="195" t="n"/>
      <c r="E12" s="195" t="n"/>
      <c r="F12" s="257" t="n"/>
      <c r="G12" s="195" t="n"/>
      <c r="H12" s="257" t="n"/>
      <c r="I12" s="195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</row>
    <row r="13" ht="13.2" customHeight="1" s="176">
      <c r="B13" s="230" t="n"/>
      <c r="C13" s="230" t="n"/>
      <c r="D13" s="230" t="n"/>
      <c r="E13" s="230" t="n"/>
      <c r="F13" s="259" t="n"/>
      <c r="G13" s="230" t="n"/>
      <c r="H13" s="259" t="n"/>
      <c r="I13" s="230" t="n"/>
      <c r="J13" s="259" t="n"/>
      <c r="K13" s="259" t="n"/>
      <c r="L13" s="259" t="n"/>
      <c r="M13" s="259" t="n"/>
      <c r="N13" s="259" t="n"/>
      <c r="O13" s="259" t="n"/>
      <c r="P13" s="259" t="n"/>
      <c r="Q13" s="259" t="n"/>
      <c r="R13" s="259" t="n"/>
      <c r="S13" s="259" t="n"/>
    </row>
    <row r="14" ht="13.2" customHeight="1" s="176">
      <c r="B14" s="271" t="inlineStr">
        <is>
          <t>Total</t>
        </is>
      </c>
      <c r="C14" s="271" t="n"/>
      <c r="D14" s="271" t="n"/>
      <c r="E14" s="271" t="n"/>
      <c r="F14" s="272" t="n"/>
      <c r="G14" s="271" t="n"/>
      <c r="H14" s="272">
        <f>SUM(H5:H13)</f>
        <v/>
      </c>
      <c r="I14" s="272">
        <f>SUM(I5:I13)</f>
        <v/>
      </c>
      <c r="J14" s="272">
        <f>SUM(J5:J13)</f>
        <v/>
      </c>
      <c r="K14" s="272">
        <f>SUM(K5:K13)</f>
        <v/>
      </c>
      <c r="L14" s="272">
        <f>SUM(L5:L13)</f>
        <v/>
      </c>
      <c r="M14" s="272">
        <f>SUM(M5:M13)</f>
        <v/>
      </c>
      <c r="N14" s="272">
        <f>SUM(N5:N13)</f>
        <v/>
      </c>
      <c r="O14" s="272">
        <f>SUM(O5:O13)</f>
        <v/>
      </c>
      <c r="P14" s="272">
        <f>SUM(P5:P13)</f>
        <v/>
      </c>
      <c r="Q14" s="272">
        <f>SUM(Q5:Q13)</f>
        <v/>
      </c>
      <c r="R14" s="272">
        <f>SUM(R5:R13)</f>
        <v/>
      </c>
      <c r="S14" s="272">
        <f>SUM(S5:S13)</f>
        <v/>
      </c>
    </row>
    <row r="15" ht="15.6" customHeight="1" s="176">
      <c r="B15" s="237" t="n"/>
      <c r="C15" s="261" t="n"/>
      <c r="D15" s="261" t="n"/>
      <c r="E15" s="261" t="n"/>
      <c r="F15" s="239" t="n"/>
      <c r="G15" s="261" t="n"/>
      <c r="H15" s="261" t="n"/>
      <c r="I15" s="239" t="n"/>
      <c r="J15" s="239" t="n"/>
      <c r="K15" s="239" t="n"/>
      <c r="L15" s="239" t="n"/>
      <c r="M15" s="239" t="n"/>
      <c r="N15" s="239" t="n"/>
      <c r="O15" s="239" t="n"/>
      <c r="P15" s="239" t="n"/>
      <c r="Q15" s="239" t="n"/>
      <c r="R15" s="239" t="n"/>
      <c r="S15" s="239" t="n"/>
    </row>
    <row r="16" ht="13.2" customHeight="1" s="176">
      <c r="B16" s="211" t="n"/>
    </row>
    <row r="17" ht="13.2" customHeight="1" s="176">
      <c r="B17" s="211" t="n"/>
    </row>
    <row r="18" ht="13.2" customHeight="1" s="176">
      <c r="B18" s="211" t="n"/>
    </row>
    <row r="19" ht="13.2" customHeight="1" s="176">
      <c r="B19" s="211" t="n"/>
    </row>
    <row r="20" ht="13.2" customHeight="1" s="176">
      <c r="B20" s="211" t="n"/>
    </row>
    <row r="21" ht="13.2" customHeight="1" s="176">
      <c r="B21" s="211" t="n"/>
    </row>
    <row r="22" ht="13.2" customHeight="1" s="176">
      <c r="B22" s="211" t="n"/>
    </row>
    <row r="23" ht="13.2" customHeight="1" s="176">
      <c r="B23" s="211" t="n"/>
    </row>
    <row r="24" ht="13.2" customHeight="1" s="176">
      <c r="B24" s="211" t="n"/>
    </row>
    <row r="25" ht="13.2" customHeight="1" s="176">
      <c r="B25" s="211" t="n"/>
    </row>
    <row r="26" ht="13.2" customHeight="1" s="176">
      <c r="B26" s="211" t="n"/>
    </row>
    <row r="27" ht="13.2" customHeight="1" s="176">
      <c r="B27" s="211" t="n"/>
    </row>
    <row r="28" ht="13.2" customHeight="1" s="176">
      <c r="B28" s="211" t="n"/>
    </row>
    <row r="29" ht="13.2" customHeight="1" s="176">
      <c r="B29" s="211" t="n"/>
    </row>
    <row r="30" ht="13.2" customHeight="1" s="176">
      <c r="B30" s="211" t="n"/>
    </row>
    <row r="31" ht="13.2" customHeight="1" s="176">
      <c r="B31" s="211" t="n"/>
    </row>
    <row r="32" ht="13.2" customHeight="1" s="176">
      <c r="B32" s="211" t="n"/>
    </row>
    <row r="33" ht="13.2" customHeight="1" s="176">
      <c r="B33" s="211" t="n"/>
    </row>
    <row r="34" ht="13.2" customHeight="1" s="176">
      <c r="B34" s="211" t="n"/>
    </row>
    <row r="35" ht="13.2" customHeight="1" s="176">
      <c r="B35" s="211" t="n"/>
    </row>
    <row r="36" ht="13.2" customHeight="1" s="176">
      <c r="B36" s="211" t="n"/>
    </row>
    <row r="37" ht="13.2" customHeight="1" s="176">
      <c r="B37" s="211" t="n"/>
    </row>
    <row r="38" ht="13.2" customHeight="1" s="176">
      <c r="B38" s="211" t="n"/>
    </row>
    <row r="39" ht="13.2" customHeight="1" s="176">
      <c r="B39" s="211" t="n"/>
    </row>
    <row r="40" ht="13.2" customHeight="1" s="176">
      <c r="B40" s="211" t="n"/>
    </row>
    <row r="41" ht="13.2" customHeight="1" s="176">
      <c r="B41" s="211" t="n"/>
    </row>
    <row r="42" ht="13.2" customHeight="1" s="176">
      <c r="B42" s="211" t="n"/>
    </row>
    <row r="43" ht="13.2" customHeight="1" s="176">
      <c r="B43" s="211" t="n"/>
    </row>
    <row r="44" ht="13.2" customHeight="1" s="176">
      <c r="B44" s="211" t="n"/>
    </row>
    <row r="45" ht="13.2" customHeight="1" s="176">
      <c r="B45" s="211" t="n"/>
    </row>
    <row r="46" ht="13.2" customHeight="1" s="176">
      <c r="B46" s="211" t="n"/>
    </row>
    <row r="47" ht="13.2" customHeight="1" s="176">
      <c r="B47" s="211" t="n"/>
    </row>
    <row r="48" ht="13.2" customHeight="1" s="176">
      <c r="B48" s="211" t="n"/>
    </row>
    <row r="49" ht="13.2" customHeight="1" s="176">
      <c r="B49" s="211" t="n"/>
    </row>
    <row r="50" ht="13.2" customHeight="1" s="176">
      <c r="B50" s="211" t="n"/>
    </row>
    <row r="51" ht="13.2" customHeight="1" s="176">
      <c r="B51" s="211" t="n"/>
    </row>
    <row r="52" ht="13.2" customHeight="1" s="176">
      <c r="B52" s="211" t="n"/>
    </row>
    <row r="53" ht="13.2" customHeight="1" s="176">
      <c r="B53" s="211" t="n"/>
    </row>
    <row r="54" ht="13.2" customHeight="1" s="176">
      <c r="B54" s="211" t="n"/>
    </row>
    <row r="55" ht="13.2" customHeight="1" s="176">
      <c r="B55" s="211" t="n"/>
    </row>
    <row r="56" ht="13.2" customHeight="1" s="176">
      <c r="B56" s="211" t="n"/>
    </row>
    <row r="57" ht="13.2" customHeight="1" s="176">
      <c r="B57" s="211" t="n"/>
    </row>
    <row r="58" ht="13.2" customHeight="1" s="176">
      <c r="B58" s="211" t="n"/>
    </row>
    <row r="59" ht="13.2" customHeight="1" s="176">
      <c r="B59" s="211" t="n"/>
    </row>
    <row r="60" ht="13.2" customHeight="1" s="176">
      <c r="B60" s="211" t="n"/>
    </row>
    <row r="61" ht="13.2" customHeight="1" s="176">
      <c r="B61" s="211" t="n"/>
    </row>
    <row r="62" ht="13.2" customHeight="1" s="176">
      <c r="B62" s="211" t="n"/>
    </row>
    <row r="63" ht="13.2" customHeight="1" s="176">
      <c r="B63" s="211" t="n"/>
    </row>
    <row r="64" ht="13.2" customHeight="1" s="176">
      <c r="B64" s="211" t="n"/>
    </row>
    <row r="65" ht="13.2" customHeight="1" s="176">
      <c r="B65" s="211" t="n"/>
    </row>
    <row r="66" ht="13.2" customHeight="1" s="176">
      <c r="B66" s="211" t="n"/>
    </row>
    <row r="67" ht="13.2" customHeight="1" s="176">
      <c r="B67" s="211" t="n"/>
    </row>
    <row r="68" ht="13.2" customHeight="1" s="176">
      <c r="B68" s="211" t="n"/>
    </row>
    <row r="69" ht="13.2" customHeight="1" s="176">
      <c r="B69" s="211" t="n"/>
    </row>
    <row r="70" ht="13.2" customHeight="1" s="176">
      <c r="B70" s="211" t="n"/>
    </row>
    <row r="71" ht="13.2" customHeight="1" s="176">
      <c r="B71" s="211" t="n"/>
    </row>
    <row r="72" ht="13.2" customHeight="1" s="176">
      <c r="B72" s="211" t="n"/>
    </row>
    <row r="73" ht="13.2" customHeight="1" s="176">
      <c r="B73" s="211" t="n"/>
    </row>
    <row r="74" ht="13.2" customHeight="1" s="176">
      <c r="B74" s="211" t="n"/>
    </row>
    <row r="75" ht="13.2" customHeight="1" s="176">
      <c r="B75" s="211" t="n"/>
    </row>
    <row r="76" ht="13.2" customHeight="1" s="176">
      <c r="B76" s="211" t="n"/>
    </row>
    <row r="77" ht="13.2" customHeight="1" s="176">
      <c r="B77" s="211" t="n"/>
    </row>
    <row r="78" ht="13.2" customHeight="1" s="176">
      <c r="B78" s="211" t="n"/>
    </row>
    <row r="79" ht="13.2" customHeight="1" s="176">
      <c r="B79" s="211" t="n"/>
    </row>
    <row r="80" ht="13.2" customHeight="1" s="176">
      <c r="B80" s="211" t="n"/>
    </row>
    <row r="81" ht="13.2" customHeight="1" s="176">
      <c r="B81" s="211" t="n"/>
    </row>
    <row r="82" ht="13.2" customHeight="1" s="176">
      <c r="B82" s="211" t="n"/>
    </row>
    <row r="83" ht="13.2" customHeight="1" s="176">
      <c r="B83" s="211" t="n"/>
    </row>
    <row r="84" ht="13.2" customHeight="1" s="176">
      <c r="B84" s="211" t="n"/>
    </row>
    <row r="85" ht="13.2" customHeight="1" s="176">
      <c r="B85" s="211" t="n"/>
    </row>
    <row r="86" ht="13.2" customHeight="1" s="176">
      <c r="B86" s="211" t="n"/>
    </row>
    <row r="87" ht="13.2" customHeight="1" s="176">
      <c r="B87" s="211" t="n"/>
    </row>
    <row r="88" ht="13.2" customHeight="1" s="176">
      <c r="B88" s="211" t="n"/>
    </row>
    <row r="89" ht="13.2" customHeight="1" s="176">
      <c r="B89" s="211" t="n"/>
    </row>
    <row r="90" ht="13.2" customHeight="1" s="176">
      <c r="B90" s="211" t="n"/>
    </row>
    <row r="91" ht="13.2" customHeight="1" s="176">
      <c r="B91" s="211" t="n"/>
    </row>
    <row r="92" ht="13.2" customHeight="1" s="176">
      <c r="B92" s="211" t="n"/>
    </row>
    <row r="93" ht="13.2" customHeight="1" s="176">
      <c r="B93" s="211" t="n"/>
    </row>
    <row r="94" ht="13.2" customHeight="1" s="176">
      <c r="B94" s="211" t="n"/>
    </row>
    <row r="95" ht="13.2" customHeight="1" s="176">
      <c r="B95" s="211" t="n"/>
    </row>
    <row r="96" ht="13.2" customHeight="1" s="176">
      <c r="B96" s="211" t="n"/>
    </row>
    <row r="97" ht="13.2" customHeight="1" s="176">
      <c r="B97" s="211" t="n"/>
    </row>
    <row r="98" ht="13.2" customHeight="1" s="176">
      <c r="B98" s="211" t="n"/>
    </row>
    <row r="99" ht="13.2" customHeight="1" s="176">
      <c r="B99" s="211" t="n"/>
    </row>
    <row r="100" ht="13.2" customHeight="1" s="176">
      <c r="B100" s="211" t="n"/>
    </row>
    <row r="101" ht="13.2" customHeight="1" s="176">
      <c r="B101" s="211" t="n"/>
    </row>
    <row r="102" ht="13.2" customHeight="1" s="176">
      <c r="B102" s="211" t="n"/>
    </row>
    <row r="103" ht="13.2" customHeight="1" s="176">
      <c r="B103" s="211" t="n"/>
    </row>
    <row r="104" ht="13.2" customHeight="1" s="176">
      <c r="B104" s="211" t="n"/>
    </row>
    <row r="105" ht="13.2" customHeight="1" s="176">
      <c r="B105" s="211" t="n"/>
    </row>
    <row r="106" ht="13.2" customHeight="1" s="176">
      <c r="B106" s="211" t="n"/>
    </row>
    <row r="107" ht="13.2" customHeight="1" s="176">
      <c r="B107" s="211" t="n"/>
    </row>
    <row r="108" ht="13.2" customHeight="1" s="176">
      <c r="B108" s="211" t="n"/>
    </row>
    <row r="109" ht="13.2" customHeight="1" s="176">
      <c r="B109" s="211" t="n"/>
    </row>
    <row r="110" ht="13.2" customHeight="1" s="176">
      <c r="B110" s="211" t="n"/>
    </row>
    <row r="111" ht="13.2" customHeight="1" s="176">
      <c r="B111" s="211" t="n"/>
    </row>
    <row r="112" ht="13.2" customHeight="1" s="176">
      <c r="B112" s="211" t="n"/>
    </row>
    <row r="113" ht="13.2" customHeight="1" s="176">
      <c r="B113" s="211" t="n"/>
    </row>
    <row r="114" ht="13.2" customHeight="1" s="176">
      <c r="B114" s="211" t="n"/>
    </row>
    <row r="115" ht="13.2" customHeight="1" s="176">
      <c r="B115" s="211" t="n"/>
    </row>
    <row r="116" ht="13.2" customHeight="1" s="176">
      <c r="B116" s="211" t="n"/>
    </row>
    <row r="117" ht="13.2" customHeight="1" s="176">
      <c r="B117" s="211" t="n"/>
    </row>
    <row r="118" ht="13.2" customHeight="1" s="176">
      <c r="B118" s="211" t="n"/>
    </row>
    <row r="119" ht="13.2" customHeight="1" s="176">
      <c r="B119" s="211" t="n"/>
    </row>
    <row r="120" ht="13.2" customHeight="1" s="176">
      <c r="B120" s="211" t="n"/>
    </row>
    <row r="121" ht="13.2" customHeight="1" s="176">
      <c r="B121" s="211" t="n"/>
    </row>
    <row r="122" ht="13.2" customHeight="1" s="176">
      <c r="B122" s="211" t="n"/>
    </row>
    <row r="123" ht="13.2" customHeight="1" s="176">
      <c r="B123" s="211" t="n"/>
    </row>
    <row r="124" ht="13.2" customHeight="1" s="176">
      <c r="B124" s="211" t="n"/>
    </row>
    <row r="125" ht="13.2" customHeight="1" s="176">
      <c r="B125" s="211" t="n"/>
    </row>
    <row r="126" ht="13.2" customHeight="1" s="176">
      <c r="B126" s="211" t="n"/>
    </row>
    <row r="127" ht="13.2" customHeight="1" s="176">
      <c r="B127" s="211" t="n"/>
    </row>
    <row r="128" ht="13.2" customHeight="1" s="176">
      <c r="B128" s="211" t="n"/>
    </row>
    <row r="129" ht="13.2" customHeight="1" s="176">
      <c r="B129" s="211" t="n"/>
    </row>
    <row r="130" ht="13.2" customHeight="1" s="176">
      <c r="B130" s="211" t="n"/>
    </row>
    <row r="131" ht="13.2" customHeight="1" s="176">
      <c r="B131" s="211" t="n"/>
    </row>
    <row r="132" ht="13.2" customHeight="1" s="176">
      <c r="B132" s="211" t="n"/>
    </row>
    <row r="133" ht="13.2" customHeight="1" s="176">
      <c r="B133" s="211" t="n"/>
    </row>
    <row r="134" ht="13.2" customHeight="1" s="176">
      <c r="B134" s="211" t="n"/>
    </row>
    <row r="135" ht="13.2" customHeight="1" s="176">
      <c r="B135" s="211" t="n"/>
    </row>
    <row r="136" ht="13.2" customHeight="1" s="176">
      <c r="B136" s="211" t="n"/>
    </row>
    <row r="137" ht="13.2" customHeight="1" s="176">
      <c r="B137" s="211" t="n"/>
    </row>
    <row r="138" ht="13.2" customHeight="1" s="176">
      <c r="B138" s="211" t="n"/>
    </row>
    <row r="139" ht="13.2" customHeight="1" s="176">
      <c r="B139" s="211" t="n"/>
    </row>
    <row r="140" ht="13.2" customHeight="1" s="176">
      <c r="B140" s="211" t="n"/>
    </row>
    <row r="141" ht="13.2" customHeight="1" s="176">
      <c r="B141" s="211" t="n"/>
    </row>
    <row r="142" ht="13.2" customHeight="1" s="176">
      <c r="B142" s="211" t="n"/>
    </row>
    <row r="143" ht="13.2" customHeight="1" s="176">
      <c r="B143" s="211" t="n"/>
    </row>
    <row r="144" ht="13.2" customHeight="1" s="176">
      <c r="B144" s="211" t="n"/>
    </row>
    <row r="145" ht="13.2" customHeight="1" s="176">
      <c r="B145" s="211" t="n"/>
    </row>
    <row r="146" ht="13.2" customHeight="1" s="176">
      <c r="B146" s="211" t="n"/>
    </row>
    <row r="147" ht="13.2" customHeight="1" s="176">
      <c r="B147" s="211" t="n"/>
    </row>
    <row r="148" ht="13.2" customHeight="1" s="176">
      <c r="B148" s="211" t="n"/>
    </row>
    <row r="149" ht="13.2" customHeight="1" s="176">
      <c r="B149" s="211" t="n"/>
    </row>
    <row r="150" ht="13.2" customHeight="1" s="176">
      <c r="B150" s="211" t="n"/>
    </row>
    <row r="151" ht="13.2" customHeight="1" s="176">
      <c r="B151" s="211" t="n"/>
    </row>
    <row r="152" ht="13.2" customHeight="1" s="176">
      <c r="B152" s="211" t="n"/>
    </row>
    <row r="153" ht="13.2" customHeight="1" s="176">
      <c r="B153" s="211" t="n"/>
    </row>
    <row r="154" ht="13.2" customHeight="1" s="176">
      <c r="B154" s="211" t="n"/>
    </row>
    <row r="155" ht="13.2" customHeight="1" s="176">
      <c r="B155" s="211" t="n"/>
    </row>
    <row r="156" ht="13.2" customHeight="1" s="176">
      <c r="B156" s="211" t="n"/>
    </row>
    <row r="157" ht="13.2" customHeight="1" s="176">
      <c r="B157" s="211" t="n"/>
    </row>
    <row r="158" ht="13.2" customHeight="1" s="176">
      <c r="B158" s="211" t="n"/>
    </row>
    <row r="159" ht="13.2" customHeight="1" s="176">
      <c r="B159" s="211" t="n"/>
    </row>
    <row r="160" ht="13.2" customHeight="1" s="176">
      <c r="B160" s="211" t="n"/>
    </row>
    <row r="161" ht="13.2" customHeight="1" s="176">
      <c r="B161" s="211" t="n"/>
    </row>
    <row r="162" ht="13.2" customHeight="1" s="176">
      <c r="B162" s="211" t="n"/>
    </row>
    <row r="163" ht="13.2" customHeight="1" s="176">
      <c r="B163" s="211" t="n"/>
    </row>
    <row r="164" ht="13.2" customHeight="1" s="176">
      <c r="B164" s="211" t="n"/>
    </row>
    <row r="165" ht="13.2" customHeight="1" s="176">
      <c r="B165" s="211" t="n"/>
    </row>
    <row r="166" ht="13.2" customHeight="1" s="176">
      <c r="B166" s="211" t="n"/>
    </row>
    <row r="167" ht="13.2" customHeight="1" s="176">
      <c r="B167" s="211" t="n"/>
    </row>
    <row r="168" ht="13.2" customHeight="1" s="176">
      <c r="B168" s="211" t="n"/>
    </row>
    <row r="169" ht="13.2" customHeight="1" s="176">
      <c r="B169" s="211" t="n"/>
    </row>
    <row r="170" ht="13.2" customHeight="1" s="176">
      <c r="B170" s="211" t="n"/>
    </row>
    <row r="171" ht="13.2" customHeight="1" s="176">
      <c r="B171" s="211" t="n"/>
    </row>
    <row r="172" ht="13.2" customHeight="1" s="176">
      <c r="B172" s="211" t="n"/>
    </row>
    <row r="173" ht="13.2" customHeight="1" s="176">
      <c r="B173" s="211" t="n"/>
    </row>
    <row r="174" ht="13.2" customHeight="1" s="176">
      <c r="B174" s="211" t="n"/>
    </row>
    <row r="175" ht="13.2" customHeight="1" s="176">
      <c r="B175" s="211" t="n"/>
    </row>
    <row r="176" ht="13.2" customHeight="1" s="176">
      <c r="B176" s="211" t="n"/>
    </row>
    <row r="177" ht="13.2" customHeight="1" s="176">
      <c r="B177" s="211" t="n"/>
    </row>
    <row r="178" ht="13.2" customHeight="1" s="176">
      <c r="B178" s="211" t="n"/>
    </row>
    <row r="179" ht="13.2" customHeight="1" s="176">
      <c r="B179" s="211" t="n"/>
    </row>
    <row r="180" ht="13.2" customHeight="1" s="176">
      <c r="B180" s="211" t="n"/>
    </row>
    <row r="181" ht="13.2" customHeight="1" s="176">
      <c r="B181" s="211" t="n"/>
    </row>
    <row r="182" ht="13.2" customHeight="1" s="176">
      <c r="B182" s="211" t="n"/>
    </row>
    <row r="183" ht="13.2" customHeight="1" s="176">
      <c r="B183" s="211" t="n"/>
    </row>
    <row r="184" ht="13.2" customHeight="1" s="176">
      <c r="B184" s="211" t="n"/>
    </row>
    <row r="185" ht="13.2" customHeight="1" s="176">
      <c r="B185" s="211" t="n"/>
    </row>
    <row r="186" ht="13.2" customHeight="1" s="176">
      <c r="B186" s="211" t="n"/>
    </row>
    <row r="187" ht="13.2" customHeight="1" s="176">
      <c r="B187" s="211" t="n"/>
    </row>
    <row r="188" ht="13.2" customHeight="1" s="176">
      <c r="B188" s="211" t="n"/>
    </row>
    <row r="189" ht="13.2" customHeight="1" s="176">
      <c r="B189" s="211" t="n"/>
    </row>
    <row r="190" ht="13.2" customHeight="1" s="176">
      <c r="B190" s="211" t="n"/>
    </row>
    <row r="191" ht="13.2" customHeight="1" s="176">
      <c r="B191" s="211" t="n"/>
    </row>
    <row r="192" ht="13.2" customHeight="1" s="176">
      <c r="B192" s="211" t="n"/>
    </row>
    <row r="193" ht="13.2" customHeight="1" s="176">
      <c r="B193" s="211" t="n"/>
    </row>
    <row r="194" ht="13.2" customHeight="1" s="176">
      <c r="B194" s="211" t="n"/>
    </row>
    <row r="195" ht="13.2" customHeight="1" s="176">
      <c r="B195" s="211" t="n"/>
    </row>
    <row r="196" ht="13.2" customHeight="1" s="176">
      <c r="B196" s="211" t="n"/>
    </row>
    <row r="197" ht="13.2" customHeight="1" s="176">
      <c r="B197" s="211" t="n"/>
    </row>
    <row r="198" ht="13.2" customHeight="1" s="176">
      <c r="B198" s="211" t="n"/>
    </row>
    <row r="199" ht="13.2" customHeight="1" s="176">
      <c r="B199" s="211" t="n"/>
    </row>
    <row r="200" ht="13.2" customHeight="1" s="176">
      <c r="B200" s="211" t="n"/>
    </row>
    <row r="201" ht="13.2" customHeight="1" s="176">
      <c r="B201" s="211" t="n"/>
    </row>
    <row r="202" ht="13.2" customHeight="1" s="176">
      <c r="B202" s="211" t="n"/>
    </row>
    <row r="203" ht="13.2" customHeight="1" s="176">
      <c r="B203" s="211" t="n"/>
    </row>
    <row r="204" ht="13.2" customHeight="1" s="176">
      <c r="B204" s="211" t="n"/>
    </row>
    <row r="205" ht="13.2" customHeight="1" s="176">
      <c r="B205" s="211" t="n"/>
    </row>
    <row r="206" ht="13.2" customHeight="1" s="176">
      <c r="B206" s="211" t="n"/>
    </row>
    <row r="207" ht="13.2" customHeight="1" s="176">
      <c r="B207" s="211" t="n"/>
    </row>
    <row r="208" ht="13.2" customHeight="1" s="176">
      <c r="B208" s="211" t="n"/>
    </row>
    <row r="209" ht="13.2" customHeight="1" s="176">
      <c r="B209" s="211" t="n"/>
    </row>
    <row r="210" ht="13.2" customHeight="1" s="176">
      <c r="B210" s="211" t="n"/>
    </row>
    <row r="211" ht="13.2" customHeight="1" s="176">
      <c r="B211" s="211" t="n"/>
    </row>
    <row r="212" ht="13.2" customHeight="1" s="176">
      <c r="B212" s="211" t="n"/>
    </row>
    <row r="213" ht="13.2" customHeight="1" s="176">
      <c r="B213" s="211" t="n"/>
    </row>
    <row r="214" ht="13.2" customHeight="1" s="176">
      <c r="B214" s="211" t="n"/>
    </row>
    <row r="215" ht="13.2" customHeight="1" s="176">
      <c r="B215" s="211" t="n"/>
    </row>
    <row r="216" ht="13.2" customHeight="1" s="176">
      <c r="B216" s="211" t="n"/>
    </row>
    <row r="217" ht="13.2" customHeight="1" s="176">
      <c r="B217" s="211" t="n"/>
    </row>
    <row r="218" ht="13.2" customHeight="1" s="176">
      <c r="B218" s="211" t="n"/>
    </row>
    <row r="219" ht="13.2" customHeight="1" s="176">
      <c r="B219" s="211" t="n"/>
    </row>
    <row r="220" ht="13.2" customHeight="1" s="176">
      <c r="B220" s="211" t="n"/>
    </row>
    <row r="221" ht="13.2" customHeight="1" s="176">
      <c r="B221" s="211" t="n"/>
    </row>
    <row r="222" ht="13.2" customHeight="1" s="176">
      <c r="B222" s="211" t="n"/>
    </row>
    <row r="223" ht="13.2" customHeight="1" s="176">
      <c r="B223" s="211" t="n"/>
    </row>
    <row r="224" ht="13.2" customHeight="1" s="176">
      <c r="B224" s="211" t="n"/>
    </row>
    <row r="225" ht="13.2" customHeight="1" s="176">
      <c r="B225" s="211" t="n"/>
    </row>
    <row r="226" ht="13.2" customHeight="1" s="176">
      <c r="B226" s="211" t="n"/>
    </row>
    <row r="227" ht="13.2" customHeight="1" s="176">
      <c r="B227" s="211" t="n"/>
    </row>
    <row r="228" ht="13.2" customHeight="1" s="176">
      <c r="B228" s="211" t="n"/>
    </row>
    <row r="229" ht="13.2" customHeight="1" s="176">
      <c r="B229" s="211" t="n"/>
    </row>
    <row r="230" ht="13.2" customHeight="1" s="176">
      <c r="B230" s="211" t="n"/>
    </row>
    <row r="231" ht="13.2" customHeight="1" s="176">
      <c r="B231" s="211" t="n"/>
    </row>
    <row r="232" ht="13.2" customHeight="1" s="176">
      <c r="B232" s="211" t="n"/>
    </row>
    <row r="233" ht="13.2" customHeight="1" s="176">
      <c r="B233" s="211" t="n"/>
    </row>
    <row r="234" ht="13.2" customHeight="1" s="176">
      <c r="B234" s="211" t="n"/>
    </row>
    <row r="235" ht="13.2" customHeight="1" s="176">
      <c r="B235" s="211" t="n"/>
    </row>
    <row r="236" ht="13.2" customHeight="1" s="176">
      <c r="B236" s="211" t="n"/>
    </row>
    <row r="237" ht="13.2" customHeight="1" s="176">
      <c r="B237" s="211" t="n"/>
    </row>
    <row r="238" ht="13.2" customHeight="1" s="176">
      <c r="B238" s="211" t="n"/>
    </row>
    <row r="239" ht="13.2" customHeight="1" s="176">
      <c r="B239" s="211" t="n"/>
    </row>
    <row r="240" ht="13.2" customHeight="1" s="176">
      <c r="B240" s="211" t="n"/>
    </row>
    <row r="241" ht="13.2" customHeight="1" s="176">
      <c r="B241" s="211" t="n"/>
    </row>
    <row r="242" ht="13.2" customHeight="1" s="176">
      <c r="B242" s="211" t="n"/>
    </row>
  </sheetData>
  <printOptions horizontalCentered="1" verticalCentered="0" headings="0" gridLines="0" gridLinesSet="1"/>
  <pageMargins left="0.9840277777777779" right="0.9840277777777779" top="0.826388888888889" bottom="0.472222222222222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&amp;A&amp;R&amp;"Times New Roman,Regular"&amp;8 3/11/06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M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015625" defaultRowHeight="12.6" customHeight="1" zeroHeight="0" outlineLevelRow="0"/>
  <cols>
    <col width="1.55" customWidth="1" style="273" min="1" max="1"/>
    <col width="37.1" customWidth="1" style="273" min="2" max="2"/>
    <col width="2.99" customWidth="1" style="273" min="3" max="3"/>
    <col width="16.1" customWidth="1" style="274" min="4" max="4"/>
    <col width="1.99" customWidth="1" style="273" min="5" max="5"/>
    <col width="15.43" customWidth="1" style="274" min="6" max="6"/>
    <col width="1.99" customWidth="1" style="273" min="7" max="7"/>
    <col width="15.43" customWidth="1" style="274" min="8" max="8"/>
    <col width="1.99" customWidth="1" style="273" min="9" max="9"/>
    <col width="37.43" customWidth="1" style="273" min="10" max="10"/>
    <col width="58.99" customWidth="1" style="273" min="11" max="11"/>
    <col width="12.99" customWidth="1" style="273" min="12" max="12"/>
  </cols>
  <sheetData>
    <row r="1" ht="13.2" customHeight="1" s="176"/>
    <row r="2" ht="13.8" customHeight="1" s="176">
      <c r="B2" s="190" t="inlineStr">
        <is>
          <t>Invoice details - Projects</t>
        </is>
      </c>
      <c r="C2" s="213" t="n"/>
      <c r="D2" s="213" t="n"/>
      <c r="E2" s="213" t="n"/>
      <c r="F2" s="213" t="n"/>
      <c r="G2" s="213" t="n"/>
      <c r="H2" s="213" t="n"/>
      <c r="I2" s="213" t="n"/>
      <c r="J2" s="213" t="n"/>
      <c r="K2" s="213" t="n"/>
      <c r="L2" s="213" t="n"/>
      <c r="M2" s="213" t="n"/>
    </row>
    <row r="3" ht="16.2" customHeight="1" s="176">
      <c r="B3" s="218" t="n"/>
      <c r="C3" s="217" t="n"/>
      <c r="D3" s="217" t="n"/>
      <c r="E3" s="217" t="n"/>
      <c r="F3" s="217" t="n"/>
      <c r="G3" s="217" t="n"/>
      <c r="H3" s="217" t="n"/>
      <c r="I3" s="217" t="n"/>
      <c r="J3" s="217" t="n"/>
      <c r="K3" s="217" t="n"/>
      <c r="L3" s="217" t="n"/>
      <c r="M3" s="217" t="n"/>
    </row>
    <row r="4" ht="12.6" customHeight="1" s="176">
      <c r="B4" s="275" t="inlineStr">
        <is>
          <t>Project Name:</t>
        </is>
      </c>
      <c r="D4" s="276" t="inlineStr">
        <is>
          <t>Project1</t>
        </is>
      </c>
      <c r="E4" s="277" t="n"/>
      <c r="F4" s="276" t="inlineStr">
        <is>
          <t>Project2</t>
        </is>
      </c>
      <c r="G4" s="277" t="n"/>
      <c r="H4" s="276" t="inlineStr">
        <is>
          <t>Project3</t>
        </is>
      </c>
      <c r="I4" s="277" t="n"/>
    </row>
    <row r="5" ht="28.5" customHeight="1" s="176">
      <c r="B5" s="278" t="inlineStr">
        <is>
          <t>Project Description:</t>
        </is>
      </c>
      <c r="D5" s="279" t="inlineStr">
        <is>
          <t>Project1</t>
        </is>
      </c>
      <c r="E5" s="277" t="n"/>
      <c r="F5" s="279" t="inlineStr">
        <is>
          <t>Project2</t>
        </is>
      </c>
      <c r="G5" s="277" t="n"/>
      <c r="H5" s="279" t="inlineStr">
        <is>
          <t>Project3</t>
        </is>
      </c>
      <c r="J5" s="280" t="inlineStr">
        <is>
          <t>Definition</t>
        </is>
      </c>
      <c r="K5" s="280" t="inlineStr">
        <is>
          <t>Description</t>
        </is>
      </c>
      <c r="L5" s="280" t="inlineStr">
        <is>
          <t>Formula/Value</t>
        </is>
      </c>
    </row>
    <row r="6" ht="13.2" customHeight="1" s="176">
      <c r="B6" s="281" t="inlineStr">
        <is>
          <t>Infra senior supplier:</t>
        </is>
      </c>
      <c r="D6" s="192" t="n"/>
      <c r="F6" s="192" t="n"/>
      <c r="H6" s="192" t="n"/>
      <c r="J6" s="282" t="inlineStr">
        <is>
          <t>% Completion Actual YTD (PCA)</t>
        </is>
      </c>
      <c r="K6" s="283" t="inlineStr">
        <is>
          <t>Actual % of project total agreed mandays completed during a given period</t>
        </is>
      </c>
      <c r="L6" s="284" t="n"/>
    </row>
    <row r="7" ht="13.2" customHeight="1" s="176">
      <c r="B7" s="281" t="inlineStr">
        <is>
          <t>Bundle:</t>
        </is>
      </c>
      <c r="D7" s="195" t="n"/>
      <c r="F7" s="195" t="n"/>
      <c r="H7" s="195" t="n"/>
      <c r="J7" s="285" t="inlineStr">
        <is>
          <t>% Completion Planned YTD (PCP)</t>
        </is>
      </c>
      <c r="K7" s="285" t="inlineStr">
        <is>
          <t>Planned % of physical work completed during a given period</t>
        </is>
      </c>
      <c r="L7" s="286" t="n"/>
    </row>
    <row r="8" ht="13.2" customHeight="1" s="176">
      <c r="B8" s="281" t="inlineStr">
        <is>
          <t>Theme:</t>
        </is>
      </c>
      <c r="D8" s="192" t="n"/>
      <c r="F8" s="192" t="n"/>
      <c r="H8" s="192" t="n"/>
      <c r="J8" s="282" t="inlineStr">
        <is>
          <t>Earned Value (EV)</t>
        </is>
      </c>
      <c r="K8" s="282" t="inlineStr">
        <is>
          <t>Physical work completed during a given period</t>
        </is>
      </c>
      <c r="L8" s="284" t="inlineStr">
        <is>
          <t>PCA*BAC</t>
        </is>
      </c>
    </row>
    <row r="9" ht="13.2" customHeight="1" s="176">
      <c r="B9" s="281" t="inlineStr">
        <is>
          <t>Sponsor:</t>
        </is>
      </c>
      <c r="D9" s="195" t="n"/>
      <c r="F9" s="195" t="n"/>
      <c r="H9" s="195" t="n"/>
      <c r="J9" s="285" t="inlineStr">
        <is>
          <t>Actual Cost YTD (AC)</t>
        </is>
      </c>
      <c r="K9" s="285" t="inlineStr">
        <is>
          <t>Total costs incurred in completing work during a given period</t>
        </is>
      </c>
      <c r="L9" s="286" t="n"/>
    </row>
    <row r="10" ht="13.2" customHeight="1" s="176">
      <c r="B10" s="281" t="inlineStr">
        <is>
          <t>Infra senior supplier:</t>
        </is>
      </c>
      <c r="D10" s="192" t="n"/>
      <c r="F10" s="192" t="n"/>
      <c r="H10" s="192" t="n"/>
      <c r="J10" s="282" t="inlineStr">
        <is>
          <t>Planned Value YTD (PV)</t>
        </is>
      </c>
      <c r="K10" s="282" t="inlineStr">
        <is>
          <t>Physical work scheduled for completion during a given period</t>
        </is>
      </c>
      <c r="L10" s="284" t="inlineStr">
        <is>
          <t>PCP*BAC</t>
        </is>
      </c>
    </row>
    <row r="11" ht="13.2" customHeight="1" s="176">
      <c r="B11" s="281" t="inlineStr">
        <is>
          <t>SAMBA nr:</t>
        </is>
      </c>
      <c r="D11" s="195" t="n"/>
      <c r="F11" s="195" t="n"/>
      <c r="H11" s="195" t="n"/>
      <c r="J11" s="285" t="inlineStr">
        <is>
          <t>Cost Variance YTD (CV)</t>
        </is>
      </c>
      <c r="K11" s="285" t="inlineStr">
        <is>
          <t>Cost overrun during a given period</t>
        </is>
      </c>
      <c r="L11" s="286" t="inlineStr">
        <is>
          <t>EV-AC</t>
        </is>
      </c>
    </row>
    <row r="12" ht="13.2" customHeight="1" s="176">
      <c r="B12" s="281" t="inlineStr">
        <is>
          <t>Start date:</t>
        </is>
      </c>
      <c r="D12" s="192" t="n"/>
      <c r="F12" s="192" t="n"/>
      <c r="H12" s="192" t="n"/>
      <c r="J12" s="282" t="inlineStr">
        <is>
          <t>Schedule Variance YTD (SV)</t>
        </is>
      </c>
      <c r="K12" s="282" t="inlineStr">
        <is>
          <t>Schedule slipped during a given period</t>
        </is>
      </c>
      <c r="L12" s="284" t="inlineStr">
        <is>
          <t>EV-PV</t>
        </is>
      </c>
    </row>
    <row r="13" ht="13.2" customHeight="1" s="176">
      <c r="B13" s="281" t="inlineStr">
        <is>
          <t>End date:</t>
        </is>
      </c>
      <c r="D13" s="195" t="n"/>
      <c r="F13" s="195" t="n"/>
      <c r="H13" s="195" t="n"/>
      <c r="J13" s="285" t="inlineStr">
        <is>
          <t>Cost Performance Index YTD (CPI)</t>
        </is>
      </c>
      <c r="K13" s="285" t="inlineStr">
        <is>
          <t>Cost efficiency ratio</t>
        </is>
      </c>
      <c r="L13" s="286" t="inlineStr">
        <is>
          <t>EV/AC</t>
        </is>
      </c>
    </row>
    <row r="14" ht="13.2" customHeight="1" s="176">
      <c r="B14" s="281" t="inlineStr">
        <is>
          <t>Portfolio Category (SAMBA):</t>
        </is>
      </c>
      <c r="D14" s="192" t="n"/>
      <c r="F14" s="192" t="n"/>
      <c r="H14" s="192" t="n"/>
      <c r="J14" s="282" t="inlineStr">
        <is>
          <t>Schedule Performance Index YTD (SPI)</t>
        </is>
      </c>
      <c r="K14" s="282" t="inlineStr">
        <is>
          <t>Schedule efficiency ratio</t>
        </is>
      </c>
      <c r="L14" s="284" t="inlineStr">
        <is>
          <t>EV/PV</t>
        </is>
      </c>
    </row>
    <row r="15" ht="13.2" customHeight="1" s="176">
      <c r="B15" s="281" t="inlineStr">
        <is>
          <t>Impact:</t>
        </is>
      </c>
      <c r="D15" s="195" t="n"/>
      <c r="F15" s="195" t="n"/>
      <c r="H15" s="195" t="n"/>
      <c r="J15" s="285" t="inlineStr">
        <is>
          <t>Estimate to Completion (ETC)</t>
        </is>
      </c>
      <c r="K15" s="285" t="inlineStr">
        <is>
          <t>Expected additional cost needed</t>
        </is>
      </c>
      <c r="L15" s="286" t="inlineStr">
        <is>
          <t>EAC-AC</t>
        </is>
      </c>
    </row>
    <row r="16" ht="13.2" customHeight="1" s="176">
      <c r="B16" s="281" t="inlineStr">
        <is>
          <t>Service Group:</t>
        </is>
      </c>
      <c r="D16" s="192" t="n"/>
      <c r="F16" s="192" t="n"/>
      <c r="H16" s="192" t="n"/>
      <c r="J16" s="282" t="inlineStr">
        <is>
          <t>Estimate at Completion (EAC)</t>
        </is>
      </c>
      <c r="K16" s="282" t="inlineStr">
        <is>
          <t>Expected total cost</t>
        </is>
      </c>
      <c r="L16" s="284" t="inlineStr">
        <is>
          <t>BAC/CPI</t>
        </is>
      </c>
    </row>
    <row r="17" ht="13.2" customHeight="1" s="176">
      <c r="B17" s="281" t="inlineStr">
        <is>
          <t>Service cluster:</t>
        </is>
      </c>
      <c r="D17" s="195" t="n"/>
      <c r="F17" s="195" t="n"/>
      <c r="H17" s="195" t="n"/>
      <c r="J17" s="285" t="inlineStr">
        <is>
          <t>Budget at Completion (BAC)</t>
        </is>
      </c>
      <c r="K17" s="285" t="inlineStr">
        <is>
          <t>Baseline project cost</t>
        </is>
      </c>
      <c r="L17" s="286" t="n"/>
    </row>
    <row r="18" ht="13.2" customHeight="1" s="176">
      <c r="B18" s="281" t="inlineStr">
        <is>
          <t>Program/project manager:</t>
        </is>
      </c>
      <c r="D18" s="192" t="n"/>
      <c r="F18" s="192" t="n"/>
      <c r="H18" s="192" t="n"/>
      <c r="J18" s="282" t="inlineStr">
        <is>
          <t>Variance at Completion (VAC)</t>
        </is>
      </c>
      <c r="K18" s="282" t="inlineStr">
        <is>
          <t>Estimated cost overrun at end of project</t>
        </is>
      </c>
      <c r="L18" s="284" t="inlineStr">
        <is>
          <t>BAC-EAC</t>
        </is>
      </c>
    </row>
    <row r="19" ht="13.2" customHeight="1" s="176">
      <c r="B19" s="281" t="inlineStr">
        <is>
          <t>Project Role:</t>
        </is>
      </c>
      <c r="D19" s="195" t="n"/>
      <c r="F19" s="195" t="n"/>
      <c r="H19" s="195" t="n"/>
      <c r="J19" s="285" t="inlineStr">
        <is>
          <t>Status Based on AVG. PI</t>
        </is>
      </c>
      <c r="K19" s="285" t="inlineStr">
        <is>
          <t>Average of CPI and SPI</t>
        </is>
      </c>
      <c r="L19" s="286" t="inlineStr">
        <is>
          <t>(CPI+SPI)/2</t>
        </is>
      </c>
    </row>
    <row r="20" ht="13.2" customHeight="1" s="176">
      <c r="B20" s="281" t="inlineStr">
        <is>
          <t>PST supplier - TelCo (Y/N):</t>
        </is>
      </c>
      <c r="D20" s="192" t="n"/>
      <c r="F20" s="192" t="n"/>
      <c r="H20" s="192" t="n"/>
    </row>
    <row r="21" ht="13.2" customHeight="1" s="176">
      <c r="B21" s="281" t="inlineStr">
        <is>
          <t>PST supplier - Vendor Gamma (Y/N):</t>
        </is>
      </c>
      <c r="D21" s="192" t="n"/>
      <c r="F21" s="192" t="n"/>
      <c r="H21" s="192" t="n"/>
      <c r="J21" s="287" t="inlineStr">
        <is>
          <t>Status color key:</t>
        </is>
      </c>
      <c r="K21" s="288" t="inlineStr">
        <is>
          <t>Value</t>
        </is>
      </c>
    </row>
    <row r="22" ht="13.2" customHeight="1" s="176">
      <c r="B22" s="281" t="inlineStr">
        <is>
          <t>PST supplier - VendorA (Y/N):</t>
        </is>
      </c>
      <c r="D22" s="192" t="n"/>
      <c r="F22" s="192" t="n"/>
      <c r="H22" s="192" t="n"/>
      <c r="J22" s="285" t="inlineStr">
        <is>
          <t>GREEN = On track</t>
        </is>
      </c>
      <c r="K22" s="286" t="inlineStr">
        <is>
          <t>³1.0</t>
        </is>
      </c>
    </row>
    <row r="23" ht="13.2" customHeight="1" s="176">
      <c r="B23" s="281" t="inlineStr">
        <is>
          <t>PST supplier 2IM (Y/N):</t>
        </is>
      </c>
      <c r="D23" s="192" t="n"/>
      <c r="F23" s="192" t="n"/>
      <c r="H23" s="192" t="n"/>
      <c r="J23" s="282" t="inlineStr">
        <is>
          <t>YELLOW = Slightly behind schedule/budget</t>
        </is>
      </c>
      <c r="K23" s="284" t="inlineStr">
        <is>
          <t>³0.85 but &lt;1.0</t>
        </is>
      </c>
    </row>
    <row r="24" ht="13.2" customHeight="1" s="176">
      <c r="B24" s="289" t="inlineStr">
        <is>
          <t>Costs part of current bill (Y/N):</t>
        </is>
      </c>
      <c r="D24" s="195" t="n"/>
      <c r="F24" s="195" t="n"/>
      <c r="H24" s="195" t="n"/>
      <c r="J24" s="290" t="inlineStr">
        <is>
          <t>RED = Needs immediate attention</t>
        </is>
      </c>
      <c r="K24" s="291" t="inlineStr">
        <is>
          <t>&lt;0.85</t>
        </is>
      </c>
    </row>
    <row r="25" ht="13.2" customHeight="1" s="176"/>
    <row r="26" ht="13.2" customHeight="1" s="176">
      <c r="D26" s="292">
        <f>Period</f>
        <v/>
      </c>
      <c r="F26" s="292">
        <f>Period</f>
        <v/>
      </c>
      <c r="H26" s="292">
        <f>Period</f>
        <v/>
      </c>
    </row>
    <row r="27" ht="13.2" customHeight="1" s="176">
      <c r="D27" s="293" t="n"/>
      <c r="F27" s="293" t="n"/>
      <c r="H27" s="293" t="n"/>
    </row>
    <row r="28" ht="12.6" customHeight="1" s="176">
      <c r="B28" s="294" t="inlineStr">
        <is>
          <t>Actual Cost for thePeriod</t>
        </is>
      </c>
      <c r="D28" s="295" t="n"/>
      <c r="F28" s="295" t="n"/>
      <c r="H28" s="295" t="n"/>
    </row>
    <row r="29" ht="12.6" customHeight="1" s="176">
      <c r="B29" s="296" t="inlineStr">
        <is>
          <t>% Completion Actual YTD</t>
        </is>
      </c>
      <c r="D29" s="295" t="n">
        <v>0.08</v>
      </c>
      <c r="F29" s="295" t="n">
        <v>0.1</v>
      </c>
      <c r="H29" s="295" t="n">
        <v>0.12</v>
      </c>
    </row>
    <row r="30" ht="13.2" customHeight="1" s="176">
      <c r="B30" s="296" t="inlineStr">
        <is>
          <t>% Completion Planned YTD</t>
        </is>
      </c>
      <c r="D30" s="297" t="n">
        <v>0.1</v>
      </c>
      <c r="F30" s="297" t="n">
        <v>0.1</v>
      </c>
      <c r="H30" s="297" t="n">
        <v>0.1</v>
      </c>
    </row>
    <row r="31" ht="13.2" customHeight="1" s="176">
      <c r="B31" s="296" t="inlineStr">
        <is>
          <t>Earned Value YTD</t>
        </is>
      </c>
      <c r="D31" s="298">
        <f>D29*D40</f>
        <v/>
      </c>
      <c r="F31" s="298">
        <f>F29*F40</f>
        <v/>
      </c>
      <c r="H31" s="298">
        <f>H29*H40</f>
        <v/>
      </c>
    </row>
    <row r="32" ht="12.6" customHeight="1" s="176">
      <c r="B32" s="296" t="inlineStr">
        <is>
          <t>Actual Cost YTD</t>
        </is>
      </c>
      <c r="D32" s="299" t="n">
        <v>140</v>
      </c>
      <c r="F32" s="299" t="n">
        <v>170</v>
      </c>
      <c r="H32" s="299" t="n">
        <v>185</v>
      </c>
    </row>
    <row r="33" ht="13.2" customHeight="1" s="176">
      <c r="B33" s="296" t="inlineStr">
        <is>
          <t>Planned Value YTD</t>
        </is>
      </c>
      <c r="D33" s="298">
        <f>D30*D40</f>
        <v/>
      </c>
      <c r="F33" s="298">
        <f>F30*F40</f>
        <v/>
      </c>
      <c r="H33" s="298">
        <f>H30*H40</f>
        <v/>
      </c>
    </row>
    <row r="34" ht="13.2" customHeight="1" s="176">
      <c r="B34" s="296" t="inlineStr">
        <is>
          <t>Cost Variance YTD</t>
        </is>
      </c>
      <c r="D34" s="298">
        <f>D31-D32</f>
        <v/>
      </c>
      <c r="F34" s="298">
        <f>F31-F32</f>
        <v/>
      </c>
      <c r="H34" s="298">
        <f>H31-H32</f>
        <v/>
      </c>
    </row>
    <row r="35" ht="13.2" customHeight="1" s="176">
      <c r="B35" s="296" t="inlineStr">
        <is>
          <t>Schedule Variance YTD</t>
        </is>
      </c>
      <c r="D35" s="298">
        <f>D31-D33</f>
        <v/>
      </c>
      <c r="F35" s="298">
        <f>F31-F33</f>
        <v/>
      </c>
      <c r="H35" s="298">
        <f>H31-H33</f>
        <v/>
      </c>
    </row>
    <row r="36" ht="13.2" customHeight="1" s="176">
      <c r="B36" s="296" t="inlineStr">
        <is>
          <t>Cost Performance Index YTD</t>
        </is>
      </c>
      <c r="D36" s="298">
        <f>D31/D32</f>
        <v/>
      </c>
      <c r="F36" s="298">
        <f>F31/F32</f>
        <v/>
      </c>
      <c r="H36" s="298">
        <f>H31/H32</f>
        <v/>
      </c>
    </row>
    <row r="37" ht="13.2" customHeight="1" s="176">
      <c r="B37" s="296" t="inlineStr">
        <is>
          <t>Schedule Performance Index YTD</t>
        </is>
      </c>
      <c r="D37" s="298">
        <f>D31/D33</f>
        <v/>
      </c>
      <c r="F37" s="298">
        <f>F31/F33</f>
        <v/>
      </c>
      <c r="H37" s="298">
        <f>H31/H33</f>
        <v/>
      </c>
    </row>
    <row r="38" ht="13.2" customHeight="1" s="176">
      <c r="B38" s="296" t="inlineStr">
        <is>
          <t>Estimate to Completion</t>
        </is>
      </c>
      <c r="D38" s="298">
        <f>D39-D32</f>
        <v/>
      </c>
      <c r="F38" s="298">
        <f>F39-F32</f>
        <v/>
      </c>
      <c r="H38" s="298">
        <f>H39-H32</f>
        <v/>
      </c>
    </row>
    <row r="39" ht="13.2" customHeight="1" s="176">
      <c r="B39" s="296" t="inlineStr">
        <is>
          <t>Estimate at Completion</t>
        </is>
      </c>
      <c r="D39" s="298">
        <f>D40/D36</f>
        <v/>
      </c>
      <c r="F39" s="298">
        <f>F40/F36</f>
        <v/>
      </c>
      <c r="H39" s="298">
        <f>H40/H36</f>
        <v/>
      </c>
    </row>
    <row r="40" ht="13.2" customHeight="1" s="176">
      <c r="B40" s="296" t="inlineStr">
        <is>
          <t>Budget at Completion</t>
        </is>
      </c>
      <c r="D40" s="298">
        <f>1200</f>
        <v/>
      </c>
      <c r="F40" s="298" t="n">
        <v>1500</v>
      </c>
      <c r="H40" s="298" t="n">
        <v>1750</v>
      </c>
    </row>
    <row r="41" ht="13.2" customHeight="1" s="176">
      <c r="B41" s="296" t="inlineStr">
        <is>
          <t>Variance at Completion (VAC)</t>
        </is>
      </c>
      <c r="D41" s="298">
        <f>D39-D40</f>
        <v/>
      </c>
      <c r="F41" s="298">
        <f>F39-F40</f>
        <v/>
      </c>
      <c r="H41" s="298">
        <f>H39-H40</f>
        <v/>
      </c>
    </row>
    <row r="42" ht="13.2" customHeight="1" s="176">
      <c r="B42" s="300" t="inlineStr">
        <is>
          <t>Status based on Average Performance Index</t>
        </is>
      </c>
      <c r="D42" s="301">
        <f>(D36+D37)/2</f>
        <v/>
      </c>
      <c r="F42" s="301">
        <f>(F36+F37)/2</f>
        <v/>
      </c>
      <c r="H42" s="301">
        <f>(H36+H37)/2</f>
        <v/>
      </c>
    </row>
    <row r="43" ht="13.2" customHeight="1" s="176"/>
    <row r="44" ht="12.6" customHeight="1" s="176">
      <c r="B44" s="294" t="inlineStr">
        <is>
          <t>No. of FTE Actual - TelCo</t>
        </is>
      </c>
      <c r="D44" s="295" t="n"/>
      <c r="F44" s="295" t="n"/>
      <c r="H44" s="295" t="n"/>
    </row>
    <row r="45" ht="13.2" customHeight="1" s="176">
      <c r="B45" s="296" t="inlineStr">
        <is>
          <t xml:space="preserve">No. of FTE Budget - TelCo </t>
        </is>
      </c>
      <c r="D45" s="297" t="n"/>
      <c r="F45" s="297" t="n"/>
      <c r="H45" s="297" t="n"/>
    </row>
    <row r="46" ht="13.2" customHeight="1" s="176">
      <c r="B46" s="296" t="inlineStr">
        <is>
          <t>FTE Variance - TelCo</t>
        </is>
      </c>
      <c r="D46" s="302">
        <f>D44-D45</f>
        <v/>
      </c>
      <c r="F46" s="302">
        <f>F44-F45</f>
        <v/>
      </c>
      <c r="H46" s="302">
        <f>H44-H45</f>
        <v/>
      </c>
    </row>
    <row r="47" ht="12.6" customHeight="1" s="176">
      <c r="B47" s="296" t="inlineStr">
        <is>
          <t>No. of FTE Actual - Vendor Gamma</t>
        </is>
      </c>
      <c r="D47" s="295" t="n"/>
      <c r="F47" s="295" t="n"/>
      <c r="H47" s="295" t="n"/>
    </row>
    <row r="48" ht="13.2" customHeight="1" s="176">
      <c r="B48" s="296" t="inlineStr">
        <is>
          <t>No. of FTE Budget - Vendor Gamma</t>
        </is>
      </c>
      <c r="D48" s="297" t="n"/>
      <c r="F48" s="297" t="n"/>
      <c r="H48" s="297" t="n"/>
    </row>
    <row r="49" ht="13.2" customHeight="1" s="176">
      <c r="B49" s="296" t="inlineStr">
        <is>
          <t>FTE Variance - Vendor Gamma</t>
        </is>
      </c>
      <c r="D49" s="302">
        <f>D47-D48</f>
        <v/>
      </c>
      <c r="F49" s="302">
        <f>F47-F48</f>
        <v/>
      </c>
      <c r="H49" s="302">
        <f>H47-H48</f>
        <v/>
      </c>
    </row>
    <row r="50" ht="12.6" customHeight="1" s="176">
      <c r="B50" s="296" t="inlineStr">
        <is>
          <t>No. of FTE Actual - VendorA</t>
        </is>
      </c>
      <c r="D50" s="295" t="n"/>
      <c r="F50" s="295" t="n"/>
      <c r="H50" s="295" t="n"/>
    </row>
    <row r="51" ht="13.2" customHeight="1" s="176">
      <c r="B51" s="296" t="inlineStr">
        <is>
          <t>No. of FTE Budget - VendorA</t>
        </is>
      </c>
      <c r="D51" s="297" t="n"/>
      <c r="F51" s="297" t="n"/>
      <c r="H51" s="297" t="n"/>
    </row>
    <row r="52" ht="13.2" customHeight="1" s="176">
      <c r="B52" s="296" t="inlineStr">
        <is>
          <t>FTE Variance - VendorA</t>
        </is>
      </c>
      <c r="D52" s="302">
        <f>D50-D51</f>
        <v/>
      </c>
      <c r="F52" s="302">
        <f>F50-F51</f>
        <v/>
      </c>
      <c r="H52" s="302">
        <f>H50-H51</f>
        <v/>
      </c>
    </row>
    <row r="53" ht="12.6" customHeight="1" s="176">
      <c r="B53" s="296" t="inlineStr">
        <is>
          <t>No. of FTE Actual - 2IM</t>
        </is>
      </c>
      <c r="D53" s="295" t="n"/>
      <c r="F53" s="295" t="n"/>
      <c r="H53" s="295" t="n"/>
    </row>
    <row r="54" ht="13.2" customHeight="1" s="176">
      <c r="B54" s="296" t="inlineStr">
        <is>
          <t>No. of FTE Budget - 2IM</t>
        </is>
      </c>
      <c r="D54" s="297" t="n"/>
      <c r="F54" s="297" t="n"/>
      <c r="H54" s="297" t="n"/>
    </row>
    <row r="55" ht="13.8" customHeight="1" s="176">
      <c r="B55" s="300" t="inlineStr">
        <is>
          <t>FTE Variance - 2IM</t>
        </is>
      </c>
      <c r="D55" s="302">
        <f>D53-D54</f>
        <v/>
      </c>
      <c r="F55" s="302">
        <f>F53-F54</f>
        <v/>
      </c>
      <c r="H55" s="302">
        <f>H53-H54</f>
        <v/>
      </c>
    </row>
    <row r="56"/>
    <row r="57" ht="13.2" customHeight="1" s="176">
      <c r="B57" s="207" t="inlineStr">
        <is>
          <t>Comments</t>
        </is>
      </c>
      <c r="D57" s="303" t="n"/>
      <c r="E57" s="304" t="n"/>
      <c r="F57" s="303" t="n"/>
      <c r="G57" s="304" t="n"/>
      <c r="H57" s="303" t="n"/>
      <c r="I57" s="304" t="n"/>
    </row>
    <row r="58" ht="13.2" customHeight="1" s="176"/>
    <row r="59" ht="12.6" customHeight="1" s="176">
      <c r="B59" s="305" t="inlineStr">
        <is>
          <t>Total Project Cost for the Peiod</t>
        </is>
      </c>
      <c r="C59" s="306" t="n"/>
      <c r="D59" s="307">
        <f>D28+F28+H28</f>
        <v/>
      </c>
      <c r="G59" s="274" t="n"/>
    </row>
    <row r="60" ht="12.6" customHeight="1" s="176">
      <c r="B60" s="308" t="inlineStr">
        <is>
          <t>Total Project Cost YTD</t>
        </is>
      </c>
      <c r="C60" s="306" t="n"/>
      <c r="D60" s="309">
        <f>D32+F32+H32</f>
        <v/>
      </c>
    </row>
    <row r="61" ht="13.2" customHeight="1" s="176">
      <c r="B61" s="310" t="inlineStr">
        <is>
          <t>Total Project Cost  Estimated EOY</t>
        </is>
      </c>
      <c r="C61" s="306" t="n"/>
      <c r="D61" s="311">
        <f>D39+F39+H39</f>
        <v/>
      </c>
    </row>
  </sheetData>
  <conditionalFormatting sqref="D42 F42 H42">
    <cfRule type="cellIs" rank="0" priority="2" equalAverage="0" operator="lessThan" aboveAverage="0" dxfId="0" text="" percent="0" bottom="0">
      <formula>0.85</formula>
    </cfRule>
    <cfRule type="cellIs" rank="0" priority="3" equalAverage="0" operator="lessThan" aboveAverage="0" dxfId="1" text="" percent="0" bottom="0">
      <formula>1</formula>
    </cfRule>
    <cfRule type="cellIs" rank="0" priority="4" equalAverage="0" operator="greaterThanOrEqual" aboveAverage="0" dxfId="2" text="" percent="0" bottom="0">
      <formula>1</formula>
    </cfRule>
  </conditionalFormatting>
  <printOptions horizontalCentered="1" verticalCentered="0" headings="0" gridLines="0" gridLinesSet="1"/>
  <pageMargins left="0.9840277777777779" right="0.9840277777777779" top="0.826388888888889" bottom="0.472222222222222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&amp;A&amp;R&amp;"Times New Roman,Regular"&amp;8 3/11/06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Q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7.9921875" defaultRowHeight="12.6" customHeight="1" zeroHeight="0" outlineLevelRow="0"/>
  <cols>
    <col width="2.32" customWidth="1" style="312" min="1" max="1"/>
    <col width="40.99" customWidth="1" style="312" min="2" max="2"/>
    <col width="4.1" customWidth="1" style="312" min="3" max="3"/>
    <col width="15.32" customWidth="1" style="313" min="4" max="6"/>
    <col width="4.1" customWidth="1" style="312" min="7" max="7"/>
    <col width="63.55" customWidth="1" style="312" min="8" max="8"/>
    <col width="4.1" customWidth="1" style="312" min="9" max="9"/>
    <col width="14.55" customWidth="1" style="312" min="10" max="12"/>
    <col width="7.99" customWidth="1" style="312" min="13" max="257"/>
  </cols>
  <sheetData>
    <row r="1" ht="13.2" customHeight="1" s="176">
      <c r="B1" s="312" t="n"/>
      <c r="D1" s="314" t="n"/>
      <c r="E1" s="314" t="n"/>
      <c r="F1" s="314" t="n"/>
    </row>
    <row r="2" ht="27" customHeight="1" s="176">
      <c r="B2" s="190" t="inlineStr">
        <is>
          <t>Invoice details - Transition &amp; Transformation</t>
        </is>
      </c>
      <c r="C2" s="213" t="n"/>
      <c r="D2" s="213" t="n"/>
      <c r="E2" s="213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</row>
    <row r="3" ht="16.8" customHeight="1" s="176">
      <c r="B3" s="218" t="n"/>
      <c r="C3" s="217" t="n"/>
      <c r="D3" s="217" t="n"/>
      <c r="E3" s="217" t="n"/>
      <c r="F3" s="217" t="n"/>
      <c r="G3" s="217" t="n"/>
      <c r="H3" s="217" t="n"/>
      <c r="I3" s="217" t="n"/>
      <c r="J3" s="217" t="n"/>
      <c r="K3" s="217" t="n"/>
      <c r="L3" s="217" t="n"/>
      <c r="M3" s="217" t="n"/>
      <c r="N3" s="217" t="n"/>
      <c r="O3" s="217" t="n"/>
      <c r="P3" s="217" t="n"/>
      <c r="Q3" s="217" t="n"/>
    </row>
    <row r="4" ht="13.2" customHeight="1" s="176">
      <c r="B4" s="315" t="inlineStr">
        <is>
          <t>2IM</t>
        </is>
      </c>
      <c r="D4" s="316" t="inlineStr">
        <is>
          <t>Period</t>
        </is>
      </c>
      <c r="E4" s="316" t="inlineStr">
        <is>
          <t>YTD</t>
        </is>
      </c>
      <c r="F4" s="316" t="inlineStr">
        <is>
          <t>Forecast</t>
        </is>
      </c>
      <c r="H4" s="315" t="inlineStr">
        <is>
          <t>2IM</t>
        </is>
      </c>
      <c r="J4" s="316" t="inlineStr">
        <is>
          <t>Period</t>
        </is>
      </c>
      <c r="K4" s="316" t="inlineStr">
        <is>
          <t>YTD</t>
        </is>
      </c>
      <c r="L4" s="316" t="inlineStr">
        <is>
          <t>Forecast</t>
        </is>
      </c>
    </row>
    <row r="5" ht="13.8" customHeight="1" s="176">
      <c r="B5" s="317" t="n"/>
      <c r="D5" s="318">
        <f>Period</f>
        <v/>
      </c>
      <c r="E5" s="318">
        <f>Period</f>
        <v/>
      </c>
      <c r="F5" s="318" t="inlineStr">
        <is>
          <t>EOY</t>
        </is>
      </c>
      <c r="H5" s="317" t="n"/>
      <c r="J5" s="318">
        <f>Period</f>
        <v/>
      </c>
      <c r="K5" s="318">
        <f>Period</f>
        <v/>
      </c>
      <c r="L5" s="318" t="inlineStr">
        <is>
          <t>EOY</t>
        </is>
      </c>
    </row>
    <row r="6" ht="13.2" customHeight="1" s="176">
      <c r="B6" s="319" t="inlineStr">
        <is>
          <t>1. Transition Program Management Stream</t>
        </is>
      </c>
      <c r="D6" s="320" t="n"/>
      <c r="E6" s="320" t="n"/>
      <c r="F6" s="320" t="n"/>
      <c r="H6" s="319" t="inlineStr">
        <is>
          <t>1. From As to Be</t>
        </is>
      </c>
      <c r="J6" s="320" t="n"/>
      <c r="K6" s="320" t="n"/>
      <c r="L6" s="320" t="n"/>
    </row>
    <row r="7" ht="13.2" customHeight="1" s="176">
      <c r="B7" s="321" t="inlineStr">
        <is>
          <t>2. Service Management Stream</t>
        </is>
      </c>
      <c r="D7" s="322" t="n"/>
      <c r="E7" s="322" t="n"/>
      <c r="F7" s="322" t="n"/>
      <c r="H7" s="321" t="inlineStr">
        <is>
          <t>2. Business Continuity Planning (BCP) / Disaster Recovery</t>
        </is>
      </c>
      <c r="J7" s="322" t="n"/>
      <c r="K7" s="322" t="n"/>
      <c r="L7" s="322" t="n"/>
    </row>
    <row r="8" ht="13.2" customHeight="1" s="176">
      <c r="B8" s="323" t="inlineStr">
        <is>
          <t>3. Unit Operations Stream</t>
        </is>
      </c>
      <c r="D8" s="320" t="n"/>
      <c r="E8" s="320" t="n"/>
      <c r="F8" s="320" t="n"/>
      <c r="H8" s="323" t="inlineStr">
        <is>
          <t>3. ITIL  (CAP €996.000)</t>
        </is>
      </c>
      <c r="J8" s="320" t="n"/>
      <c r="K8" s="320" t="n"/>
      <c r="L8" s="320" t="n"/>
    </row>
    <row r="9" ht="13.2" customHeight="1" s="176">
      <c r="B9" s="321" t="inlineStr">
        <is>
          <t>4. Communications Stream</t>
        </is>
      </c>
      <c r="D9" s="322" t="n"/>
      <c r="E9" s="322" t="n"/>
      <c r="F9" s="322" t="n"/>
      <c r="H9" s="321" t="inlineStr">
        <is>
          <t>4. Security/SAS70  (CAP €1.000.000)</t>
        </is>
      </c>
      <c r="J9" s="322" t="n"/>
      <c r="K9" s="322" t="n"/>
      <c r="L9" s="322" t="n"/>
    </row>
    <row r="10" ht="13.2" customHeight="1" s="176">
      <c r="B10" s="323" t="inlineStr">
        <is>
          <t>5. Finance and Contract Management Stream</t>
        </is>
      </c>
      <c r="D10" s="320" t="n"/>
      <c r="E10" s="320" t="n"/>
      <c r="F10" s="320" t="n"/>
      <c r="H10" s="323" t="inlineStr">
        <is>
          <t>Programme Management &amp; Programme Management Office Staffing</t>
        </is>
      </c>
      <c r="J10" s="320" t="n"/>
      <c r="K10" s="320" t="n"/>
      <c r="L10" s="320" t="n"/>
    </row>
    <row r="11" ht="13.2" customHeight="1" s="176">
      <c r="B11" s="321" t="inlineStr">
        <is>
          <t>6. People Transfer Stream</t>
        </is>
      </c>
      <c r="D11" s="322" t="n"/>
      <c r="E11" s="322" t="n"/>
      <c r="F11" s="322" t="n"/>
      <c r="H11" s="321" t="n"/>
      <c r="J11" s="322" t="n"/>
      <c r="K11" s="322" t="n"/>
      <c r="L11" s="322" t="n"/>
    </row>
    <row r="12" ht="13.8" customHeight="1" s="176">
      <c r="B12" s="324" t="inlineStr">
        <is>
          <t>7. Knowledge Transfer Stream</t>
        </is>
      </c>
      <c r="D12" s="325" t="n"/>
      <c r="E12" s="325" t="n"/>
      <c r="F12" s="325" t="n"/>
      <c r="H12" s="324" t="n"/>
      <c r="J12" s="325" t="n"/>
      <c r="K12" s="325" t="n"/>
      <c r="L12" s="325" t="n"/>
    </row>
    <row r="13" ht="13.8" customHeight="1" s="176">
      <c r="A13" s="312" t="n"/>
      <c r="B13" s="326" t="inlineStr">
        <is>
          <t>TOTAL</t>
        </is>
      </c>
      <c r="C13" s="312" t="n"/>
      <c r="D13" s="327">
        <f>SUM(D6:D12)</f>
        <v/>
      </c>
      <c r="E13" s="327">
        <f>SUM(E6:E12)</f>
        <v/>
      </c>
      <c r="F13" s="327">
        <f>SUM(F6:F12)</f>
        <v/>
      </c>
      <c r="G13" s="312" t="n"/>
      <c r="H13" s="326" t="inlineStr">
        <is>
          <t>TOTAL</t>
        </is>
      </c>
      <c r="I13" s="312" t="n"/>
      <c r="J13" s="327">
        <f>SUM(J6:J12)</f>
        <v/>
      </c>
      <c r="K13" s="327">
        <f>SUM(K6:K12)</f>
        <v/>
      </c>
      <c r="L13" s="327">
        <f>SUM(L6:L12)</f>
        <v/>
      </c>
    </row>
    <row r="14" ht="23.4" customHeight="1" s="176">
      <c r="B14" s="328" t="n"/>
      <c r="D14" s="329" t="n"/>
      <c r="E14" s="329" t="n"/>
      <c r="F14" s="329" t="n"/>
      <c r="H14" s="312" t="n"/>
      <c r="J14" s="329" t="n"/>
      <c r="K14" s="329" t="n"/>
      <c r="L14" s="329" t="n"/>
    </row>
    <row r="15" ht="13.2" customHeight="1" s="176">
      <c r="B15" s="315" t="inlineStr">
        <is>
          <t>Vendor Alpha</t>
        </is>
      </c>
      <c r="D15" s="316" t="inlineStr">
        <is>
          <t>Period</t>
        </is>
      </c>
      <c r="E15" s="316" t="inlineStr">
        <is>
          <t>YTD</t>
        </is>
      </c>
      <c r="F15" s="316" t="inlineStr">
        <is>
          <t>Forecast</t>
        </is>
      </c>
      <c r="H15" s="315" t="inlineStr">
        <is>
          <t>Vendor Alpha</t>
        </is>
      </c>
      <c r="J15" s="316" t="inlineStr">
        <is>
          <t>Period</t>
        </is>
      </c>
      <c r="K15" s="316" t="inlineStr">
        <is>
          <t>YTD</t>
        </is>
      </c>
      <c r="L15" s="316" t="inlineStr">
        <is>
          <t>Forecast</t>
        </is>
      </c>
    </row>
    <row r="16" ht="13.8" customHeight="1" s="176">
      <c r="B16" s="317" t="n"/>
      <c r="D16" s="318">
        <f>Period</f>
        <v/>
      </c>
      <c r="E16" s="318">
        <f>Period</f>
        <v/>
      </c>
      <c r="F16" s="318" t="inlineStr">
        <is>
          <t>EOY</t>
        </is>
      </c>
      <c r="H16" s="317" t="n"/>
      <c r="J16" s="318">
        <f>Period</f>
        <v/>
      </c>
      <c r="K16" s="318">
        <f>Period</f>
        <v/>
      </c>
      <c r="L16" s="318" t="inlineStr">
        <is>
          <t>EOY</t>
        </is>
      </c>
    </row>
    <row r="17" ht="13.2" customHeight="1" s="176">
      <c r="B17" s="319" t="inlineStr">
        <is>
          <t>1. Transition Program Management Stream</t>
        </is>
      </c>
      <c r="D17" s="320" t="n"/>
      <c r="E17" s="320" t="n"/>
      <c r="F17" s="320" t="n"/>
      <c r="H17" s="319" t="inlineStr">
        <is>
          <t>1. From As to Be</t>
        </is>
      </c>
      <c r="J17" s="320" t="n"/>
      <c r="K17" s="320" t="n"/>
      <c r="L17" s="320" t="n"/>
    </row>
    <row r="18" ht="13.2" customHeight="1" s="176">
      <c r="B18" s="321" t="inlineStr">
        <is>
          <t>2. Service Management Stream</t>
        </is>
      </c>
      <c r="D18" s="322" t="n"/>
      <c r="E18" s="322" t="n"/>
      <c r="F18" s="322" t="n"/>
      <c r="H18" s="321" t="inlineStr">
        <is>
          <t>2. Self Service Portal</t>
        </is>
      </c>
      <c r="J18" s="322" t="n"/>
      <c r="K18" s="322" t="n"/>
      <c r="L18" s="322" t="n"/>
    </row>
    <row r="19" ht="13.2" customHeight="1" s="176">
      <c r="B19" s="323" t="inlineStr">
        <is>
          <t>3. Unit Operations Stream</t>
        </is>
      </c>
      <c r="D19" s="320" t="n"/>
      <c r="E19" s="320" t="n"/>
      <c r="F19" s="320" t="n"/>
      <c r="H19" s="323" t="inlineStr">
        <is>
          <t>2. Implement MOM monitoring framework</t>
        </is>
      </c>
      <c r="J19" s="320" t="n"/>
      <c r="K19" s="320" t="n"/>
      <c r="L19" s="320" t="n"/>
    </row>
    <row r="20" ht="13.2" customHeight="1" s="176">
      <c r="B20" s="321" t="inlineStr">
        <is>
          <t>4. Communications Stream</t>
        </is>
      </c>
      <c r="D20" s="322" t="n"/>
      <c r="E20" s="322" t="n"/>
      <c r="F20" s="322" t="n"/>
      <c r="H20" s="321" t="inlineStr">
        <is>
          <t xml:space="preserve">4. Client Deployment Rework </t>
        </is>
      </c>
      <c r="J20" s="322" t="n"/>
      <c r="K20" s="322" t="n"/>
      <c r="L20" s="322" t="n"/>
    </row>
    <row r="21" ht="13.2" customHeight="1" s="176">
      <c r="B21" s="323" t="inlineStr">
        <is>
          <t>5. Finance and Contract Management Stream</t>
        </is>
      </c>
      <c r="D21" s="320" t="n"/>
      <c r="E21" s="320" t="n"/>
      <c r="F21" s="320" t="n"/>
      <c r="H21" s="323" t="inlineStr">
        <is>
          <t>5. Integrate Metadirectory with Neptune services</t>
        </is>
      </c>
      <c r="J21" s="320" t="n"/>
      <c r="K21" s="320" t="n"/>
      <c r="L21" s="320" t="n"/>
    </row>
    <row r="22" ht="13.2" customHeight="1" s="176">
      <c r="B22" s="321" t="inlineStr">
        <is>
          <t>6. People Transfer Stream</t>
        </is>
      </c>
      <c r="D22" s="322" t="n"/>
      <c r="E22" s="322" t="n"/>
      <c r="F22" s="322" t="n"/>
      <c r="H22" s="321" t="inlineStr">
        <is>
          <t>6. Introduction of Vista</t>
        </is>
      </c>
      <c r="J22" s="322" t="n"/>
      <c r="K22" s="322" t="n"/>
      <c r="L22" s="322" t="n"/>
    </row>
    <row r="23" ht="13.2" customHeight="1" s="176">
      <c r="B23" s="323" t="inlineStr">
        <is>
          <t>7. Knowledge Transfer Stream</t>
        </is>
      </c>
      <c r="D23" s="320" t="n"/>
      <c r="E23" s="320" t="n"/>
      <c r="F23" s="320" t="n"/>
      <c r="H23" s="323" t="inlineStr">
        <is>
          <t>7. User Self Restore</t>
        </is>
      </c>
      <c r="J23" s="320" t="n"/>
      <c r="K23" s="320" t="n"/>
      <c r="L23" s="320" t="n"/>
    </row>
    <row r="24" ht="13.2" customHeight="1" s="176">
      <c r="B24" s="321" t="inlineStr">
        <is>
          <t>Communication Expenses</t>
        </is>
      </c>
      <c r="D24" s="322" t="n"/>
      <c r="E24" s="322" t="n"/>
      <c r="F24" s="322" t="n"/>
      <c r="H24" s="321" t="inlineStr">
        <is>
          <t>8. Distributed File system</t>
        </is>
      </c>
      <c r="J24" s="322" t="n"/>
      <c r="K24" s="322" t="n"/>
      <c r="L24" s="322" t="n"/>
    </row>
    <row r="25" ht="13.8" customHeight="1" s="176">
      <c r="B25" s="324" t="inlineStr">
        <is>
          <t>Expenses</t>
        </is>
      </c>
      <c r="D25" s="320" t="n"/>
      <c r="E25" s="320" t="n"/>
      <c r="F25" s="320" t="n"/>
      <c r="H25" s="323" t="inlineStr">
        <is>
          <t>Expenses</t>
        </is>
      </c>
      <c r="J25" s="320" t="n"/>
      <c r="K25" s="320" t="n"/>
      <c r="L25" s="320" t="n"/>
    </row>
    <row r="26" ht="13.8" customHeight="1" s="176">
      <c r="A26" s="312" t="n"/>
      <c r="B26" s="326" t="inlineStr">
        <is>
          <t>TOTAL</t>
        </is>
      </c>
      <c r="C26" s="312" t="n"/>
      <c r="D26" s="327">
        <f>SUM(D17:D25)</f>
        <v/>
      </c>
      <c r="E26" s="327">
        <f>SUM(E17:E25)</f>
        <v/>
      </c>
      <c r="F26" s="327">
        <f>SUM(F17:F25)</f>
        <v/>
      </c>
      <c r="G26" s="312" t="n"/>
      <c r="H26" s="326" t="inlineStr">
        <is>
          <t>TOTAL</t>
        </is>
      </c>
      <c r="I26" s="312" t="n"/>
      <c r="J26" s="327">
        <f>SUM(J17:J25)</f>
        <v/>
      </c>
      <c r="K26" s="327">
        <f>SUM(K17:K25)</f>
        <v/>
      </c>
      <c r="L26" s="327">
        <f>SUM(L17:L25)</f>
        <v/>
      </c>
    </row>
    <row r="27" ht="23.4" customHeight="1" s="176">
      <c r="B27" s="328" t="n"/>
      <c r="J27" s="313" t="n"/>
      <c r="K27" s="313" t="n"/>
      <c r="L27" s="313" t="n"/>
    </row>
    <row r="28" ht="13.2" customHeight="1" s="176">
      <c r="B28" s="315" t="inlineStr">
        <is>
          <t>Vendor Gamma</t>
        </is>
      </c>
      <c r="D28" s="316" t="inlineStr">
        <is>
          <t>Period</t>
        </is>
      </c>
      <c r="E28" s="316" t="inlineStr">
        <is>
          <t>YTD</t>
        </is>
      </c>
      <c r="F28" s="316" t="inlineStr">
        <is>
          <t>Forecast</t>
        </is>
      </c>
      <c r="H28" s="315" t="inlineStr">
        <is>
          <t>Vendor Gamma</t>
        </is>
      </c>
      <c r="J28" s="316" t="inlineStr">
        <is>
          <t>Period</t>
        </is>
      </c>
      <c r="K28" s="316" t="inlineStr">
        <is>
          <t>YTD</t>
        </is>
      </c>
      <c r="L28" s="316" t="inlineStr">
        <is>
          <t>Forecast</t>
        </is>
      </c>
    </row>
    <row r="29" ht="13.8" customHeight="1" s="176">
      <c r="B29" s="317" t="n"/>
      <c r="D29" s="318">
        <f>Period</f>
        <v/>
      </c>
      <c r="E29" s="318">
        <f>Period</f>
        <v/>
      </c>
      <c r="F29" s="318" t="inlineStr">
        <is>
          <t>EOY</t>
        </is>
      </c>
      <c r="H29" s="317" t="n"/>
      <c r="J29" s="318">
        <f>Period</f>
        <v/>
      </c>
      <c r="K29" s="318">
        <f>Period</f>
        <v/>
      </c>
      <c r="L29" s="318" t="inlineStr">
        <is>
          <t>EOY</t>
        </is>
      </c>
    </row>
    <row r="30" ht="13.2" customHeight="1" s="176">
      <c r="B30" s="319" t="inlineStr">
        <is>
          <t>0. asset management licences</t>
        </is>
      </c>
      <c r="D30" s="320" t="n"/>
      <c r="E30" s="320" t="n"/>
      <c r="F30" s="320" t="n"/>
      <c r="H30" s="319" t="inlineStr">
        <is>
          <t>1. From As to Be</t>
        </is>
      </c>
      <c r="J30" s="320" t="n"/>
      <c r="K30" s="320" t="n"/>
      <c r="L30" s="320" t="n"/>
    </row>
    <row r="31" ht="13.2" customHeight="1" s="176">
      <c r="B31" s="321" t="inlineStr">
        <is>
          <t>1. Transition Program Management Stream</t>
        </is>
      </c>
      <c r="D31" s="322" t="n"/>
      <c r="E31" s="322" t="n"/>
      <c r="F31" s="322" t="n"/>
      <c r="H31" s="321" t="inlineStr">
        <is>
          <t>2. Consolidation and Near Shore Service Desk</t>
        </is>
      </c>
      <c r="J31" s="322" t="n"/>
      <c r="K31" s="322" t="n"/>
      <c r="L31" s="322" t="n"/>
    </row>
    <row r="32" ht="13.2" customHeight="1" s="176">
      <c r="B32" s="323" t="inlineStr">
        <is>
          <t>2. Service Management Stream</t>
        </is>
      </c>
      <c r="D32" s="320" t="n"/>
      <c r="E32" s="320" t="n"/>
      <c r="F32" s="320" t="n"/>
      <c r="H32" s="323" t="n"/>
      <c r="J32" s="320" t="n"/>
      <c r="K32" s="320" t="n"/>
      <c r="L32" s="320" t="n"/>
    </row>
    <row r="33" ht="13.2" customHeight="1" s="176">
      <c r="B33" s="321" t="inlineStr">
        <is>
          <t>3. Unit Operations Stream</t>
        </is>
      </c>
      <c r="D33" s="322" t="n"/>
      <c r="E33" s="322" t="n"/>
      <c r="F33" s="322" t="n"/>
      <c r="H33" s="321" t="n"/>
      <c r="J33" s="322" t="n"/>
      <c r="K33" s="322" t="n"/>
      <c r="L33" s="322" t="n"/>
    </row>
    <row r="34" ht="13.2" customHeight="1" s="176">
      <c r="B34" s="323" t="inlineStr">
        <is>
          <t>4. Communications Stream</t>
        </is>
      </c>
      <c r="D34" s="320" t="n"/>
      <c r="E34" s="320" t="n"/>
      <c r="F34" s="320" t="n"/>
      <c r="H34" s="323" t="n"/>
      <c r="J34" s="320" t="n"/>
      <c r="K34" s="320" t="n"/>
      <c r="L34" s="320" t="n"/>
    </row>
    <row r="35" ht="13.2" customHeight="1" s="176">
      <c r="B35" s="321" t="inlineStr">
        <is>
          <t>5. Finance and Contract Management Stream</t>
        </is>
      </c>
      <c r="D35" s="322" t="n"/>
      <c r="E35" s="322" t="n"/>
      <c r="F35" s="322" t="n"/>
      <c r="H35" s="321" t="n"/>
      <c r="J35" s="322" t="n"/>
      <c r="K35" s="322" t="n"/>
      <c r="L35" s="322" t="n"/>
    </row>
    <row r="36" ht="13.2" customHeight="1" s="176">
      <c r="B36" s="323" t="inlineStr">
        <is>
          <t>6. People Transfer Stream</t>
        </is>
      </c>
      <c r="D36" s="320" t="n"/>
      <c r="E36" s="320" t="n"/>
      <c r="F36" s="320" t="n"/>
      <c r="H36" s="323" t="n"/>
      <c r="J36" s="320" t="n"/>
      <c r="K36" s="320" t="n"/>
      <c r="L36" s="320" t="n"/>
    </row>
    <row r="37" ht="13.8" customHeight="1" s="176">
      <c r="B37" s="323" t="inlineStr">
        <is>
          <t>7. Knowledge Transfer Stream</t>
        </is>
      </c>
      <c r="D37" s="320" t="n"/>
      <c r="E37" s="320" t="n"/>
      <c r="F37" s="320" t="n"/>
      <c r="H37" s="323" t="n"/>
      <c r="J37" s="322" t="n"/>
      <c r="K37" s="322" t="n"/>
      <c r="L37" s="322" t="n"/>
    </row>
    <row r="38" ht="13.8" customHeight="1" s="176">
      <c r="A38" s="312" t="n"/>
      <c r="B38" s="326" t="inlineStr">
        <is>
          <t>TOTAL</t>
        </is>
      </c>
      <c r="C38" s="312" t="n"/>
      <c r="D38" s="327">
        <f>SUM(D30:D37)</f>
        <v/>
      </c>
      <c r="E38" s="327">
        <f>SUM(E30:E37)</f>
        <v/>
      </c>
      <c r="F38" s="327">
        <f>SUM(F30:F37)</f>
        <v/>
      </c>
      <c r="G38" s="312" t="n"/>
      <c r="H38" s="326" t="inlineStr">
        <is>
          <t>TOTAL</t>
        </is>
      </c>
      <c r="I38" s="312" t="n"/>
      <c r="J38" s="327">
        <f>SUM(J30:J37)</f>
        <v/>
      </c>
      <c r="K38" s="327">
        <f>SUM(K30:K37)</f>
        <v/>
      </c>
      <c r="L38" s="327">
        <f>SUM(L30:L37)</f>
        <v/>
      </c>
    </row>
    <row r="39" ht="13.2" customHeight="1" s="176">
      <c r="A39" s="312" t="n"/>
      <c r="B39" s="312" t="n"/>
      <c r="C39" s="312" t="n"/>
      <c r="D39" s="329" t="n"/>
      <c r="E39" s="329" t="n"/>
      <c r="F39" s="329" t="n"/>
      <c r="G39" s="312" t="n"/>
      <c r="I39" s="312" t="n"/>
    </row>
    <row r="40" ht="23.4" customHeight="1" s="176">
      <c r="B40" s="328" t="n"/>
      <c r="H40" s="312" t="n"/>
      <c r="J40" s="329" t="n"/>
      <c r="K40" s="329" t="n"/>
      <c r="L40" s="329" t="n"/>
    </row>
    <row r="41" ht="13.2" customHeight="1" s="176">
      <c r="B41" s="315" t="inlineStr">
        <is>
          <t>TelCo</t>
        </is>
      </c>
      <c r="D41" s="316" t="inlineStr">
        <is>
          <t>Period</t>
        </is>
      </c>
      <c r="E41" s="316" t="inlineStr">
        <is>
          <t>YTD</t>
        </is>
      </c>
      <c r="F41" s="316" t="inlineStr">
        <is>
          <t>Forecast</t>
        </is>
      </c>
      <c r="H41" s="315" t="inlineStr">
        <is>
          <t>TelCo</t>
        </is>
      </c>
      <c r="J41" s="316" t="inlineStr">
        <is>
          <t>Period</t>
        </is>
      </c>
      <c r="K41" s="316" t="inlineStr">
        <is>
          <t>YTD</t>
        </is>
      </c>
      <c r="L41" s="316" t="inlineStr">
        <is>
          <t>Forecast</t>
        </is>
      </c>
    </row>
    <row r="42" ht="13.8" customHeight="1" s="176">
      <c r="B42" s="317" t="n"/>
      <c r="D42" s="318">
        <f>Period</f>
        <v/>
      </c>
      <c r="E42" s="318">
        <f>Period</f>
        <v/>
      </c>
      <c r="F42" s="318" t="inlineStr">
        <is>
          <t>EOY</t>
        </is>
      </c>
      <c r="H42" s="317" t="n"/>
      <c r="J42" s="318">
        <f>Period</f>
        <v/>
      </c>
      <c r="K42" s="318">
        <f>Period</f>
        <v/>
      </c>
      <c r="L42" s="318" t="inlineStr">
        <is>
          <t>EOY</t>
        </is>
      </c>
    </row>
    <row r="43" ht="13.2" customHeight="1" s="176">
      <c r="B43" s="319" t="inlineStr">
        <is>
          <t>1. Transition Program Management Stream</t>
        </is>
      </c>
      <c r="D43" s="320" t="n"/>
      <c r="E43" s="320" t="n"/>
      <c r="F43" s="320" t="n"/>
      <c r="H43" s="319" t="inlineStr">
        <is>
          <t>1. From As to Be</t>
        </is>
      </c>
      <c r="J43" s="320" t="n"/>
      <c r="K43" s="320" t="n"/>
      <c r="L43" s="320" t="n"/>
    </row>
    <row r="44" ht="13.2" customHeight="1" s="176">
      <c r="B44" s="321" t="inlineStr">
        <is>
          <t>2. Service Management Stream</t>
        </is>
      </c>
      <c r="D44" s="322" t="n"/>
      <c r="E44" s="322" t="n"/>
      <c r="F44" s="322" t="n"/>
      <c r="H44" s="321" t="inlineStr">
        <is>
          <t>2. Voice N-1</t>
        </is>
      </c>
      <c r="J44" s="322" t="n"/>
      <c r="K44" s="322" t="n"/>
      <c r="L44" s="322" t="n"/>
    </row>
    <row r="45" ht="13.2" customHeight="1" s="176">
      <c r="B45" s="323" t="inlineStr">
        <is>
          <t>3. Unit Operations Stream</t>
        </is>
      </c>
      <c r="D45" s="320" t="n"/>
      <c r="E45" s="320" t="n"/>
      <c r="F45" s="320" t="n"/>
      <c r="H45" s="323" t="inlineStr">
        <is>
          <t>1. From As to Be</t>
        </is>
      </c>
      <c r="J45" s="320" t="n"/>
      <c r="K45" s="320" t="n"/>
      <c r="L45" s="320" t="n"/>
    </row>
    <row r="46" ht="13.2" customHeight="1" s="176">
      <c r="B46" s="321" t="inlineStr">
        <is>
          <t>4. Communications Stream</t>
        </is>
      </c>
      <c r="D46" s="322" t="n"/>
      <c r="E46" s="322" t="n"/>
      <c r="F46" s="322" t="n"/>
      <c r="H46" s="321" t="inlineStr">
        <is>
          <t>1. From As to Be</t>
        </is>
      </c>
      <c r="J46" s="320" t="n"/>
      <c r="K46" s="320" t="n"/>
      <c r="L46" s="320" t="n"/>
    </row>
    <row r="47" ht="13.2" customHeight="1" s="176">
      <c r="B47" s="323" t="inlineStr">
        <is>
          <t>5. Finance and Contract Management Stream</t>
        </is>
      </c>
      <c r="D47" s="320" t="n"/>
      <c r="E47" s="320" t="n"/>
      <c r="F47" s="320" t="n"/>
      <c r="H47" s="323" t="inlineStr">
        <is>
          <t>2. Voice N-1</t>
        </is>
      </c>
      <c r="J47" s="322" t="n"/>
      <c r="K47" s="322" t="n"/>
      <c r="L47" s="322" t="n"/>
    </row>
    <row r="48" ht="13.2" customHeight="1" s="176">
      <c r="B48" s="321" t="inlineStr">
        <is>
          <t>6. People Transfer Stream</t>
        </is>
      </c>
      <c r="D48" s="322" t="n"/>
      <c r="E48" s="322" t="n"/>
      <c r="F48" s="322" t="n"/>
      <c r="H48" s="321" t="inlineStr">
        <is>
          <t>1. From As to Be</t>
        </is>
      </c>
      <c r="J48" s="320" t="n"/>
      <c r="K48" s="320" t="n"/>
      <c r="L48" s="320" t="n"/>
    </row>
    <row r="49" ht="13.8" customHeight="1" s="176">
      <c r="B49" s="324" t="inlineStr">
        <is>
          <t>7. Knowledge Transfer Stream</t>
        </is>
      </c>
      <c r="D49" s="320" t="n"/>
      <c r="E49" s="320" t="n"/>
      <c r="F49" s="320" t="n"/>
      <c r="H49" s="324" t="inlineStr">
        <is>
          <t>2. Voice N-1</t>
        </is>
      </c>
      <c r="J49" s="322" t="n"/>
      <c r="K49" s="322" t="n"/>
      <c r="L49" s="322" t="n"/>
    </row>
    <row r="50" ht="13.8" customHeight="1" s="176">
      <c r="A50" s="312" t="n"/>
      <c r="B50" s="326" t="inlineStr">
        <is>
          <t>TOTAL</t>
        </is>
      </c>
      <c r="C50" s="312" t="n"/>
      <c r="D50" s="327">
        <f>SUM(D43:D49)</f>
        <v/>
      </c>
      <c r="E50" s="327">
        <f>SUM(E43:E49)</f>
        <v/>
      </c>
      <c r="F50" s="327">
        <f>SUM(F43:F49)</f>
        <v/>
      </c>
      <c r="G50" s="312" t="n"/>
      <c r="H50" s="326" t="inlineStr">
        <is>
          <t>TOTAL</t>
        </is>
      </c>
      <c r="I50" s="312" t="n"/>
      <c r="J50" s="327">
        <f>SUM(J43:J49)</f>
        <v/>
      </c>
      <c r="K50" s="327">
        <f>SUM(K43:K49)</f>
        <v/>
      </c>
      <c r="L50" s="327">
        <f>SUM(L43:L49)</f>
        <v/>
      </c>
    </row>
    <row r="51" ht="13.8" customHeight="1" s="176">
      <c r="A51" s="312" t="n"/>
      <c r="B51" s="312" t="n"/>
      <c r="C51" s="312" t="n"/>
      <c r="D51" s="329" t="n"/>
      <c r="E51" s="329" t="n"/>
      <c r="F51" s="329" t="n"/>
      <c r="G51" s="312" t="n"/>
      <c r="I51" s="312" t="n"/>
    </row>
    <row r="52" ht="13.8" customHeight="1" s="176">
      <c r="B52" s="219" t="inlineStr">
        <is>
          <t>Total Transition phase</t>
        </is>
      </c>
      <c r="D52" s="327">
        <f>D13+D26+D38+D50</f>
        <v/>
      </c>
      <c r="E52" s="327">
        <f>E13+E26+E38+E50</f>
        <v/>
      </c>
      <c r="F52" s="327">
        <f>F13+F26+F38+F50</f>
        <v/>
      </c>
      <c r="H52" s="219" t="inlineStr">
        <is>
          <t>Total Transformation phase</t>
        </is>
      </c>
      <c r="J52" s="327">
        <f>J13+J26+J38+J50</f>
        <v/>
      </c>
      <c r="K52" s="327">
        <f>K13+K26+K38+K50</f>
        <v/>
      </c>
      <c r="L52" s="327">
        <f>L13+L26+L38+L50</f>
        <v/>
      </c>
    </row>
    <row r="53"/>
    <row r="54"/>
    <row r="55"/>
    <row r="56"/>
    <row r="57"/>
    <row r="58"/>
    <row r="59"/>
    <row r="60"/>
    <row r="61"/>
    <row r="62" ht="12.6" customHeight="1" s="176">
      <c r="B62" s="312" t="n"/>
      <c r="D62" s="312" t="n"/>
      <c r="E62" s="312" t="n"/>
      <c r="F62" s="312" t="n"/>
    </row>
    <row r="63" ht="12.6" customHeight="1" s="176">
      <c r="A63" s="312" t="n"/>
      <c r="B63" s="312" t="n"/>
      <c r="C63" s="312" t="n"/>
      <c r="D63" s="312" t="n"/>
      <c r="E63" s="312" t="n"/>
      <c r="F63" s="312" t="n"/>
      <c r="G63" s="312" t="n"/>
      <c r="I63" s="312" t="n"/>
    </row>
    <row r="64"/>
    <row r="65" ht="12.6" customHeight="1" s="176">
      <c r="H65" s="312" t="n"/>
      <c r="J65" s="312" t="n"/>
      <c r="K65" s="312" t="n"/>
      <c r="L65" s="312" t="n"/>
    </row>
    <row r="66"/>
    <row r="67"/>
    <row r="68"/>
    <row r="69"/>
    <row r="70"/>
    <row r="71"/>
    <row r="72"/>
    <row r="73"/>
    <row r="74"/>
    <row r="75" ht="12.6" customHeight="1" s="176">
      <c r="H75" s="312" t="n"/>
      <c r="J75" s="312" t="n"/>
      <c r="K75" s="312" t="n"/>
      <c r="L75" s="312" t="n"/>
    </row>
    <row r="76" ht="12.6" customHeight="1" s="176">
      <c r="B76" s="312" t="n"/>
      <c r="D76" s="312" t="n"/>
      <c r="E76" s="312" t="n"/>
      <c r="F76" s="312" t="n"/>
      <c r="H76" s="312" t="n"/>
      <c r="J76" s="312" t="n"/>
      <c r="K76" s="312" t="n"/>
      <c r="L76" s="312" t="n"/>
    </row>
    <row r="77" ht="12.6" customHeight="1" s="176">
      <c r="A77" s="312" t="n"/>
      <c r="C77" s="312" t="n"/>
      <c r="G77" s="312" t="n"/>
      <c r="I77" s="312" t="n"/>
    </row>
    <row r="78"/>
    <row r="79"/>
    <row r="80"/>
    <row r="81"/>
    <row r="82"/>
    <row r="83" ht="12.6" customHeight="1" s="176">
      <c r="B83" s="312" t="n"/>
      <c r="D83" s="312" t="n"/>
      <c r="E83" s="312" t="n"/>
      <c r="F83" s="312" t="n"/>
    </row>
    <row r="84" ht="12.6" customHeight="1" s="176">
      <c r="A84" s="312" t="n"/>
      <c r="B84" s="312" t="n"/>
      <c r="C84" s="312" t="n"/>
      <c r="D84" s="312" t="n"/>
      <c r="E84" s="312" t="n"/>
      <c r="F84" s="312" t="n"/>
      <c r="G84" s="312" t="n"/>
      <c r="I84" s="312" t="n"/>
    </row>
    <row r="85"/>
    <row r="86"/>
    <row r="87"/>
    <row r="88"/>
    <row r="89" ht="12.6" customHeight="1" s="176">
      <c r="H89" s="312" t="n"/>
      <c r="J89" s="312" t="n"/>
      <c r="K89" s="312" t="n"/>
      <c r="L89" s="312" t="n"/>
    </row>
    <row r="90" ht="12.6" customHeight="1" s="176">
      <c r="B90" s="312" t="n"/>
      <c r="D90" s="312" t="n"/>
      <c r="E90" s="312" t="n"/>
      <c r="F90" s="312" t="n"/>
    </row>
    <row r="91" ht="13.2" customHeight="1" s="176">
      <c r="A91" s="312" t="n"/>
      <c r="B91" s="312" t="n"/>
      <c r="C91" s="312" t="n"/>
      <c r="D91" s="329" t="n"/>
      <c r="E91" s="329" t="n"/>
      <c r="F91" s="329" t="n"/>
      <c r="G91" s="312" t="n"/>
      <c r="I91" s="312" t="n"/>
    </row>
    <row r="92"/>
    <row r="93"/>
    <row r="94"/>
    <row r="95"/>
    <row r="96" ht="12.6" customHeight="1" s="176">
      <c r="H96" s="312" t="n"/>
      <c r="J96" s="312" t="n"/>
      <c r="K96" s="312" t="n"/>
      <c r="L96" s="312" t="n"/>
    </row>
    <row r="97" ht="12.6" customHeight="1" s="176">
      <c r="H97" s="312" t="n"/>
      <c r="J97" s="312" t="n"/>
      <c r="K97" s="312" t="n"/>
      <c r="L97" s="312" t="n"/>
    </row>
    <row r="98"/>
    <row r="99"/>
    <row r="100"/>
    <row r="101"/>
    <row r="102"/>
    <row r="103" ht="12.6" customHeight="1" s="176">
      <c r="H103" s="312" t="n"/>
      <c r="J103" s="312" t="n"/>
      <c r="K103" s="312" t="n"/>
      <c r="L103" s="312" t="n"/>
    </row>
    <row r="104" ht="12.6" customHeight="1" s="176">
      <c r="H104" s="312" t="n"/>
      <c r="J104" s="312" t="n"/>
      <c r="K104" s="312" t="n"/>
      <c r="L104" s="312" t="n"/>
    </row>
  </sheetData>
  <printOptions horizontalCentered="1" verticalCentered="0" headings="0" gridLines="0" gridLinesSet="1"/>
  <pageMargins left="0.9840277777777779" right="0.9840277777777779" top="0.826388888888889" bottom="0.472222222222222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&amp;A&amp;R&amp;"Times New Roman,Regular"&amp;8 3/11/06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M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015625" defaultRowHeight="13.2" customHeight="1" zeroHeight="0" outlineLevelRow="0"/>
  <cols>
    <col width="1.99" customWidth="1" style="211" min="1" max="1"/>
    <col width="56.99" customWidth="1" style="211" min="2" max="2"/>
    <col width="13.1" customWidth="1" style="211" min="3" max="9"/>
    <col width="13.1" customWidth="1" style="330" min="10" max="12"/>
    <col width="9.1" customWidth="1" style="211" min="13" max="257"/>
  </cols>
  <sheetData>
    <row r="1" ht="13.8" customHeight="1" s="176">
      <c r="C1" s="213" t="n"/>
      <c r="D1" s="213" t="n"/>
      <c r="E1" s="213" t="n"/>
      <c r="F1" s="213" t="n"/>
      <c r="G1" s="213" t="n"/>
      <c r="H1" s="213" t="n"/>
      <c r="I1" s="213" t="n"/>
      <c r="J1" s="255" t="n"/>
      <c r="K1" s="255" t="n"/>
      <c r="L1" s="255" t="n"/>
      <c r="M1" s="213" t="n"/>
    </row>
    <row r="2" ht="13.8" customHeight="1" s="176">
      <c r="B2" s="190" t="inlineStr">
        <is>
          <t>Invoice details - Service Level Credit</t>
        </is>
      </c>
      <c r="C2" s="213" t="n"/>
      <c r="D2" s="220" t="inlineStr">
        <is>
          <t>Period:</t>
        </is>
      </c>
      <c r="E2" s="188">
        <f>Period</f>
        <v/>
      </c>
      <c r="F2" s="213" t="n"/>
      <c r="G2" s="213" t="n"/>
      <c r="H2" s="213" t="n"/>
      <c r="I2" s="213" t="n"/>
      <c r="J2" s="255" t="n"/>
      <c r="K2" s="255" t="n"/>
      <c r="L2" s="255" t="n"/>
      <c r="M2" s="213" t="n"/>
    </row>
    <row r="3" ht="16.8" customHeight="1" s="176">
      <c r="B3" s="218" t="n"/>
      <c r="C3" s="217" t="n"/>
      <c r="D3" s="217" t="n"/>
      <c r="E3" s="217" t="n"/>
      <c r="F3" s="217" t="n"/>
      <c r="G3" s="217" t="n"/>
      <c r="H3" s="217" t="n"/>
      <c r="I3" s="217" t="n"/>
      <c r="J3" s="240" t="n"/>
      <c r="K3" s="240" t="n"/>
      <c r="L3" s="240" t="n"/>
      <c r="M3" s="217" t="n"/>
    </row>
    <row r="4" ht="40.2" customHeight="1" s="176">
      <c r="B4" s="190" t="inlineStr">
        <is>
          <t>Critical service level -category</t>
        </is>
      </c>
      <c r="C4" s="221" t="inlineStr">
        <is>
          <t xml:space="preserve">Allocation of Pool Percentage </t>
        </is>
      </c>
      <c r="D4" s="221" t="inlineStr">
        <is>
          <t>Eff + mos**</t>
        </is>
      </c>
      <c r="E4" s="221" t="inlineStr">
        <is>
          <t>Minimum</t>
        </is>
      </c>
      <c r="F4" s="221" t="inlineStr">
        <is>
          <t>SL Measured</t>
        </is>
      </c>
      <c r="G4" s="221" t="inlineStr">
        <is>
          <t>Allocation*</t>
        </is>
      </c>
      <c r="H4" s="221" t="inlineStr">
        <is>
          <t>% of Invoice</t>
        </is>
      </c>
      <c r="I4" s="221" t="inlineStr">
        <is>
          <t>SL Default (Y/N)</t>
        </is>
      </c>
      <c r="J4" s="222" t="inlineStr">
        <is>
          <t xml:space="preserve">SL credit amount </t>
        </is>
      </c>
      <c r="K4" s="222" t="inlineStr">
        <is>
          <t># of SL Defaults YTD</t>
        </is>
      </c>
      <c r="L4" s="222" t="inlineStr">
        <is>
          <t>Average SL YTD</t>
        </is>
      </c>
    </row>
    <row r="5" ht="13.2" customHeight="1" s="176">
      <c r="B5" s="282" t="inlineStr">
        <is>
          <t>Desktop Services Availability - Performance Category</t>
        </is>
      </c>
      <c r="C5" s="192" t="n"/>
      <c r="D5" s="192" t="n"/>
      <c r="E5" s="192" t="n"/>
      <c r="F5" s="192" t="n"/>
      <c r="G5" s="192" t="n"/>
      <c r="H5" s="192" t="n"/>
      <c r="I5" s="192" t="n"/>
      <c r="J5" s="256" t="n"/>
      <c r="K5" s="256" t="n"/>
      <c r="L5" s="256" t="n"/>
    </row>
    <row r="6" ht="13.2" customHeight="1" s="176">
      <c r="B6" s="285" t="inlineStr">
        <is>
          <t>Desktop Services Performance - Performance Category</t>
        </is>
      </c>
      <c r="C6" s="195" t="n"/>
      <c r="D6" s="195" t="n"/>
      <c r="E6" s="195" t="n"/>
      <c r="F6" s="195" t="n"/>
      <c r="G6" s="195" t="n"/>
      <c r="H6" s="195" t="n"/>
      <c r="I6" s="195" t="n"/>
      <c r="J6" s="257" t="n"/>
      <c r="K6" s="257" t="n"/>
      <c r="L6" s="257" t="n"/>
    </row>
    <row r="7" ht="13.2" customHeight="1" s="176">
      <c r="B7" s="331" t="inlineStr">
        <is>
          <t>Access Services Performance - Performance Category</t>
        </is>
      </c>
      <c r="C7" s="204" t="n"/>
      <c r="D7" s="204" t="n"/>
      <c r="E7" s="204" t="n"/>
      <c r="F7" s="204" t="n"/>
      <c r="G7" s="204" t="n"/>
      <c r="H7" s="204" t="n"/>
      <c r="I7" s="204" t="n"/>
      <c r="J7" s="258" t="n"/>
      <c r="K7" s="258" t="n"/>
      <c r="L7" s="258" t="n"/>
    </row>
    <row r="8" ht="13.2" customHeight="1" s="176">
      <c r="B8" s="285" t="inlineStr">
        <is>
          <t>Voice Services Availability - Performance Category</t>
        </is>
      </c>
      <c r="C8" s="195" t="n"/>
      <c r="D8" s="195" t="n"/>
      <c r="E8" s="195" t="n"/>
      <c r="F8" s="195" t="n"/>
      <c r="G8" s="195" t="n"/>
      <c r="H8" s="195" t="n"/>
      <c r="I8" s="195" t="n"/>
      <c r="J8" s="257" t="n"/>
      <c r="K8" s="257" t="n"/>
      <c r="L8" s="257" t="n"/>
    </row>
    <row r="9" ht="13.2" customHeight="1" s="176">
      <c r="B9" s="331" t="inlineStr">
        <is>
          <t>Service Desk Services Availability - Performance Category</t>
        </is>
      </c>
      <c r="C9" s="204" t="n"/>
      <c r="D9" s="204" t="n"/>
      <c r="E9" s="204" t="n"/>
      <c r="F9" s="204" t="n"/>
      <c r="G9" s="204" t="n"/>
      <c r="H9" s="204" t="n"/>
      <c r="I9" s="204" t="n"/>
      <c r="J9" s="258" t="n"/>
      <c r="K9" s="258" t="n"/>
      <c r="L9" s="258" t="n"/>
    </row>
    <row r="10" ht="13.2" customHeight="1" s="176">
      <c r="B10" s="285" t="inlineStr">
        <is>
          <t>Base Service Desk Services Performance - Performance Category</t>
        </is>
      </c>
      <c r="C10" s="195" t="n"/>
      <c r="D10" s="195" t="n"/>
      <c r="E10" s="195" t="n"/>
      <c r="F10" s="195" t="n"/>
      <c r="G10" s="195" t="n"/>
      <c r="H10" s="195" t="n"/>
      <c r="I10" s="195" t="n"/>
      <c r="J10" s="257" t="n"/>
      <c r="K10" s="257" t="n"/>
      <c r="L10" s="257" t="n"/>
    </row>
    <row r="11" ht="13.2" customHeight="1" s="176">
      <c r="B11" s="331" t="inlineStr">
        <is>
          <t>IMAC Services Performance - Performance Category</t>
        </is>
      </c>
      <c r="C11" s="204" t="n"/>
      <c r="D11" s="204" t="n"/>
      <c r="E11" s="204" t="n"/>
      <c r="F11" s="204" t="n"/>
      <c r="G11" s="204" t="n"/>
      <c r="H11" s="204" t="n"/>
      <c r="I11" s="204" t="n"/>
      <c r="J11" s="258" t="n"/>
      <c r="K11" s="258" t="n"/>
      <c r="L11" s="258" t="n"/>
    </row>
    <row r="12" ht="13.2" customHeight="1" s="176">
      <c r="B12" s="285" t="inlineStr">
        <is>
          <t>Incident Services Performance - Performance Category</t>
        </is>
      </c>
      <c r="C12" s="195" t="n"/>
      <c r="D12" s="195" t="n"/>
      <c r="E12" s="195" t="n"/>
      <c r="F12" s="195" t="n"/>
      <c r="G12" s="195" t="n"/>
      <c r="H12" s="195" t="n"/>
      <c r="I12" s="195" t="n"/>
      <c r="J12" s="257" t="n"/>
      <c r="K12" s="257" t="n"/>
      <c r="L12" s="257" t="n"/>
    </row>
    <row r="13" ht="13.2" customHeight="1" s="176">
      <c r="B13" s="331" t="inlineStr">
        <is>
          <t>Integrator Services - Performance Category</t>
        </is>
      </c>
      <c r="C13" s="204" t="n"/>
      <c r="D13" s="204" t="n"/>
      <c r="E13" s="204" t="n"/>
      <c r="F13" s="204" t="n"/>
      <c r="G13" s="204" t="n"/>
      <c r="H13" s="204" t="n"/>
      <c r="I13" s="204" t="n"/>
      <c r="J13" s="258" t="n"/>
      <c r="K13" s="258" t="n"/>
      <c r="L13" s="258" t="n"/>
    </row>
    <row r="14" ht="13.2" customHeight="1" s="176">
      <c r="B14" s="285" t="inlineStr">
        <is>
          <t>Transition &amp; Transformation Plan</t>
        </is>
      </c>
      <c r="C14" s="195" t="n"/>
      <c r="D14" s="195" t="n"/>
      <c r="E14" s="195" t="n"/>
      <c r="F14" s="195" t="n"/>
      <c r="G14" s="195" t="n"/>
      <c r="H14" s="195" t="n"/>
      <c r="I14" s="195" t="n"/>
      <c r="J14" s="257" t="n"/>
      <c r="K14" s="257" t="n"/>
      <c r="L14" s="257" t="n"/>
    </row>
    <row r="15" ht="13.2" customHeight="1" s="176">
      <c r="B15" s="285" t="inlineStr">
        <is>
          <t>Policies &amp; Procedures Including Security</t>
        </is>
      </c>
      <c r="C15" s="195" t="n"/>
      <c r="D15" s="195" t="n"/>
      <c r="E15" s="195" t="n"/>
      <c r="F15" s="195" t="n"/>
      <c r="G15" s="195" t="n"/>
      <c r="H15" s="195" t="n"/>
      <c r="I15" s="195" t="n"/>
      <c r="J15" s="257" t="n"/>
      <c r="K15" s="257" t="n"/>
      <c r="L15" s="257" t="n"/>
    </row>
    <row r="16" ht="13.2" customHeight="1" s="176">
      <c r="B16" s="282" t="inlineStr">
        <is>
          <t>First set of critical report (CSL Reporting)</t>
        </is>
      </c>
      <c r="C16" s="192" t="n"/>
      <c r="D16" s="192" t="n"/>
      <c r="E16" s="192" t="n"/>
      <c r="F16" s="192" t="n"/>
      <c r="G16" s="192" t="n"/>
      <c r="H16" s="192" t="n"/>
      <c r="I16" s="192" t="n"/>
      <c r="J16" s="256" t="n"/>
      <c r="K16" s="256" t="n"/>
      <c r="L16" s="256" t="n"/>
    </row>
    <row r="17" ht="13.2" customHeight="1" s="176">
      <c r="B17" s="285" t="inlineStr">
        <is>
          <t>Service Catalogue</t>
        </is>
      </c>
      <c r="C17" s="195" t="n"/>
      <c r="D17" s="195" t="n"/>
      <c r="E17" s="195" t="n"/>
      <c r="F17" s="195" t="n"/>
      <c r="G17" s="195" t="n"/>
      <c r="H17" s="195" t="n"/>
      <c r="I17" s="195" t="n"/>
      <c r="J17" s="257" t="n"/>
      <c r="K17" s="257" t="n"/>
      <c r="L17" s="257" t="n"/>
    </row>
    <row r="18" ht="13.8" customHeight="1" s="176">
      <c r="B18" s="331" t="inlineStr">
        <is>
          <t>Exit Plan Framework</t>
        </is>
      </c>
      <c r="C18" s="204" t="n"/>
      <c r="D18" s="204" t="n"/>
      <c r="E18" s="204" t="n"/>
      <c r="F18" s="204" t="n"/>
      <c r="G18" s="204" t="n"/>
      <c r="H18" s="204" t="n"/>
      <c r="I18" s="204" t="n"/>
      <c r="J18" s="258" t="n"/>
      <c r="K18" s="258" t="n"/>
      <c r="L18" s="258" t="n"/>
    </row>
    <row r="19" ht="13.8" customHeight="1" s="176">
      <c r="B19" s="332" t="inlineStr">
        <is>
          <t>Total</t>
        </is>
      </c>
      <c r="C19" s="333" t="n"/>
      <c r="D19" s="333" t="n"/>
      <c r="E19" s="333" t="n"/>
      <c r="F19" s="333" t="n"/>
      <c r="G19" s="333" t="n"/>
      <c r="H19" s="333" t="n"/>
      <c r="I19" s="333" t="n"/>
      <c r="J19" s="334">
        <f>SUM(J5:J18)</f>
        <v/>
      </c>
      <c r="K19" s="334">
        <f>SUM(K5:K18)</f>
        <v/>
      </c>
      <c r="L19" s="334">
        <f>SUM(L5:L18)</f>
        <v/>
      </c>
    </row>
    <row r="20"/>
    <row r="21" ht="13.2" customHeight="1" s="176">
      <c r="B21" s="335" t="n"/>
    </row>
    <row r="22" ht="13.2" customHeight="1" s="176">
      <c r="B22" s="335" t="n"/>
    </row>
    <row r="23" ht="13.2" customHeight="1" s="176">
      <c r="B23" s="335" t="n"/>
    </row>
    <row r="24" ht="13.2" customHeight="1" s="176">
      <c r="B24" s="335" t="n"/>
    </row>
    <row r="25" ht="13.2" customHeight="1" s="176">
      <c r="B25" s="335" t="n"/>
    </row>
    <row r="26" ht="13.2" customHeight="1" s="176">
      <c r="B26" s="335" t="n"/>
    </row>
  </sheetData>
  <printOptions horizontalCentered="1" verticalCentered="0" headings="0" gridLines="0" gridLinesSet="1"/>
  <pageMargins left="0.9840277777777779" right="0.9840277777777779" top="0.826388888888889" bottom="0.472222222222222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&amp;A&amp;R&amp;"Times New Roman,Regular"&amp;8 3/11/06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015625" defaultRowHeight="13.2" customHeight="1" zeroHeight="0" outlineLevelRow="0"/>
  <cols>
    <col width="1.99" customWidth="1" style="211" min="1" max="1"/>
    <col width="56.99" customWidth="1" style="211" min="2" max="2"/>
    <col width="2.66" customWidth="1" style="211" min="3" max="3"/>
    <col width="13.1" customWidth="1" style="211" min="4" max="4"/>
    <col width="9.1" customWidth="1" style="211" min="5" max="257"/>
  </cols>
  <sheetData>
    <row r="1"/>
    <row r="2" ht="13.8" customHeight="1" s="176">
      <c r="C2" s="213" t="n"/>
      <c r="D2" s="336" t="inlineStr">
        <is>
          <t>Period</t>
        </is>
      </c>
      <c r="E2" s="213" t="n"/>
    </row>
    <row r="3" ht="13.8" customHeight="1" s="176">
      <c r="B3" s="219" t="inlineStr">
        <is>
          <t>Invoice details - Adjustments/Corrections</t>
        </is>
      </c>
      <c r="C3" s="213" t="n"/>
      <c r="D3" s="188">
        <f>Period</f>
        <v/>
      </c>
      <c r="E3" s="213" t="n"/>
    </row>
    <row r="4" ht="16.8" customHeight="1" s="176">
      <c r="B4" s="218" t="n"/>
      <c r="C4" s="217" t="n"/>
      <c r="D4" s="217" t="n"/>
      <c r="E4" s="217" t="n"/>
    </row>
    <row r="5" ht="13.8" customHeight="1" s="176">
      <c r="B5" s="219" t="inlineStr">
        <is>
          <t>Adjustments -Description</t>
        </is>
      </c>
      <c r="D5" s="337" t="inlineStr">
        <is>
          <t>Amount</t>
        </is>
      </c>
    </row>
    <row r="6" ht="13.2" customHeight="1" s="176">
      <c r="B6" s="282" t="n"/>
      <c r="D6" s="256" t="n"/>
    </row>
    <row r="7" ht="13.2" customHeight="1" s="176">
      <c r="B7" s="285" t="n"/>
      <c r="D7" s="257" t="n"/>
    </row>
    <row r="8" ht="13.2" customHeight="1" s="176">
      <c r="B8" s="331" t="n"/>
      <c r="D8" s="258" t="n"/>
    </row>
    <row r="9" ht="13.2" customHeight="1" s="176">
      <c r="B9" s="285" t="n"/>
      <c r="D9" s="257" t="n"/>
    </row>
    <row r="10" ht="13.2" customHeight="1" s="176">
      <c r="B10" s="331" t="n"/>
      <c r="D10" s="258" t="n"/>
    </row>
    <row r="11" ht="13.2" customHeight="1" s="176">
      <c r="B11" s="285" t="n"/>
      <c r="D11" s="257" t="n"/>
    </row>
    <row r="12" ht="13.2" customHeight="1" s="176">
      <c r="B12" s="331" t="n"/>
      <c r="D12" s="258" t="n"/>
    </row>
    <row r="13" ht="13.2" customHeight="1" s="176">
      <c r="B13" s="285" t="n"/>
      <c r="D13" s="257" t="n"/>
    </row>
    <row r="14" ht="13.2" customHeight="1" s="176">
      <c r="B14" s="331" t="n"/>
      <c r="D14" s="258" t="n"/>
    </row>
    <row r="15" ht="13.2" customHeight="1" s="176">
      <c r="B15" s="285" t="n"/>
      <c r="D15" s="257" t="n"/>
    </row>
    <row r="16" ht="13.2" customHeight="1" s="176">
      <c r="B16" s="331" t="n"/>
      <c r="D16" s="258" t="n"/>
    </row>
    <row r="17" ht="13.2" customHeight="1" s="176">
      <c r="B17" s="285" t="n"/>
      <c r="D17" s="257" t="n"/>
    </row>
    <row r="18" ht="13.2" customHeight="1" s="176">
      <c r="B18" s="282" t="n"/>
      <c r="D18" s="256" t="n"/>
    </row>
    <row r="19" ht="13.2" customHeight="1" s="176">
      <c r="B19" s="285" t="n"/>
      <c r="D19" s="257" t="n"/>
    </row>
    <row r="20" ht="13.8" customHeight="1" s="176">
      <c r="B20" s="331" t="n"/>
      <c r="D20" s="259" t="n"/>
    </row>
    <row r="21" ht="13.8" customHeight="1" s="176">
      <c r="B21" s="338" t="inlineStr">
        <is>
          <t>Total</t>
        </is>
      </c>
      <c r="D21" s="338" t="n"/>
    </row>
    <row r="22"/>
    <row r="23" ht="13.2" customHeight="1" s="176">
      <c r="B23" s="335" t="n"/>
    </row>
    <row r="24" ht="13.2" customHeight="1" s="176">
      <c r="B24" s="335" t="n"/>
    </row>
    <row r="25" ht="13.2" customHeight="1" s="176">
      <c r="B25" s="335" t="n"/>
    </row>
    <row r="26" ht="13.2" customHeight="1" s="176">
      <c r="B26" s="335" t="n"/>
    </row>
    <row r="27" ht="13.2" customHeight="1" s="176">
      <c r="B27" s="335" t="n"/>
    </row>
    <row r="28" ht="13.2" customHeight="1" s="176">
      <c r="B28" s="335" t="n"/>
    </row>
  </sheetData>
  <printOptions horizontalCentered="1" verticalCentered="0" headings="0" gridLines="0" gridLinesSet="1"/>
  <pageMargins left="0.9840277777777779" right="0.9840277777777779" top="0.826388888888889" bottom="0.472222222222222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 &amp;&amp; IT Banking Confidential&amp;C&amp;"Times New Roman,Regular"&amp;8 Attach 4-H  &amp;A&amp;R&amp;"Times New Roman,Regular"&amp;8 3/11/06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0546875" defaultRowHeight="13.2" customHeight="1" zeroHeight="0" outlineLevelRow="0"/>
  <sheetData>
    <row r="1" ht="13.2" customHeight="1" s="176">
      <c r="A1" s="273" t="inlineStr">
        <is>
          <t>_Example</t>
        </is>
      </c>
    </row>
    <row r="2" ht="13.2" customHeight="1" s="176">
      <c r="A2" s="273" t="inlineStr">
        <is>
          <t>_Shading</t>
        </is>
      </c>
    </row>
    <row r="3" ht="13.2" customHeight="1" s="176">
      <c r="A3" s="273" t="inlineStr">
        <is>
          <t>_Series</t>
        </is>
      </c>
    </row>
    <row r="4" ht="13.2" customHeight="1" s="176">
      <c r="A4" s="273" t="inlineStr">
        <is>
          <t>_Look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1997-03-01T16:21:57Z</dcterms:created>
  <dcterms:modified xmlns:dcterms="http://purl.org/dc/terms/" xmlns:xsi="http://www.w3.org/2001/XMLSchema-instance" xsi:type="dcterms:W3CDTF">2026-02-11T03:34:27Z</dcterms:modified>
  <cp:lastModifiedBy>Stuart Johnson</cp:lastModifiedBy>
  <cp:revision>0</cp:revision>
  <cp:lastPrinted>2006-12-13T14:11:03Z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667613521</vt:r8>
  </property>
  <property name="_AuthorEmail" fmtid="{D5CDD505-2E9C-101B-9397-08002B2CF9AE}" pid="3">
    <vt:lpwstr xmlns:vt="http://schemas.openxmlformats.org/officeDocument/2006/docPropsVTypes">Hans.Overeem@mail.ing.nl</vt:lpwstr>
  </property>
  <property name="_AuthorEmailDisplayName" fmtid="{D5CDD505-2E9C-101B-9397-08002B2CF9AE}" pid="4">
    <vt:lpwstr xmlns:vt="http://schemas.openxmlformats.org/officeDocument/2006/docPropsVTypes">Overeem, J. (Hans)</vt:lpwstr>
  </property>
  <property name="_EmailSubject" fmtid="{D5CDD505-2E9C-101B-9397-08002B2CF9AE}" pid="5">
    <vt:lpwstr xmlns:vt="http://schemas.openxmlformats.org/officeDocument/2006/docPropsVTypes">PST responses to Batch 2</vt:lpwstr>
  </property>
  <property name="_NewReviewCycle" fmtid="{D5CDD505-2E9C-101B-9397-08002B2CF9AE}" pid="6">
    <vt:lpwstr xmlns:vt="http://schemas.openxmlformats.org/officeDocument/2006/docPropsVTypes"/>
  </property>
  <property name="_ReviewingToolsShownOnce" fmtid="{D5CDD505-2E9C-101B-9397-08002B2CF9AE}" pid="7">
    <vt:lpwstr xmlns:vt="http://schemas.openxmlformats.org/officeDocument/2006/docPropsVTypes"/>
  </property>
  <property name="_TemplateID" fmtid="{D5CDD505-2E9C-101B-9397-08002B2CF9AE}" pid="8">
    <vt:lpwstr xmlns:vt="http://schemas.openxmlformats.org/officeDocument/2006/docPropsVTypes">TC010460971033</vt:lpwstr>
  </property>
</Properties>
</file>
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Page" sheetId="1" state="visible" r:id="rId1"/>
    <sheet xmlns:r="http://schemas.openxmlformats.org/officeDocument/2006/relationships" name="Summary Fees" sheetId="2" state="visible" r:id="rId2"/>
    <sheet xmlns:r="http://schemas.openxmlformats.org/officeDocument/2006/relationships" name="Detailed Base Charges Total" sheetId="3" state="visible" r:id="rId3"/>
    <sheet xmlns:r="http://schemas.openxmlformats.org/officeDocument/2006/relationships" name="Detailed Base Charges NL" sheetId="4" state="visible" r:id="rId4"/>
    <sheet xmlns:r="http://schemas.openxmlformats.org/officeDocument/2006/relationships" name="Detailed Base Charges BE" sheetId="5" state="visible" r:id="rId5"/>
    <sheet xmlns:r="http://schemas.openxmlformats.org/officeDocument/2006/relationships" name="Unit Rates (ARCs &amp; RRCs) NL" sheetId="6" state="visible" r:id="rId6"/>
    <sheet xmlns:r="http://schemas.openxmlformats.org/officeDocument/2006/relationships" name="Unit Rates (ARCs &amp; RRCs) BE" sheetId="7" state="visible" r:id="rId7"/>
    <sheet xmlns:r="http://schemas.openxmlformats.org/officeDocument/2006/relationships" name="One Time Charges" sheetId="8" state="visible" r:id="rId8"/>
    <sheet xmlns:r="http://schemas.openxmlformats.org/officeDocument/2006/relationships" name="Facilities" sheetId="9" state="visible" r:id="rId9"/>
    <sheet xmlns:r="http://schemas.openxmlformats.org/officeDocument/2006/relationships" name="Acquisition of Assets" sheetId="10" state="visible" r:id="rId10"/>
    <sheet xmlns:r="http://schemas.openxmlformats.org/officeDocument/2006/relationships" name="PST Investments" sheetId="11" state="visible" r:id="rId11"/>
    <sheet xmlns:r="http://schemas.openxmlformats.org/officeDocument/2006/relationships" name="Pass Through overview" sheetId="12" state="visible" r:id="rId12"/>
    <sheet xmlns:r="http://schemas.openxmlformats.org/officeDocument/2006/relationships" name="Retained costs overview" sheetId="13" state="visible" r:id="rId13"/>
    <sheet xmlns:r="http://schemas.openxmlformats.org/officeDocument/2006/relationships" name="Refresh cycles" sheetId="14" state="visible" r:id="rId14"/>
    <sheet xmlns:r="http://schemas.openxmlformats.org/officeDocument/2006/relationships" name="Storage" sheetId="15" state="visible" r:id="rId15"/>
  </sheets>
  <externalReferences>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s>
  <definedNames>
    <definedName name="_x0017__x0015_0hdwr_sftw_o" hidden="0" function="0" vbProcedure="0">'[4]Client Platform'!CH$21589</definedName>
    <definedName name="Account" hidden="0" function="0" vbProcedure="0">[19]Data!$I$5:$I$1171</definedName>
    <definedName name="admin" hidden="0" function="0" vbProcedure="0">'[7]GMLG-Staffing Plan'!$FO43692</definedName>
    <definedName name="all_print" hidden="0" function="0" vbProcedure="0">[22]Calendar!$A$1:$R$328</definedName>
    <definedName name="Amount" hidden="0" function="0" vbProcedure="0">'[34]'!$O$17:$AO$17</definedName>
    <definedName name="Annual_leave_days" hidden="0" function="0" vbProcedure="0">[13]Domain!$G$1:$G$1048576</definedName>
    <definedName name="Area" hidden="0" function="0" vbProcedure="0">'[20]'!$B$2:$B$145</definedName>
    <definedName name="areacompleta" hidden="0" function="0" vbProcedure="0">'[20]'!$D$1:$D$69</definedName>
    <definedName name="areas" hidden="0" function="0" vbProcedure="0">'[20]'!$D$1:$D$69</definedName>
    <definedName name="ARevRebill" hidden="0" function="0" vbProcedure="0">[31]Assumptions!$B$29</definedName>
    <definedName name="ASC" hidden="0" function="0" vbProcedure="0">NA()</definedName>
    <definedName name="Asia_Pac_Sites" hidden="0" function="0" vbProcedure="0">'[21]'!$A$2:$E$90</definedName>
    <definedName name="Asset1" hidden="0" function="0" vbProcedure="0">[22]Calendar!$C$10:$O$21</definedName>
    <definedName name="Asset_Requirements" hidden="0" function="0" vbProcedure="0">[22]Calendar!$C$10:$O$21</definedName>
    <definedName name="ASSUMPS" hidden="0" function="0" vbProcedure="0">'[21]'!$A$9:$AA$311</definedName>
    <definedName name="Available_days" hidden="0" function="0" vbProcedure="0">[13]Domain!$F$1:$F$1048576</definedName>
    <definedName name="Basecase" hidden="0" function="0" vbProcedure="0">[22]Calendar!$C$1:$N$29</definedName>
    <definedName name="Basedata" hidden="0" function="0" vbProcedure="0">'[26]'!$D$8:$L$36</definedName>
    <definedName name="Baseline" hidden="0" function="0" vbProcedure="0">#REF!</definedName>
    <definedName name="Baseline1" hidden="0" function="0" vbProcedure="0">'[21]'!$A$1:$N$50</definedName>
    <definedName name="Base_By_Frame" hidden="0" function="0" vbProcedure="0">[22]Calendar!$C$7:$N$28</definedName>
    <definedName name="Base_Pie" hidden="0" function="0" vbProcedure="0">[22]Calendar!$B$6:$K$29</definedName>
    <definedName name="Benefits" hidden="0" function="0" vbProcedure="0">'[26]'!$D$141:$L$141</definedName>
    <definedName name="BERGEY_PRINT" hidden="0" function="0" vbProcedure="0">[8]OLEX!$V$1:$AO$33,[8]OLEX!$V$72:$AO$146,[8]OLEX!$V$147:$AO$147,[8]OLEX!$V$224:$AO$299,[8]OLEX!$V$528:$AO$565,[8]OLEX!$V$604:$AO$641,[8]OLEX!$V$718:$AO$793,[8]OLEX!$DB$1:$DT$32</definedName>
    <definedName name="Billable_Units" hidden="0" function="0" vbProcedure="0">[22]Calendar!$D$3:$I$17</definedName>
    <definedName name="bud_print" hidden="0" function="0" vbProcedure="0">[8]OLEX!$A$1,[8]OLEX!$V$34:$AO$71,[8]OLEX!$V$186:$AO$223,[8]OLEX!$V$338:$AO$527,[8]OLEX!$V$566:$AO$603,[8]OLEX!$V$680:$AO$717,[8]OLEX!$V$794:$AO$831,[8]OLEX!$V$832:$AO$869</definedName>
    <definedName name="Buildup" hidden="0" function="0" vbProcedure="0">[22]Calendar!$A$1:$G$24</definedName>
    <definedName name="BUSDEV" hidden="0" function="0" vbProcedure="0">NA()</definedName>
    <definedName name="Business_Process_Management___Group_Level" hidden="0" function="0" vbProcedure="0">'[20]'!$P$9:$P$27</definedName>
    <definedName name="BY_ASSUMED" hidden="0" function="0" vbProcedure="0">'[23]US 2000'!$B$41:$U$70</definedName>
    <definedName name="BY_PT" hidden="0" function="0" vbProcedure="0">'[23]US 2000'!$B$74:$U$103</definedName>
    <definedName name="BY_RETAIN" hidden="0" function="0" vbProcedure="0">'[23]US 2000'!$B$107:$U$136</definedName>
    <definedName name="BY_Total" hidden="0" function="0" vbProcedure="0">'[24]Etech US 2001'!$B$8:$AB$37</definedName>
    <definedName name="CHAMPION" hidden="0" function="0" vbProcedure="0">NA()</definedName>
    <definedName name="Checkpoint" hidden="0" function="0" vbProcedure="0">'[11]9. Time&amp;$-1 Plan Estimate'!$F$7,'[11]9. Time&amp;$-1 Plan Estimate'!$F$9,'[11]9. Time&amp;$-1 Plan Estimate'!$F$11,'[11]9. Time&amp;$-1 Plan Estimate'!$F$13,'[11]9. Time&amp;$-1 Plan Estimate'!$F$13,'[11]9. Time&amp;$-1 Plan Estimate'!$F$13,'[11]9. Time&amp;$-1 Plan Estimate'!$F$15,'[11]9. Time&amp;$-1 Plan Estimate'!$F$8,'[11]9. Time&amp;$-1 Plan Estimate'!$F$9,'[11]9. Time&amp;$-1 Plan Estimate'!$F$11,'[11]9. Time&amp;$-1 Plan Estimate'!$F$13,'[11]9. Time&amp;$-1 Plan Estimate'!$F$10,'[11]9. Time&amp;$-1 Plan Estimate'!$F$12,'[11]9. Time&amp;$-1 Plan Estimate'!$F$14,'[11]9. Time&amp;$-1 Plan Estimate'!$F$16,'[11]9. Time&amp;$-1 Plan Estimate'!$F$17,'[11]9. Time&amp;$-1 Plan Estimate'!$F$18,'[11]9. Time&amp;$-1 Plan Estimate'!$F$16,'[11]9. Time&amp;$-1 Plan Estimate'!$F$16,'[11]9. Time&amp;$-1 Plan Estimate'!$F$16,'[11]9. Time&amp;$-1 Plan Estimate'!$F$18,'[11]9. Time&amp;$-1 Plan Estimate'!$F$20,'[11]9. Time&amp;$-1 Plan Estimate'!$F$22,'[11]9. Time&amp;$-1 Plan Estimate'!$F$24</definedName>
    <definedName name="CHIPPRINT" hidden="0" function="0" vbProcedure="0">[8]OLEX!$A$1:$T$34,[8]OLEX!$V$1:$AO$870,[8]OLEX!$AQ$1:$BJ$34,[8]OLEX!$BL$1:$CE$110,[8]OLEX!$CG$1:$CZ$110</definedName>
    <definedName name="choice" hidden="0" function="0" vbProcedure="0">'[20]'!$N$92:$N$93</definedName>
    <definedName name="Client_Baseline" hidden="0" function="0" vbProcedure="0">[22]Calendar!$C$8:$N$28</definedName>
    <definedName name="Client_Budget" hidden="0" function="0" vbProcedure="0">[22]Calendar!$C$7:$O$29</definedName>
    <definedName name="Cluster" hidden="0" function="0" vbProcedure="0">'[20]'!$D$2:$D$149</definedName>
    <definedName name="Communication" hidden="0" function="0" vbProcedure="0">'[26]'!$D$147:$L$147</definedName>
    <definedName name="com_sched" hidden="0" function="0" vbProcedure="0">[22]Calendar!$A$286:$R$300</definedName>
    <definedName name="Concept" hidden="0" function="0" vbProcedure="0">[19]Data!$F$5:$F$1171</definedName>
    <definedName name="contingency_rate" hidden="0" function="0" vbProcedure="0">'[20]'!$G$12</definedName>
    <definedName name="ContractLength" hidden="0" function="0" vbProcedure="0">'[2]interface.h'!$C$101</definedName>
    <definedName name="ContractType" hidden="0" function="0" vbProcedure="0">[31]Input!$C$45</definedName>
    <definedName name="Contract_Phase" hidden="0" function="0" vbProcedure="0">[12]Tables!$B$31:$B$33</definedName>
    <definedName name="Contract_Phase1" hidden="0" function="0" vbProcedure="0">[14]Tables!$B$31:$B$33</definedName>
    <definedName name="CORP" hidden="0" function="0" vbProcedure="0">'[20]'!$K$7</definedName>
    <definedName name="CORP1" hidden="0" function="0" vbProcedure="0">'[20]'!$R$7</definedName>
    <definedName name="Cost_by_Framework" hidden="0" function="0" vbProcedure="0">[22]Calendar!$C$7:$O$29</definedName>
    <definedName name="Cost_Center" hidden="0" function="0" vbProcedure="0">[19]Data!$K$5:$K$1171</definedName>
    <definedName name="Cost_Changes" hidden="0" function="0" vbProcedure="0">[22]Calendar!$B$1:$J$23</definedName>
    <definedName name="cost_element" hidden="0" function="0" vbProcedure="0">[22]Calendar!$A$143:$R$240</definedName>
    <definedName name="Cost_Group" hidden="0" function="0" vbProcedure="0">[19]Data!$J$5:$J$1171</definedName>
    <definedName name="Cost_Pools" hidden="0" function="0" vbProcedure="0">[22]Calendar!$B$1:$AX$24</definedName>
    <definedName name="Cost_Total" hidden="0" function="0" vbProcedure="0">[22]Calendar!$B$2:$M$17</definedName>
    <definedName name="Country" hidden="0" function="0" vbProcedure="0">'[20]'!$A$2:$A$150</definedName>
    <definedName name="CRAY" hidden="0" function="0" vbProcedure="0">NA()</definedName>
    <definedName name="CSC_operational_strategy" hidden="0" function="0" vbProcedure="0">[22]Calendar!$B$4:$E$12</definedName>
    <definedName name="CUMMINS" hidden="0" function="0" vbProcedure="0">NA()</definedName>
    <definedName name="Currency" hidden="0" function="0" vbProcedure="0">[19]Data!$L$5:$L$1171</definedName>
    <definedName name="CUST" hidden="0" function="0" vbProcedure="0">'[20]'!$M$7</definedName>
    <definedName name="custname" hidden="0" function="0" vbProcedure="0">'[2]interface.h'!$C$105</definedName>
    <definedName name="Cycle" hidden="0" function="0" vbProcedure="0">[19]Data!$C$5:$C$1171</definedName>
    <definedName name="da" hidden="0" function="0" vbProcedure="0">[15]Tables!$B$69:$B$71</definedName>
    <definedName name="data" hidden="0" function="0" vbProcedure="0">[33]Summary!$A$5:$D$383</definedName>
    <definedName name="dbo_RELATION_FID" hidden="0" function="0" vbProcedure="0">'[20]'!$F$7</definedName>
    <definedName name="dbo_RELATION_SSF" hidden="0" function="0" vbProcedure="0">'[20]'!$E$7</definedName>
    <definedName name="DDCCANTON" hidden="0" function="0" vbProcedure="0">NA()</definedName>
    <definedName name="DDCREDFORD" hidden="0" function="0" vbProcedure="0">NA()</definedName>
    <definedName name="deal_name" hidden="0" function="0" vbProcedure="0">[1]Title!$B$4</definedName>
    <definedName name="DEERE" hidden="0" function="0" vbProcedure="0">NA()</definedName>
    <definedName name="Define" hidden="0" function="0" vbProcedure="0">'[20]'!$P$35:$P$37</definedName>
    <definedName name="dept9141" hidden="0" function="0" vbProcedure="0">[10]D1!$AO$10281</definedName>
    <definedName name="dept9165" hidden="0" function="0" vbProcedure="0">[10]D1!IK62453</definedName>
    <definedName name="DetailElement" hidden="0" function="0" vbProcedure="0">'[3]'!$C$2:$C$62</definedName>
    <definedName name="deve" hidden="0" function="0" vbProcedure="0">'[7]GMLG-Staffing Plan'!$EF34697</definedName>
    <definedName name="DIBS" hidden="0" function="0" vbProcedure="0">NA()</definedName>
    <definedName name="Discount" hidden="0" function="0" vbProcedure="0">'[30]US-Detail Base Chgs'!$J$28</definedName>
    <definedName name="Discount_Factors" hidden="0" function="0" vbProcedure="0">#REF!</definedName>
    <definedName name="Discount_Rate" hidden="0" function="0" vbProcedure="0">#REF!</definedName>
    <definedName name="Distinct_Domestic_Sites" hidden="0" function="0" vbProcedure="0">'[21]'!$A$2:$E$982</definedName>
    <definedName name="Distinct_International_Sites" hidden="0" function="0" vbProcedure="0">'[21]'!$A$1:$AG$197</definedName>
    <definedName name="Domain_Properties" hidden="0" function="0" vbProcedure="0">[13]Domain!$A$1:$Z$1048576</definedName>
    <definedName name="DsHdAgt00001" hidden="0" function="0" vbProcedure="0">'[3]'!$D$2:$D$62</definedName>
    <definedName name="DsHdAgt00002" hidden="0" function="0" vbProcedure="0">'[3]'!$E$2:$E$62</definedName>
    <definedName name="DsHdAgt00003" hidden="0" function="0" vbProcedure="0">'[3]'!$F$2:$F$62</definedName>
    <definedName name="DsHdSpt00004" hidden="0" function="0" vbProcedure="0">'[3]'!$G$2:$G$62</definedName>
    <definedName name="DsHdSpt00005" hidden="0" function="0" vbProcedure="0">'[3]'!$H$2:$H$62</definedName>
    <definedName name="DsHdSpt11670" hidden="0" function="0" vbProcedure="0">'[3]'!$O$2:$O$67</definedName>
    <definedName name="DsHdSpt11850" hidden="0" function="0" vbProcedure="0">'[3]'!$I$2:$I$62</definedName>
    <definedName name="DsHdSpt11851" hidden="0" function="0" vbProcedure="0">'[3]'!$J$2:$J$62</definedName>
    <definedName name="DsHdSpt11852" hidden="0" function="0" vbProcedure="0">'[3]'!$O$2:$O$57</definedName>
    <definedName name="DsHdSpt11853" hidden="0" function="0" vbProcedure="0">'[3]'!$P$2:$P$856</definedName>
    <definedName name="DsHdSpt21190" hidden="0" function="0" vbProcedure="0">'[3]'!$K$2:$K$62</definedName>
    <definedName name="DsHdSpt30190" hidden="0" function="0" vbProcedure="0">'[3]'!$L$2:$L$62</definedName>
    <definedName name="DsHdSpt30192" hidden="0" function="0" vbProcedure="0">'[3]'!$Q$2:$Q$536</definedName>
    <definedName name="DsHdSpt30360" hidden="0" function="0" vbProcedure="0">'[3]'!$M$2:$M$62</definedName>
    <definedName name="DsHdSpt33981" hidden="0" function="0" vbProcedure="0">'[3]'!$N$2:$N$62</definedName>
    <definedName name="DTC" hidden="0" function="0" vbProcedure="0">NA()</definedName>
    <definedName name="E" hidden="0" function="0" vbProcedure="0">'[20]'!$P$7</definedName>
    <definedName name="ElementID" hidden="0" function="0" vbProcedure="0">'[3]'!$B$2:$B$62</definedName>
    <definedName name="Email" hidden="0" function="0" vbProcedure="0">[22]Calendar!$C$39:$N$96</definedName>
    <definedName name="EMEA_Sites" hidden="0" function="0" vbProcedure="0">'[21]'!$A$1:$I$84</definedName>
    <definedName name="Employee_Site" hidden="0" function="0" vbProcedure="0">[12]Tables!$B$20:$B$21</definedName>
    <definedName name="Employee_Status" hidden="0" function="0" vbProcedure="0">[12]Tables!$B$9:$B$16</definedName>
    <definedName name="EssAliasTable" hidden="0" function="0" vbProcedure="0">"Default"</definedName>
    <definedName name="EssOptions" hidden="0" function="0" vbProcedure="0">"2100000010120000_01000"</definedName>
    <definedName name="Excel_BuiltIn_Criteria" hidden="0" function="0" vbProcedure="0">'[3]'!$A$168:$A$169</definedName>
    <definedName name="Excel_BuiltIn_Database" hidden="0" function="0" vbProcedure="0">#REF!</definedName>
    <definedName name="Excel_BuiltIn_Print_Area" hidden="0" function="0" vbProcedure="0">'[20]'!$A$1:$H$32</definedName>
    <definedName name="Execs" hidden="0" function="0" vbProcedure="0">'[20]'!$Q$64:$Q$68</definedName>
    <definedName name="EXISTING" hidden="0" function="0" vbProcedure="0">[9]OLEX!$E$1029</definedName>
    <definedName name="ExpLvl1" hidden="0" function="0" vbProcedure="0">'[3]'!$A$2:$A$62</definedName>
    <definedName name="FEDERAL" hidden="0" function="0" vbProcedure="0">NA()</definedName>
    <definedName name="FID_MGR" hidden="0" function="0" vbProcedure="0">'[20]'!$U$7</definedName>
    <definedName name="FID_NAME" hidden="0" function="0" vbProcedure="0">'[20]'!$T$7</definedName>
    <definedName name="FINSUM" hidden="0" function="0" vbProcedure="0">'[21]'!$DU$9:$ER$53</definedName>
    <definedName name="Fix_Var_Opt" hidden="0" function="0" vbProcedure="0">[12]Tables!$B$25:$B$27</definedName>
    <definedName name="FREIGHTLINER" hidden="0" function="0" vbProcedure="0">NA()</definedName>
    <definedName name="FRIGIDAIRE" hidden="0" function="0" vbProcedure="0">NA()</definedName>
    <definedName name="FRUEHAUF" hidden="0" function="0" vbProcedure="0">NA()</definedName>
    <definedName name="FTE_Contractor" hidden="0" function="0" vbProcedure="0">'[26]'!$D$138:$L$138</definedName>
    <definedName name="FTE_Employee" hidden="0" function="0" vbProcedure="0">'[26]'!$D$135:$L$135</definedName>
    <definedName name="FTE_EmployeeCount" hidden="0" function="0" vbProcedure="0">'[26]'!$D$136:$L$136</definedName>
    <definedName name="FTE_EmployeeNonCount" hidden="0" function="0" vbProcedure="0">'[26]'!$D$137:$L$137</definedName>
    <definedName name="function_tower_name" hidden="0" function="0" vbProcedure="0">[1]Title!$B$6</definedName>
    <definedName name="GENASYS" hidden="0" function="0" vbProcedure="0">NA()</definedName>
    <definedName name="GEO" hidden="0" function="0" vbProcedure="0">'[20]'!$H$7</definedName>
    <definedName name="geography" hidden="0" function="0" vbProcedure="0">'[20]'!$E$2:$E$79</definedName>
    <definedName name="GMB" hidden="0" function="0" vbProcedure="0">'[20]'!$L$7</definedName>
    <definedName name="GoToProduct" hidden="0" function="0" vbProcedure="0">GoToProduct</definedName>
    <definedName name="GROVER" hidden="0" function="0" vbProcedure="0">NA()</definedName>
    <definedName name="GROVER_PRINT" hidden="0" function="0" vbProcedure="0">[8]OLEX!$A$1,[8]OLEX!$V$1:$AO$111,[8]OLEX!$V$111:$AA$111,[8]OLEX!$V$111,[8]OLEX!$V$149:$AO$300,[8]OLEX!$V$340:$W$340,[8]OLEX!$V$339:$AO$604,[8]OLEX!$V$681:$AO$718,[8]OLEX!$V$757:$AO$794,[8]OLEX!$CG$1:$CZ$34</definedName>
    <definedName name="growth" hidden="0" function="0" vbProcedure="0">'[7]GMLG-Staffing Plan'!$Q$4113</definedName>
    <definedName name="H" hidden="0" function="0" vbProcedure="0">[5]OLEX!$E$1029</definedName>
    <definedName name="HdLan" hidden="0" function="0" vbProcedure="0">'[21]'!$A$117:$O$146</definedName>
    <definedName name="hdwr_sftw_ovhd" hidden="0" function="0" vbProcedure="0">'[6]Client Platform'!$CN$92</definedName>
    <definedName name="headcount" hidden="0" function="0" vbProcedure="0">[22]Calendar!$A$330:$U$352</definedName>
    <definedName name="HOR" hidden="0" function="0" vbProcedure="0">'[20]'!$I$7</definedName>
    <definedName name="hw_deprec" hidden="0" function="0" vbProcedure="0">[22]Calendar!$BG$69</definedName>
    <definedName name="HW_Depreciation" hidden="0" function="0" vbProcedure="0">'[26]'!$D$144:$L$144</definedName>
    <definedName name="HW_Maintenance" hidden="0" function="0" vbProcedure="0">'[26]'!$D$145:$L$145</definedName>
    <definedName name="IND" hidden="0" function="0" vbProcedure="0">'[20]'!$G$7</definedName>
    <definedName name="Inflation" hidden="0" function="0" vbProcedure="0">[19]Data!$M$5:$M$1171</definedName>
    <definedName name="Inflation_Index" hidden="0" function="0" vbProcedure="0">#REF!</definedName>
    <definedName name="Inflation_Rate" hidden="0" function="0" vbProcedure="0">#REF!</definedName>
    <definedName name="INFRA" hidden="0" function="0" vbProcedure="0">'[20]'!$J$7</definedName>
    <definedName name="Instruct" hidden="0" function="0" vbProcedure="0">Instruct</definedName>
    <definedName name="int_ext_sel" hidden="0" function="0" vbProcedure="0">1</definedName>
    <definedName name="Invoice" hidden="0" function="0" vbProcedure="0">'[21]'!$A$1:$G$1134</definedName>
    <definedName name="Jblank" hidden="0" function="0" vbProcedure="0">[12]Tables!$B$357</definedName>
    <definedName name="jh" hidden="0" function="0" vbProcedure="0">[16]Tables!$B$69:$B$71</definedName>
    <definedName name="Job" hidden="0" function="0" vbProcedure="0">data</definedName>
    <definedName name="Labor_by_Framework" hidden="0" function="0" vbProcedure="0">[22]Calendar!$B$7:$N$41</definedName>
    <definedName name="LC__Hist" hidden="0" function="0" vbProcedure="0">[19]Data!$O$5:$O$1171</definedName>
    <definedName name="LC____SRF" hidden="0" function="0" vbProcedure="0">[19]Data!$P$5:$P$1171</definedName>
    <definedName name="LE" hidden="0" function="0" vbProcedure="0">'[20]'!$N$7</definedName>
    <definedName name="LEVEL1_TYPE" hidden="0" function="0" vbProcedure="0">'[20]'!$AC$7:$AC$13</definedName>
    <definedName name="Line_of_Service_LOS" hidden="0" function="0" vbProcedure="0">[22]Calendar!$A$355:$Q$370</definedName>
    <definedName name="LOB" hidden="0" function="0" vbProcedure="0">'[20]'!$AP$7</definedName>
    <definedName name="Maintenance" hidden="0" function="0" vbProcedure="0">'[20]'!$Y$7:$Z$13</definedName>
    <definedName name="MAINT_LEVEL1" hidden="0" function="0" vbProcedure="0">'[20]'!$Y$7:$Y$13</definedName>
    <definedName name="MANADJ" hidden="0" function="0" vbProcedure="0">NA()</definedName>
    <definedName name="Management_Days" hidden="0" function="0" vbProcedure="0">[13]Domain!$K$1:$K$1048576</definedName>
    <definedName name="MARKETING" hidden="0" function="0" vbProcedure="0">NA()</definedName>
    <definedName name="mfmr" hidden="0" function="0" vbProcedure="0">'[21]'!$A$41:$O$67</definedName>
    <definedName name="MicPrOth" hidden="0" function="0" vbProcedure="0">'[21]'!$A$194:$O$219</definedName>
    <definedName name="midrangeGrowthRate" hidden="0" function="0" vbProcedure="0">'[2]interface.h'!$C$100</definedName>
    <definedName name="MISC_C" hidden="0" function="0" vbProcedure="0">'[20]'!$V$7</definedName>
    <definedName name="MISC_E" hidden="0" function="0" vbProcedure="0">'[20]'!$W$7</definedName>
    <definedName name="MISC_F" hidden="0" function="0" vbProcedure="0">'[20]'!$X$7</definedName>
    <definedName name="misc_sales" hidden="0" function="0" vbProcedure="0">NA()</definedName>
    <definedName name="mis_sal" hidden="0" function="0" vbProcedure="0">'[7]GMLG-Staffing Plan'!$AL$9510</definedName>
    <definedName name="month_array" hidden="0" function="0" vbProcedure="0">[32]Month_Array!$I$8:$S$8</definedName>
    <definedName name="mrConvertCurrency" hidden="0" function="0" vbProcedure="0">'[2]interface.h'!$C$117</definedName>
    <definedName name="mrCountry" hidden="0" function="0" vbProcedure="0">'[2]interface.h'!$C$116</definedName>
    <definedName name="MURRAY" hidden="0" function="0" vbProcedure="0">NA()</definedName>
    <definedName name="murray_new" hidden="0" function="0" vbProcedure="0">NA()</definedName>
    <definedName name="NAVISTAR" hidden="0" function="0" vbProcedure="0">NA()</definedName>
    <definedName name="NEWSALES" hidden="0" function="0" vbProcedure="0">[9]OLEX!$E$1029</definedName>
    <definedName name="New_Sales" hidden="0" function="0" vbProcedure="0">NA()</definedName>
    <definedName name="No" hidden="0" function="0" vbProcedure="0">'[20]'!$X$48:$X$49</definedName>
    <definedName name="No__bench__d" hidden="0" function="0" vbProcedure="0">[13]Domain!$L$1:$L$1048576</definedName>
    <definedName name="No__other_absence__d" hidden="0" function="0" vbProcedure="0">[13]Domain!$M$1:$M$1048576</definedName>
    <definedName name="No__overtime__d" hidden="0" function="0" vbProcedure="0">[13]Domain!$O$1:$O$1048576</definedName>
    <definedName name="O" hidden="0" function="0" vbProcedure="0">'[20]'!$Q$7</definedName>
    <definedName name="OLE_LINK2" hidden="0" function="0" vbProcedure="0">'[20]'!$A$35</definedName>
    <definedName name="OLKID" hidden="0" function="0" vbProcedure="0">'[20]'!$AA$7</definedName>
    <definedName name="oper" hidden="0" function="0" vbProcedure="0">'[7]GMLG-Staffing Plan'!$EH35211</definedName>
    <definedName name="other_deprec" hidden="0" function="0" vbProcedure="0">[22]Calendar!$BG$69</definedName>
    <definedName name="OutsideContractor" hidden="0" function="0" vbProcedure="0">'[26]'!$D$143:$L$143</definedName>
    <definedName name="PayrollTax" hidden="0" function="0" vbProcedure="0">'[26]'!$D$150:$L$150</definedName>
    <definedName name="PENSKE" hidden="0" function="0" vbProcedure="0">NA()</definedName>
    <definedName name="phar" hidden="0" function="0" vbProcedure="0">'[7]GMLG-Staffing Plan'!$AU$11823</definedName>
    <definedName name="PLUMLEY" hidden="0" function="0" vbProcedure="0">NA()</definedName>
    <definedName name="PPAs" hidden="0" function="0" vbProcedure="0">[22]Calendar!$A$2:$Q$47</definedName>
    <definedName name="price_chart" hidden="0" function="0" vbProcedure="0">[22]Calendar!$A$1:$I$25</definedName>
    <definedName name="Price_Pie" hidden="0" function="0" vbProcedure="0">[22]Calendar!$C$7:$O$36</definedName>
    <definedName name="Price_Units" hidden="0" function="0" vbProcedure="0">'[12]RU Tables'!$B$99:$B$179</definedName>
    <definedName name="Pricing_Summary" hidden="0" function="0" vbProcedure="0">[22]Calendar!$B$7:$O$45</definedName>
    <definedName name="Pricing_Units" hidden="0" function="0" vbProcedure="0">'[15]RU Tables'!$B$9:$B$90</definedName>
    <definedName name="PRINT_FRONTPAGE" hidden="0" function="0" vbProcedure="0">[25]Macro1!$T$1</definedName>
    <definedName name="prod_factors" hidden="0" function="0" vbProcedure="0">[22]Calendar!$A$55:$Q$100</definedName>
    <definedName name="proj1_5a" hidden="0" function="0" vbProcedure="0">'[21]'!$CY$9:$DT$54</definedName>
    <definedName name="proj1_5b" hidden="0" function="0" vbProcedure="0">'[21]'!$CY$54:$DT$80</definedName>
    <definedName name="proj1_5c" hidden="0" function="0" vbProcedure="0">'[21]'!$CY$81:$DT$116</definedName>
    <definedName name="Project" hidden="0" function="0" vbProcedure="0">[19]Data!$H$5:$H$1171</definedName>
    <definedName name="PropertyTax" hidden="0" function="0" vbProcedure="0">'[26]'!$D$151:$L$151</definedName>
    <definedName name="Property_Tax_Table" hidden="0" function="0" vbProcedure="0">[22]Calendar!$D$303:$R$328</definedName>
    <definedName name="Public_hollidays" hidden="0" function="0" vbProcedure="0">[13]Domain!$H$1:$H$1048576</definedName>
    <definedName name="PV_ITEM_AD" hidden="0" function="0" vbProcedure="0">[25]Macro1!$AK$1</definedName>
    <definedName name="QRev_Ranges_for_distribution" hidden="0" function="0" vbProcedure="0">'[3]'!$A$1:$D$378</definedName>
    <definedName name="range_ibis" hidden="0" function="0" vbProcedure="0">'[21]'!$A$1:$XFD$65536</definedName>
    <definedName name="Region" hidden="0" function="0" vbProcedure="0">'[20]'!$C$2:$C$148</definedName>
    <definedName name="RepMo" hidden="0" function="0" vbProcedure="0">'[27]P&amp;S Results'!$D$2</definedName>
    <definedName name="ret" hidden="0" function="0" vbProcedure="0">[22]Calendar!$A$1:$N$9</definedName>
    <definedName name="retained" hidden="0" function="0" vbProcedure="0">'[7]GMLG-Staffing Plan'!BU$18248</definedName>
    <definedName name="Retained_Assumed" hidden="0" function="0" vbProcedure="0">[22]Calendar!$A$4:$H$21</definedName>
    <definedName name="revenue_comp" hidden="0" function="0" vbProcedure="0">[22]Calendar!$A$243:$R$282</definedName>
    <definedName name="Revised_Job_Matches_all" hidden="0" function="0" vbProcedure="0">'[3]'!$A$1:$I$10</definedName>
    <definedName name="ROCKWELL" hidden="0" function="0" vbProcedure="0">NA()</definedName>
    <definedName name="RPTID" hidden="0" function="0" vbProcedure="0">'[20]'!$O$7</definedName>
    <definedName name="SAAB" hidden="0" function="0" vbProcedure="0">NA()</definedName>
    <definedName name="salary" hidden="0" function="0" vbProcedure="0">'[7]GMLG-Staffing Plan'!GL49346</definedName>
    <definedName name="salary_impact" hidden="0" function="0" vbProcedure="0">'[7]GMLG-Staffing Plan'!CQ$23902</definedName>
    <definedName name="SALES" hidden="0" function="0" vbProcedure="0">NA()</definedName>
    <definedName name="SAP_NUMBER" hidden="0" function="0" vbProcedure="0">'[20]'!$AB$7</definedName>
    <definedName name="Savings_Graph" hidden="0" function="0" vbProcedure="0">[22]Calendar!$C$18:$N$42</definedName>
    <definedName name="SC" hidden="0" function="0" vbProcedure="0">[19]Data!$B$5:$R$5</definedName>
    <definedName name="select" hidden="0" function="0" vbProcedure="0">'[20]'!$B$35:$B$37</definedName>
    <definedName name="Select__one" hidden="0" function="0" vbProcedure="0">'[20]'!$B$35:$B$37</definedName>
    <definedName name="SERV_DEL" hidden="0" function="0" vbProcedure="0">'[20]'!$AQ$7</definedName>
    <definedName name="Sick_leave_days" hidden="0" function="0" vbProcedure="0">[13]Domain!$J$1:$J$1048576</definedName>
    <definedName name="SIGN" hidden="0" function="0" vbProcedure="0">'[21]'!$I$96</definedName>
    <definedName name="SIGNEXP1" hidden="0" function="0" vbProcedure="0">'[21]'!$K$96</definedName>
    <definedName name="SIMPSON" hidden="0" function="0" vbProcedure="0">NA()</definedName>
    <definedName name="Software" hidden="0" function="0" vbProcedure="0">'[26]'!$D$146:$L$146</definedName>
    <definedName name="Space" hidden="0" function="0" vbProcedure="0">'[26]'!$D$148:$L$148</definedName>
    <definedName name="stardate" hidden="0" function="0" vbProcedure="0">'[2]interface.h'!$C$113</definedName>
    <definedName name="start_date" hidden="0" function="0" vbProcedure="0">[1]Title!$B$14</definedName>
    <definedName name="State" hidden="0" function="0" vbProcedure="0">[12]Tables!$B$112:$B$352</definedName>
    <definedName name="state_ref_without_space" hidden="0" function="0" vbProcedure="0">'[3]'!$Z$3:$AR$4</definedName>
    <definedName name="state_ref_with_space" hidden="0" function="0" vbProcedure="0">'[3]'!$F$3:$X$4</definedName>
    <definedName name="stor" hidden="0" function="0" vbProcedure="0">'[7]GMLG-Staffing Plan'!$FT44977</definedName>
    <definedName name="store" hidden="0" function="0" vbProcedure="0">'[7]GMLG-Staffing Plan'!$FT44977</definedName>
    <definedName name="stor_sal" hidden="0" function="0" vbProcedure="0">'[7]GMLG-Staffing Plan'!$AH$8482</definedName>
    <definedName name="supp" hidden="0" function="0" vbProcedure="0">'[7]GMLG-Staffing Plan'!$EG34954</definedName>
    <definedName name="switch" hidden="0" function="0" vbProcedure="0">'[21]'!$A$1:$O$25</definedName>
    <definedName name="sw_deprec" hidden="0" function="0" vbProcedure="0">[22]Calendar!$BG$69</definedName>
    <definedName name="Target_Productivity" hidden="0" function="0" vbProcedure="0">'[3]'!$C$1:$C$1048576</definedName>
    <definedName name="Target_Productivity_Table" hidden="0" function="0" vbProcedure="0">'[3]'!$A$1:$M$1048576</definedName>
    <definedName name="TERM" hidden="0" function="0" vbProcedure="0">'[21]'!$F$15</definedName>
    <definedName name="Thomas" hidden="0" function="0" vbProcedure="0">NA()</definedName>
    <definedName name="THREE" hidden="0" function="0" vbProcedure="0">'[35]'!$CH$86</definedName>
    <definedName name="toHdLan" hidden="0" function="0" vbProcedure="0">'[21]'!$A$117:$O$146</definedName>
    <definedName name="toMicPrOth" hidden="0" function="0" vbProcedure="0">'[21]'!$A$194:$O$219</definedName>
    <definedName name="TP_Footer_Path" hidden="0" function="0" vbProcedure="0">"C:\Documents and Settings\inouyew\My Documents\Task Force - Process Redesign\"</definedName>
    <definedName name="TP_Footer_User" hidden="0" function="0" vbProcedure="0">"Inouyew"</definedName>
    <definedName name="TP_Footer_Version" hidden="0" function="0" vbProcedure="0">"v3.00"</definedName>
    <definedName name="Training" hidden="0" function="0" vbProcedure="0">'[26]'!$D$142:$L$142</definedName>
    <definedName name="Training_days" hidden="0" function="0" vbProcedure="0">[13]Domain!$I$1:$I$1048576</definedName>
    <definedName name="Trouble" hidden="0" function="0" vbProcedure="0">'[21]'!$C$30:$O$55</definedName>
    <definedName name="Tr_Curr" hidden="0" function="0" vbProcedure="0">[19]Data!$N$5:$N$1171</definedName>
    <definedName name="TWO" hidden="0" function="0" vbProcedure="0">'[35]'!$AQ$43</definedName>
    <definedName name="Type" hidden="0" function="0" vbProcedure="0">[19]Data!$E$5:$E$1171</definedName>
    <definedName name="UNBREV" hidden="0" function="0" vbProcedure="0">NA()</definedName>
    <definedName name="units" hidden="0" function="0" vbProcedure="0">[22]Calendar!$A$102:$Q$140</definedName>
    <definedName name="UNSOLD" hidden="0" function="0" vbProcedure="0">NA()</definedName>
    <definedName name="utilo_version" hidden="0" function="0" vbProcedure="0">3</definedName>
    <definedName name="U_S__Hist" hidden="0" function="0" vbProcedure="0">[19]Data!$Q$5:$Q$1171</definedName>
    <definedName name="U_S____SRF" hidden="0" function="0" vbProcedure="0">[19]Data!$R$5:$R$1171</definedName>
    <definedName name="Value_Pricing_Table__2" hidden="0" function="0" vbProcedure="0">[22]Calendar!$BG$69</definedName>
    <definedName name="Vendor" hidden="0" function="0" vbProcedure="0">[19]Data!$G$5:$G$1171</definedName>
    <definedName name="VOLVO" hidden="0" function="0" vbProcedure="0">NA()</definedName>
    <definedName name="wade" hidden="0" function="0" vbProcedure="0">'[28]ACH 2000'!$B$41:$U$70</definedName>
    <definedName name="wade1" hidden="0" function="0" vbProcedure="0">'[28]ACH 2000'!$B$107:$U$136</definedName>
    <definedName name="wade2" hidden="0" function="0" vbProcedure="0">'[29]2000'!$B$41:$U$70</definedName>
    <definedName name="WAGNER" hidden="0" function="0" vbProcedure="0">NA()</definedName>
    <definedName name="WanSW" hidden="0" function="0" vbProcedure="0">'[21]'!$B$80:$P$106</definedName>
    <definedName name="Western_Hem_Sites" hidden="0" function="0" vbProcedure="0">'[21]'!$A$2:$D$38</definedName>
    <definedName name="wrn_Long__Report_1" hidden="0" function="0" vbProcedure="0">{#N/A,#N/A,TRUE,"Cover";#N/A,#N/A,TRUE,"Header (ld)";#N/A,#N/A,TRUE,"T&amp;O By Region";#N/A,#N/A,TRUE,"Region Charts ";#N/A,#N/A,TRUE,"T&amp;O London";#N/A,#N/A,TRUE,"AD Report";#N/A,#N/A,TRUE,"Var by OU"}</definedName>
    <definedName name="wrn_Long__Report_a1" hidden="0" function="0" vbProcedure="0">{#N/A,#N/A,TRUE,"Cover";#N/A,#N/A,TRUE,"Header (ld)";#N/A,#N/A,TRUE,"T&amp;O By Region";#N/A,#N/A,TRUE,"Region Charts ";#N/A,#N/A,TRUE,"T&amp;O London";#N/A,#N/A,TRUE,"AD Report";#N/A,#N/A,TRUE,"Var by OU"}</definedName>
    <definedName name="wrn_Long___Report_" hidden="0" function="0" vbProcedure="0">{#N/A,#N/A,TRUE,"Cover";#N/A,#N/A,TRUE,"Header (ld)";#N/A,#N/A,TRUE,"T&amp;O By Region";#N/A,#N/A,TRUE,"Region Charts ";#N/A,#N/A,TRUE,"T&amp;O London";#N/A,#N/A,TRUE,"AD Report";#N/A,#N/A,TRUE,"Var by OU"}</definedName>
    <definedName name="wrn_Long___Report_a" hidden="0" function="0" vbProcedure="0">{#N/A,#N/A,TRUE,"Cover";#N/A,#N/A,TRUE,"Header (ld)";#N/A,#N/A,TRUE,"T&amp;O By Region";#N/A,#N/A,TRUE,"Region Charts ";#N/A,#N/A,TRUE,"T&amp;O London";#N/A,#N/A,TRUE,"AD Report";#N/A,#N/A,TRUE,"Var by OU"}</definedName>
    <definedName name="wrn_Short___Report_" hidden="0" function="0" vbProcedure="0">{#N/A,#N/A,TRUE,"Cover";#N/A,#N/A,TRUE,"Header (eu)";#N/A,#N/A,TRUE,"Region Charts";#N/A,#N/A,TRUE,"T&amp;O By Region";#N/A,#N/A,TRUE,"AD Report"}</definedName>
    <definedName name="wrn_Short___Report_1" hidden="0" function="0" vbProcedure="0">{#N/A,#N/A,TRUE,"Cover";#N/A,#N/A,TRUE,"Header (eu)";#N/A,#N/A,TRUE,"Region Charts";#N/A,#N/A,TRUE,"T&amp;O By Region";#N/A,#N/A,TRUE,"AD Report"}</definedName>
    <definedName name="xx" hidden="0" function="0" vbProcedure="0">{#N/A,#N/A,TRUE,"Cover";#N/A,#N/A,TRUE,"Header (ld)";#N/A,#N/A,TRUE,"T&amp;O By Region";#N/A,#N/A,TRUE,"Region Charts ";#N/A,#N/A,TRUE,"T&amp;O London";#N/A,#N/A,TRUE,"AD Report";#N/A,#N/A,TRUE,"Var by OU"}</definedName>
    <definedName name="xxx" hidden="0" function="0" vbProcedure="0">'[17]9. Time&amp;$-1 Plan Estimate'!$F$7,'[17]9. Time&amp;$-1 Plan Estimate'!$F$9,'[17]9. Time&amp;$-1 Plan Estimate'!$F$11,'[17]9. Time&amp;$-1 Plan Estimate'!$F$13,'[17]9. Time&amp;$-1 Plan Estimate'!$F$13,'[17]9. Time&amp;$-1 Plan Estimate'!$F$13,'[17]9. Time&amp;$-1 Plan Estimate'!$F$15,'[17]9. Time&amp;$-1 Plan Estimate'!$F$8,'[17]9. Time&amp;$-1 Plan Estimate'!$F$9,'[17]9. Time&amp;$-1 Plan Estimate'!$F$11,'[17]9. Time&amp;$-1 Plan Estimate'!$F$13,'[17]9. Time&amp;$-1 Plan Estimate'!$F$10,'[17]9. Time&amp;$-1 Plan Estimate'!$F$12,'[17]9. Time&amp;$-1 Plan Estimate'!$F$14,'[17]9. Time&amp;$-1 Plan Estimate'!$F$16,'[17]9. Time&amp;$-1 Plan Estimate'!$F$17,'[17]9. Time&amp;$-1 Plan Estimate'!$F$18,'[17]9. Time&amp;$-1 Plan Estimate'!$F$16,'[17]9. Time&amp;$-1 Plan Estimate'!$F$16,'[17]9. Time&amp;$-1 Plan Estimate'!$F$16,'[17]9. Time&amp;$-1 Plan Estimate'!$F$18,'[17]9. Time&amp;$-1 Plan Estimate'!$F$20,'[17]9. Time&amp;$-1 Plan Estimate'!$F$22,'[17]9. Time&amp;$-1 Plan Estimate'!$F$24</definedName>
    <definedName name="xxxx" hidden="0" function="0" vbProcedure="0">[18]Tables!$B$31:$B$33</definedName>
    <definedName name="Year" hidden="0" function="0" vbProcedure="0">[19]Data!$D$5:$D$1171</definedName>
    <definedName name="YearFormula" hidden="0" function="0" vbProcedure="0">YearFormula</definedName>
    <definedName name="year_basis" hidden="0" function="0" vbProcedure="0">[32]Title!$B$18</definedName>
    <definedName name="Z_2AFD2E8D_3D03_4813_8B05_F9D4BE800E07__wvu_PrintArea" hidden="0" function="0" vbProcedure="0">'[20]'!$A$1:$H$24</definedName>
    <definedName name="Z_357EEF68_4F39_42C7_9EEB_87BEC59B578B__wvu_PrintArea" hidden="0" function="0" vbProcedure="0">'[20]'!$A$1:$H$32</definedName>
    <definedName name="Z_422F6220_13A9_11D5_B09A_0050DA2FB877__wvu_PrintArea" hidden="0" function="0" vbProcedure="0">'[20]'!$A$1:$H$24</definedName>
    <definedName name="Z_4634084F_22B1_43A2_BC12_BA4FB0D7A126__wvu_PrintArea" hidden="0" function="0" vbProcedure="0">'[20]'!$A$1:$H$32</definedName>
    <definedName name="Z_4B2D6D4A_C75D_4A68_9856_C75A4E5366DD__wvu_PrintArea" hidden="0" function="0" vbProcedure="0">'[20]'!$A$1:$H$24</definedName>
    <definedName name="Z_75841E9E_685C_4808_8F8C_5FBC00E5259D__wvu_PrintArea" hidden="0" function="0" vbProcedure="0">'[20]'!$A$1:$H$32</definedName>
    <definedName name="Z_2AFD2E8D_3D03_4813_8B05_F9D4BE800E07__wvu_PrintArea" localSheetId="0" hidden="0" function="0" vbProcedure="0">'Cover Page'!$A$1:$I$28</definedName>
    <definedName name="Z_422F6220_13A9_11D5_B09A_0050DA2FB877__wvu_PrintArea" localSheetId="0" hidden="0" function="0" vbProcedure="0">'Cover Page'!$A$1:$I$28</definedName>
    <definedName name="Z_4B2D6D4A_C75D_4A68_9856_C75A4E5366DD__wvu_PrintArea" localSheetId="0" hidden="0" function="0" vbProcedure="0">'Cover Page'!$A$1:$I$28</definedName>
    <definedName name="_xlnm.Print_Area" localSheetId="0">'Cover Page'!$A$1:$I$28</definedName>
    <definedName name="_xlnm.Print_Titles" localSheetId="2">'Detailed Base Charges Total'!$1:$1</definedName>
    <definedName name="_xlnm.Print_Area" localSheetId="2">'Detailed Base Charges Total'!$A$1:$G$137</definedName>
    <definedName name="_xlnm.Print_Titles" localSheetId="3">'Detailed Base Charges NL'!$1:$1</definedName>
    <definedName name="_xlnm.Print_Area" localSheetId="3">'Detailed Base Charges NL'!$A$1:$G$137</definedName>
    <definedName name="_xlnm.Print_Titles" localSheetId="4">'Detailed Base Charges BE'!$1:$1</definedName>
    <definedName name="_xlnm.Print_Area" localSheetId="4">'Detailed Base Charges BE'!$A$1:$G$137</definedName>
    <definedName name="_xlnm.Print_Titles" localSheetId="5">'Unit Rates (ARCs &amp; RRCs) NL'!$1:$1</definedName>
    <definedName name="_xlnm.Print_Titles" localSheetId="6">'Unit Rates (ARCs &amp; RRCs) BE'!$1:$1</definedName>
    <definedName name="Excel_BuiltIn_Print_Area" localSheetId="7" hidden="0" function="0" vbProcedure="0">#REF!</definedName>
    <definedName name="Z_2AFD2E8D_3D03_4813_8B05_F9D4BE800E07__wvu_PrintArea" localSheetId="7" hidden="0" function="0" vbProcedure="0">#REF!</definedName>
    <definedName name="Z_422F6220_13A9_11D5_B09A_0050DA2FB877__wvu_PrintArea" localSheetId="7" hidden="0" function="0" vbProcedure="0">#REF!</definedName>
    <definedName name="Z_4B2D6D4A_C75D_4A68_9856_C75A4E5366DD__wvu_PrintArea" localSheetId="7" hidden="0" function="0" vbProcedure="0">#REF!</definedName>
    <definedName name="Excel_BuiltIn_Print_Area" localSheetId="8" hidden="0" function="0" vbProcedure="0">#REF!</definedName>
    <definedName name="Z_2AFD2E8D_3D03_4813_8B05_F9D4BE800E07__wvu_PrintArea" localSheetId="8" hidden="0" function="0" vbProcedure="0">#REF!</definedName>
    <definedName name="Z_422F6220_13A9_11D5_B09A_0050DA2FB877__wvu_PrintArea" localSheetId="8" hidden="0" function="0" vbProcedure="0">#REF!</definedName>
    <definedName name="Z_4B2D6D4A_C75D_4A68_9856_C75A4E5366DD__wvu_PrintArea" localSheetId="8" hidden="0" function="0" vbProcedure="0">#REF!</definedName>
    <definedName name="_xlnm.Print_Titles" localSheetId="11">'Pass Through overview'!$1:$8</definedName>
    <definedName name="GoToProduct" localSheetId="12" hidden="0" function="0" vbProcedure="0">GoToProduct</definedName>
    <definedName name="Instruct" localSheetId="12" hidden="0" function="0" vbProcedure="0">Instruct</definedName>
    <definedName name="Job" localSheetId="12" hidden="0" function="0" vbProcedure="0">data</definedName>
    <definedName name="wrn_Long__Report_1" localSheetId="12" hidden="0" function="0" vbProcedure="0">{#N/A,#N/A,TRUE,"Cover";#N/A,#N/A,TRUE,"Header (ld)";#N/A,#N/A,TRUE,"T&amp;O By Region";#N/A,#N/A,TRUE,"Region Charts ";#N/A,#N/A,TRUE,"T&amp;O London";#N/A,#N/A,TRUE,"AD Report";#N/A,#N/A,TRUE,"Var by OU"}</definedName>
    <definedName name="wrn_Long__Report_a1" localSheetId="12" hidden="0" function="0" vbProcedure="0">{#N/A,#N/A,TRUE,"Cover";#N/A,#N/A,TRUE,"Header (ld)";#N/A,#N/A,TRUE,"T&amp;O By Region";#N/A,#N/A,TRUE,"Region Charts ";#N/A,#N/A,TRUE,"T&amp;O London";#N/A,#N/A,TRUE,"AD Report";#N/A,#N/A,TRUE,"Var by OU"}</definedName>
    <definedName name="wrn_Long___Report_" localSheetId="12" hidden="0" function="0" vbProcedure="0">{#N/A,#N/A,TRUE,"Cover";#N/A,#N/A,TRUE,"Header (ld)";#N/A,#N/A,TRUE,"T&amp;O By Region";#N/A,#N/A,TRUE,"Region Charts ";#N/A,#N/A,TRUE,"T&amp;O London";#N/A,#N/A,TRUE,"AD Report";#N/A,#N/A,TRUE,"Var by OU"}</definedName>
    <definedName name="wrn_Long___Report_a" localSheetId="12" hidden="0" function="0" vbProcedure="0">{#N/A,#N/A,TRUE,"Cover";#N/A,#N/A,TRUE,"Header (ld)";#N/A,#N/A,TRUE,"T&amp;O By Region";#N/A,#N/A,TRUE,"Region Charts ";#N/A,#N/A,TRUE,"T&amp;O London";#N/A,#N/A,TRUE,"AD Report";#N/A,#N/A,TRUE,"Var by OU"}</definedName>
    <definedName name="wrn_Short___Report_" localSheetId="12" hidden="0" function="0" vbProcedure="0">{#N/A,#N/A,TRUE,"Cover";#N/A,#N/A,TRUE,"Header (eu)";#N/A,#N/A,TRUE,"Region Charts";#N/A,#N/A,TRUE,"T&amp;O By Region";#N/A,#N/A,TRUE,"AD Report"}</definedName>
    <definedName name="wrn_Short___Report_1" localSheetId="12" hidden="0" function="0" vbProcedure="0">{#N/A,#N/A,TRUE,"Cover";#N/A,#N/A,TRUE,"Header (eu)";#N/A,#N/A,TRUE,"Region Charts";#N/A,#N/A,TRUE,"T&amp;O By Region";#N/A,#N/A,TRUE,"AD Report"}</definedName>
    <definedName name="xx" localSheetId="12" hidden="0" function="0" vbProcedure="0">{#N/A,#N/A,TRUE,"Cover";#N/A,#N/A,TRUE,"Header (ld)";#N/A,#N/A,TRUE,"T&amp;O By Region";#N/A,#N/A,TRUE,"Region Charts ";#N/A,#N/A,TRUE,"T&amp;O London";#N/A,#N/A,TRUE,"AD Report";#N/A,#N/A,TRUE,"Var by OU"}</definedName>
    <definedName name="YearFormula" localSheetId="12" hidden="0" function="0" vbProcedure="0">YearFormula</definedName>
    <definedName name="_xlnm.Print_Area" localSheetId="12">'Retained costs overview'!$A$1:$H$53</definedName>
  </definedNames>
  <calcPr calcId="124519" fullCalcOnLoad="1" refMode="A1" iterate="0" iterateCount="100" iterateDelta="0.001"/>
</workbook>
</file>

<file path=xl/styles.xml><?xml version="1.0" encoding="utf-8"?>
<styleSheet xmlns="http://schemas.openxmlformats.org/spreadsheetml/2006/main">
  <numFmts count="63">
    <numFmt numFmtId="164" formatCode="mmmm\ d&quot;, &quot;yyyy"/>
    <numFmt numFmtId="165" formatCode="_-* #,##0.00_-;\-* #,##0.00_-;_-* \-??_-;_-@_-"/>
    <numFmt numFmtId="166" formatCode="#,##0.0000"/>
    <numFmt numFmtId="167" formatCode="#,##0.0"/>
    <numFmt numFmtId="168" formatCode="_-* #,##0_-;\-* #,##0_-;_-* \-??_-;_-@_-"/>
    <numFmt numFmtId="169" formatCode="_-* #,##0.0_-;\-* #,##0.0_-;_-* \-??_-;_-@_-"/>
    <numFmt numFmtId="170" formatCode="[$-409]m/d/yyyy"/>
    <numFmt numFmtId="171" formatCode="&quot;€ &quot;#,##0_-"/>
    <numFmt numFmtId="172" formatCode="_-* #,##0_-;_-* #,##0\-;_-* \-??_-;_-@_-"/>
    <numFmt numFmtId="173" formatCode="_-&quot;€ &quot;* #,##0.00_-;_-&quot;€ &quot;* #,##0.00\-;_-&quot;€ &quot;* \-??_-;_-@_-"/>
    <numFmt numFmtId="174" formatCode="_(* #,##0_);_(* \(#,##0\);_(* \-??_);_(@_)"/>
    <numFmt numFmtId="175" formatCode="_-\£* #,##0.00_-;&quot;-£&quot;* #,##0.00_-;_-\£* \-??_-;_-@_-"/>
    <numFmt numFmtId="176" formatCode="\$#,##0.0,_);[RED]&quot;($&quot;#,##0.0,\)"/>
    <numFmt numFmtId="177" formatCode="#,##0,_);[RED]\(#,##0,\)"/>
    <numFmt numFmtId="178" formatCode="_(* #,##0_);[RED]_(* \(#,##0\);_(* \-??_);_(@_)"/>
    <numFmt numFmtId="179" formatCode="_(\$* #,##0.00_);_(\$* \(#,##0.00\);_(\$* \-??_);_(@_)"/>
    <numFmt numFmtId="180" formatCode="_(\$* #,##0.0000_);_(\$* \(#,##0.0000\);_(\$* \-??_);_(@_)"/>
    <numFmt numFmtId="181" formatCode="#,##0.00_);[RED]\(#,##0.00\);&quot;--&quot;__"/>
    <numFmt numFmtId="182" formatCode="00"/>
    <numFmt numFmtId="183" formatCode="000000"/>
    <numFmt numFmtId="184" formatCode="0.000_)"/>
    <numFmt numFmtId="185" formatCode="#,##0.0_);[RED]\(#,##0.0\)"/>
    <numFmt numFmtId="186" formatCode="[$-409]#,##0.00_);[RED]\(#,##0.00\)"/>
    <numFmt numFmtId="187" formatCode="[$-409]#,##0_);[RED]\(#,##0\)"/>
    <numFmt numFmtId="188" formatCode="#,##0.0000_);[RED]\(#,##0.0000\)"/>
    <numFmt numFmtId="189" formatCode="#,##0.000000_);[RED]\(#,##0.000000\)"/>
    <numFmt numFmtId="190" formatCode="[$-409]#,##0_);\(#,##0\)"/>
    <numFmt numFmtId="191" formatCode="#,##0.0_);\(#,##0.0\)"/>
    <numFmt numFmtId="192" formatCode="[$-409]#,##0.00_);\(#,##0.00\)"/>
    <numFmt numFmtId="193" formatCode="_-* #,##0.00_-;_-* #,##0.00\-;_-* \-??_-;_-@_-"/>
    <numFmt numFmtId="194" formatCode="\$#,##0_);[RED]&quot;($&quot;#,##0\)"/>
    <numFmt numFmtId="195" formatCode="\$#,##0.00"/>
    <numFmt numFmtId="196" formatCode="\$#,##0.00_);[RED]&quot;($&quot;#,##0.00\)"/>
    <numFmt numFmtId="197" formatCode="_(\$* #,##0_);[RED]_(\$* \(#,##0\);_(\$* \-??_);_(@_)"/>
    <numFmt numFmtId="198" formatCode="_(\$* #,##0.0000_);_(\$* \(#,##0.0000\);_(\$* \-????_);_(@_)"/>
    <numFmt numFmtId="199" formatCode="\$#,##0_);&quot;($&quot;#,##0\)"/>
    <numFmt numFmtId="200" formatCode="\$#,##0.0_);&quot;($&quot;#,##0.0\)"/>
    <numFmt numFmtId="201" formatCode="\$#,##0.00_);&quot;($&quot;#,##0.00\)"/>
    <numFmt numFmtId="202" formatCode="mm/dd/yy"/>
    <numFmt numFmtId="203" formatCode="m/d/yy_)"/>
    <numFmt numFmtId="204" formatCode="0.00%&quot;,(&quot;0\.00%\)"/>
    <numFmt numFmtId="205" formatCode="_([$€]* #,##0.00_);_([$€]* \(#,##0.00\);_([$€]* \-??_);_(@_)"/>
    <numFmt numFmtId="206" formatCode="0_);[RED]\(0\)"/>
    <numFmt numFmtId="207" formatCode="#,##0.00&quot; F&quot;_);[RED]\(#,##0.00&quot; F)&quot;"/>
    <numFmt numFmtId="208" formatCode="_-* #,##0\ _F_-;\-* #,##0\ _F_-;_-* &quot;- &quot;_F_-;_-@_-"/>
    <numFmt numFmtId="209" formatCode="_-* #,##0.00\ _F_-;\-* #,##0.00\ _F_-;_-* \-??\ _F_-;_-@_-"/>
    <numFmt numFmtId="210" formatCode="mmm\-yy_)"/>
    <numFmt numFmtId="211" formatCode="mmm_)"/>
    <numFmt numFmtId="212" formatCode="_-* #,##0&quot; F&quot;_-;\-* #,##0&quot; F&quot;_-;_-* &quot;- F&quot;_-;_-@_-"/>
    <numFmt numFmtId="213" formatCode="_-* #,##0.00&quot; F&quot;_-;\-* #,##0.00&quot; F&quot;_-;_-* \-??&quot; F&quot;_-;_-@_-"/>
    <numFmt numFmtId="214" formatCode="0_)"/>
    <numFmt numFmtId="215" formatCode="0.00_);[RED]\(0.00\)"/>
    <numFmt numFmtId="216" formatCode="0.000"/>
    <numFmt numFmtId="217" formatCode="0.000000"/>
    <numFmt numFmtId="218" formatCode="0.0%"/>
    <numFmt numFmtId="219" formatCode="0%;[RED]\-0%"/>
    <numFmt numFmtId="220" formatCode="\£#,##0.00;&quot;-£&quot;#,##0.00"/>
    <numFmt numFmtId="221" formatCode="\£#,##0;[RED]&quot;-£&quot;#,##0"/>
    <numFmt numFmtId="222" formatCode="\£#,##0.00;[RED]&quot;-£&quot;#,##0.00"/>
    <numFmt numFmtId="223" formatCode="#,###.00\ ;\(#,###.00\);#"/>
    <numFmt numFmtId="224" formatCode="0.0%;[RED]\-0.0%"/>
    <numFmt numFmtId="225" formatCode="#,##0.000_);[RED]\(#,##0.000\)"/>
    <numFmt numFmtId="226" formatCode="###0_);[RED]\(###0\)"/>
  </numFmts>
  <fonts count="56">
    <font>
      <name val="MS Sans Serif"/>
      <family val="0"/>
      <color rgb="FF000000"/>
      <sz val="10"/>
    </font>
    <font>
      <name val="Arial"/>
      <family val="0"/>
      <sz val="10"/>
    </font>
    <font>
      <name val="Arial"/>
      <family val="0"/>
      <sz val="10"/>
    </font>
    <font>
      <name val="Arial"/>
      <family val="0"/>
      <sz val="10"/>
    </font>
    <font>
      <name val="Arial"/>
      <charset val="204"/>
      <family val="0"/>
      <sz val="10"/>
    </font>
    <font>
      <name val="Arial"/>
      <family val="2"/>
      <sz val="10"/>
    </font>
    <font>
      <name val="Times New Roman"/>
      <family val="1"/>
      <sz val="10"/>
    </font>
    <font>
      <name val="Wingdings"/>
      <charset val="2"/>
      <family val="0"/>
      <sz val="7"/>
    </font>
    <font>
      <name val="Times New Roman"/>
      <family val="0"/>
      <color rgb="FF0000FF"/>
      <sz val="10"/>
    </font>
    <font>
      <name val="Times New Roman"/>
      <family val="0"/>
      <color rgb="FF00FF00"/>
      <sz val="10"/>
    </font>
    <font>
      <name val="Times New Roman"/>
      <family val="0"/>
      <color rgb="FFFF0000"/>
      <sz val="10"/>
    </font>
    <font>
      <name val="Times New Roman"/>
      <family val="0"/>
      <sz val="11"/>
    </font>
    <font>
      <name val="Arial"/>
      <family val="0"/>
      <color rgb="FF008000"/>
      <sz val="8"/>
    </font>
    <font>
      <name val="Arial MT"/>
      <family val="0"/>
      <sz val="12"/>
    </font>
    <font>
      <name val="Arial"/>
      <family val="2"/>
      <sz val="8"/>
    </font>
    <font>
      <name val="Arial"/>
      <family val="2"/>
      <b val="1"/>
      <sz val="12"/>
    </font>
    <font>
      <name val="Arial"/>
      <family val="2"/>
      <color rgb="FF0000FF"/>
      <sz val="10"/>
    </font>
    <font>
      <name val="Arial"/>
      <family val="2"/>
      <color rgb="FF0000FF"/>
      <sz val="11"/>
    </font>
    <font>
      <name val="Arial"/>
      <family val="2"/>
      <b val="1"/>
      <color rgb="FF0000FF"/>
      <sz val="11"/>
    </font>
    <font>
      <name val="Arial MT"/>
      <family val="2"/>
      <color rgb="FF000000"/>
      <sz val="12"/>
    </font>
    <font>
      <name val="Arial"/>
      <family val="2"/>
      <sz val="11"/>
    </font>
    <font>
      <name val="Arial"/>
      <family val="0"/>
      <color rgb="FF000000"/>
      <sz val="10"/>
    </font>
    <font>
      <name val="Times New Roman"/>
      <family val="0"/>
      <color rgb="FF000000"/>
      <sz val="12"/>
    </font>
    <font>
      <name val="Arial MT"/>
      <family val="0"/>
      <b val="1"/>
      <sz val="12"/>
    </font>
    <font>
      <name val="Arial MT"/>
      <family val="0"/>
      <sz val="10"/>
    </font>
    <font>
      <name val="Arial"/>
      <family val="2"/>
      <b val="1"/>
      <sz val="8"/>
    </font>
    <font>
      <name val="Arial"/>
      <family val="0"/>
      <b val="1"/>
      <sz val="10"/>
    </font>
    <font>
      <name val="Arial"/>
      <family val="0"/>
      <sz val="10"/>
      <u val="single"/>
    </font>
    <font>
      <name val="Univers (WN)"/>
      <family val="0"/>
      <b val="1"/>
      <sz val="12"/>
    </font>
    <font>
      <name val="Univers (WN)"/>
      <family val="0"/>
      <b val="1"/>
      <sz val="10"/>
    </font>
    <font>
      <name val="Univers (WN)"/>
      <family val="0"/>
      <b val="1"/>
      <sz val="20"/>
    </font>
    <font>
      <name val="Univers (WN)"/>
      <family val="0"/>
      <b val="1"/>
      <sz val="18"/>
    </font>
    <font>
      <name val="Univers (WN)"/>
      <family val="0"/>
      <sz val="10"/>
    </font>
    <font>
      <name val="Arial"/>
      <family val="2"/>
      <b val="1"/>
      <sz val="11"/>
    </font>
    <font>
      <name val="Arial"/>
      <family val="2"/>
      <b val="1"/>
      <color rgb="FF0000FF"/>
      <sz val="14"/>
    </font>
    <font>
      <name val="Arial"/>
      <family val="2"/>
      <b val="1"/>
      <sz val="14"/>
    </font>
    <font>
      <name val="Times New Roman"/>
      <family val="1"/>
      <b val="1"/>
      <sz val="16"/>
    </font>
    <font>
      <name val="Times New Roman"/>
      <family val="1"/>
      <b val="1"/>
      <i val="1"/>
      <sz val="16"/>
    </font>
    <font>
      <name val="Times New Roman"/>
      <family val="1"/>
      <b val="1"/>
      <sz val="10"/>
    </font>
    <font>
      <name val="Times New Roman"/>
      <family val="1"/>
      <b val="1"/>
      <i val="1"/>
      <sz val="10"/>
    </font>
    <font>
      <name val="Times New Roman"/>
      <family val="1"/>
      <color rgb="FFFF0000"/>
      <sz val="10"/>
    </font>
    <font>
      <name val="Times New Roman"/>
      <family val="1"/>
      <i val="1"/>
      <sz val="10"/>
    </font>
    <font>
      <name val="Times New Roman"/>
      <family val="1"/>
      <color rgb="FF000000"/>
      <sz val="10"/>
    </font>
    <font>
      <name val="Times New Roman"/>
      <family val="1"/>
      <b val="1"/>
      <color rgb="FFFF0000"/>
      <sz val="10"/>
    </font>
    <font>
      <name val="Times New Roman"/>
      <family val="1"/>
      <b val="1"/>
      <color rgb="FF000000"/>
      <sz val="10"/>
    </font>
    <font>
      <name val="Times New Roman"/>
      <family val="1"/>
      <b val="1"/>
      <i val="1"/>
      <color rgb="FF000000"/>
      <sz val="10"/>
    </font>
    <font>
      <name val="Times New Roman"/>
      <family val="1"/>
      <color rgb="FFFFFFFF"/>
      <sz val="10"/>
    </font>
    <font>
      <name val="Times New Roman"/>
      <family val="1"/>
      <b val="1"/>
      <sz val="10"/>
      <u val="single"/>
    </font>
    <font>
      <name val="Times New Roman"/>
      <family val="1"/>
      <b val="1"/>
      <i val="1"/>
      <color rgb="FF000000"/>
      <sz val="10"/>
      <u val="single"/>
    </font>
    <font>
      <name val="Times New Roman"/>
      <family val="1"/>
      <b val="1"/>
      <i val="1"/>
      <color rgb="FFFFFFFF"/>
      <sz val="10"/>
    </font>
    <font>
      <name val="Times New Roman"/>
      <family val="1"/>
      <b val="1"/>
      <sz val="12"/>
    </font>
    <font>
      <name val="Times New Roman"/>
      <family val="1"/>
      <b val="1"/>
      <color rgb="FFFF0000"/>
      <sz val="14"/>
    </font>
    <font>
      <name val="Arial"/>
      <family val="2"/>
      <b val="1"/>
      <sz val="10"/>
    </font>
    <font>
      <name val="Arial"/>
      <family val="0"/>
      <b val="1"/>
      <color rgb="FF993300"/>
      <sz val="11"/>
    </font>
    <font>
      <name val="Arial"/>
      <family val="0"/>
      <color rgb="FF000080"/>
      <sz val="10"/>
    </font>
    <font>
      <name val="Arial"/>
      <family val="0"/>
      <b val="1"/>
      <color rgb="FF000080"/>
      <sz val="11"/>
    </font>
  </fonts>
  <fills count="11">
    <fill>
      <patternFill/>
    </fill>
    <fill>
      <patternFill patternType="gray125"/>
    </fill>
    <fill>
      <patternFill patternType="solid">
        <fgColor rgb="FF0000FF"/>
        <bgColor rgb="FF0000FF"/>
      </patternFill>
    </fill>
    <fill>
      <patternFill patternType="solid">
        <fgColor rgb="FFC0C0C0"/>
        <bgColor rgb="FF99CCFF"/>
      </patternFill>
    </fill>
    <fill>
      <patternFill patternType="solid">
        <fgColor rgb="FFFFFFCC"/>
        <bgColor rgb="FFFFFFFF"/>
      </patternFill>
    </fill>
    <fill>
      <patternFill patternType="solid">
        <fgColor rgb="FFFFFF99"/>
        <bgColor rgb="FFFFFFCC"/>
      </patternFill>
    </fill>
    <fill>
      <patternFill patternType="solid">
        <fgColor rgb="FFFFFFFF"/>
        <bgColor rgb="FFFFFFCC"/>
      </patternFill>
    </fill>
    <fill>
      <patternFill patternType="solid">
        <fgColor rgb="FF333333"/>
        <bgColor rgb="FF333300"/>
      </patternFill>
    </fill>
    <fill>
      <patternFill patternType="solid">
        <fgColor rgb="FF993366"/>
        <bgColor rgb="FF993366"/>
      </patternFill>
    </fill>
    <fill>
      <patternFill patternType="solid">
        <fgColor rgb="FF99CCFF"/>
        <bgColor rgb="FFC0C0C0"/>
      </patternFill>
    </fill>
    <fill>
      <patternFill patternType="solid">
        <fgColor rgb="FFE3E3E3"/>
        <bgColor rgb="FFCCFFCC"/>
      </patternFill>
    </fill>
  </fills>
  <borders count="76">
    <border>
      <left/>
      <right/>
      <top/>
      <bottom/>
      <diagonal/>
    </border>
    <border>
      <left/>
      <right/>
      <top style="medium"/>
      <bottom style="medium"/>
      <diagonal/>
    </border>
    <border>
      <left/>
      <right/>
      <top style="thin"/>
      <bottom style="thin"/>
      <diagonal/>
    </border>
    <border>
      <left style="thin">
        <color rgb="FF333399"/>
      </left>
      <right style="thin">
        <color rgb="FF333399"/>
      </right>
      <top style="thin">
        <color rgb="FF333399"/>
      </top>
      <bottom style="thin">
        <color rgb="FF333399"/>
      </bottom>
      <diagonal/>
    </border>
    <border>
      <left/>
      <right/>
      <top/>
      <bottom style="thin"/>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style="thin"/>
      <right style="thin"/>
      <top style="thin"/>
      <bottom style="thin"/>
      <diagonal/>
    </border>
    <border>
      <left style="thin"/>
      <right style="medium"/>
      <top style="thin"/>
      <bottom style="thin"/>
      <diagonal/>
    </border>
    <border>
      <left style="thin"/>
      <right style="thin"/>
      <top/>
      <bottom/>
      <diagonal/>
    </border>
    <border>
      <left/>
      <right style="medium"/>
      <top/>
      <bottom/>
      <diagonal/>
    </border>
    <border>
      <left/>
      <right style="medium"/>
      <top style="thin"/>
      <bottom/>
      <diagonal/>
    </border>
    <border>
      <left style="medium"/>
      <right/>
      <top/>
      <bottom style="medium"/>
      <diagonal/>
    </border>
    <border>
      <left/>
      <right/>
      <top/>
      <bottom style="medium"/>
      <diagonal/>
    </border>
    <border>
      <left/>
      <right style="medium"/>
      <top/>
      <bottom style="medium"/>
      <diagonal/>
    </border>
    <border>
      <left style="thin"/>
      <right style="thin"/>
      <top/>
      <bottom style="thin"/>
      <diagonal/>
    </border>
    <border>
      <left style="thin"/>
      <right style="medium"/>
      <top style="thin"/>
      <bottom style="medium"/>
      <diagonal/>
    </border>
    <border>
      <left style="medium"/>
      <right/>
      <top style="medium"/>
      <bottom style="medium"/>
      <diagonal/>
    </border>
    <border>
      <left style="thin"/>
      <right/>
      <top style="medium"/>
      <bottom style="medium"/>
      <diagonal/>
    </border>
    <border>
      <left style="thin"/>
      <right style="medium"/>
      <top style="medium"/>
      <bottom style="medium"/>
      <diagonal/>
    </border>
    <border>
      <left/>
      <right style="thin"/>
      <top style="thin"/>
      <bottom style="thin"/>
      <diagonal/>
    </border>
    <border>
      <left/>
      <right style="thin"/>
      <top/>
      <bottom/>
      <diagonal/>
    </border>
    <border>
      <left style="thin"/>
      <right style="medium"/>
      <top/>
      <bottom/>
      <diagonal/>
    </border>
    <border>
      <left style="thin"/>
      <right style="medium"/>
      <top/>
      <bottom style="thin"/>
      <diagonal/>
    </border>
    <border>
      <left/>
      <right style="medium"/>
      <top style="thin"/>
      <bottom style="thin"/>
      <diagonal/>
    </border>
    <border>
      <left/>
      <right/>
      <top style="thin"/>
      <bottom/>
      <diagonal/>
    </border>
    <border>
      <left style="medium"/>
      <right style="medium"/>
      <top style="medium"/>
      <bottom style="medium"/>
      <diagonal/>
    </border>
    <border>
      <left style="medium"/>
      <right style="thin"/>
      <top style="medium"/>
      <bottom style="medium"/>
      <diagonal/>
    </border>
    <border>
      <left style="thin"/>
      <right style="thin"/>
      <top style="medium"/>
      <bottom style="medium"/>
      <diagonal/>
    </border>
    <border>
      <left style="medium"/>
      <right/>
      <top/>
      <bottom style="thin"/>
      <diagonal/>
    </border>
    <border>
      <left/>
      <right style="medium"/>
      <top/>
      <bottom style="thin"/>
      <diagonal/>
    </border>
    <border>
      <left style="medium"/>
      <right/>
      <top style="thin"/>
      <bottom style="thin"/>
      <diagonal/>
    </border>
    <border>
      <left style="medium"/>
      <right style="thin"/>
      <top/>
      <bottom style="thin"/>
      <diagonal/>
    </border>
    <border>
      <left style="medium"/>
      <right style="thin"/>
      <top style="thin"/>
      <bottom style="thin"/>
      <diagonal/>
    </border>
    <border>
      <left style="medium"/>
      <right style="thin"/>
      <top/>
      <bottom/>
      <diagonal/>
    </border>
    <border>
      <left style="medium"/>
      <right style="thin"/>
      <top style="thin"/>
      <bottom/>
      <diagonal/>
    </border>
    <border>
      <left style="thin"/>
      <right style="thin"/>
      <top style="thin"/>
      <bottom/>
      <diagonal/>
    </border>
    <border>
      <left style="thin"/>
      <right style="medium"/>
      <top style="thin"/>
      <bottom/>
      <diagonal/>
    </border>
    <border>
      <left style="medium"/>
      <right style="thin"/>
      <top style="medium"/>
      <bottom style="thin"/>
      <diagonal/>
    </border>
    <border>
      <left/>
      <right style="medium"/>
      <top style="medium"/>
      <bottom style="medium"/>
      <diagonal/>
    </border>
    <border>
      <left style="medium"/>
      <right/>
      <top style="thin"/>
      <bottom/>
      <diagonal/>
    </border>
    <border>
      <left style="medium"/>
      <right style="medium"/>
      <top style="medium"/>
      <bottom/>
      <diagonal/>
    </border>
    <border>
      <left style="medium"/>
      <right style="medium"/>
      <top/>
      <bottom style="medium"/>
      <diagonal/>
    </border>
    <border>
      <left style="medium"/>
      <right style="medium"/>
      <top/>
      <bottom/>
      <diagonal/>
    </border>
    <border>
      <left style="thin"/>
      <right/>
      <top style="thin"/>
      <bottom style="thin"/>
      <diagonal/>
    </border>
    <border>
      <left style="thin"/>
      <right style="thin"/>
      <top style="thin"/>
      <bottom style="medium"/>
      <diagonal/>
    </border>
    <border>
      <left style="thin"/>
      <right style="thin"/>
      <top style="medium"/>
      <bottom style="thin"/>
      <diagonal/>
    </border>
    <border>
      <left style="thin"/>
      <right style="medium"/>
      <top style="medium"/>
      <bottom style="thin"/>
      <diagonal/>
    </border>
    <border>
      <left style="medium"/>
      <right style="thin"/>
      <top/>
      <bottom style="double"/>
      <diagonal/>
    </border>
    <border>
      <left style="thin"/>
      <right style="thin"/>
      <top/>
      <bottom style="double"/>
      <diagonal/>
    </border>
    <border>
      <left style="thin"/>
      <right style="medium"/>
      <top/>
      <bottom style="double"/>
      <diagonal/>
    </border>
    <border>
      <left style="medium"/>
      <right style="thin"/>
      <top/>
      <bottom style="medium"/>
      <diagonal/>
    </border>
    <border>
      <left style="thin"/>
      <right style="thin"/>
      <top/>
      <bottom style="medium"/>
      <diagonal/>
    </border>
    <border>
      <left style="thin"/>
      <right style="medium"/>
      <top/>
      <bottom style="medium"/>
      <diagonal/>
    </border>
    <border>
      <left style="medium"/>
      <right/>
      <top style="medium"/>
      <bottom style="thin"/>
      <diagonal/>
    </border>
    <border>
      <left/>
      <right/>
      <top style="medium"/>
      <bottom style="thin"/>
      <diagonal/>
    </border>
    <border>
      <left/>
      <right style="medium"/>
      <top style="medium"/>
      <bottom style="thin"/>
      <diagonal/>
    </border>
    <border>
      <left style="thin"/>
      <right/>
      <top style="thin"/>
      <bottom/>
      <diagonal/>
    </border>
    <border>
      <left style="thin"/>
      <right style="dashed">
        <color rgb="FF000080"/>
      </right>
      <top style="thin"/>
      <bottom/>
      <diagonal/>
    </border>
    <border>
      <left style="thin"/>
      <right/>
      <top/>
      <bottom/>
      <diagonal/>
    </border>
    <border>
      <left style="thin"/>
      <right style="dashed">
        <color rgb="FF000080"/>
      </right>
      <top/>
      <bottom/>
      <diagonal/>
    </border>
    <border>
      <left style="thin"/>
      <right style="thin"/>
      <top/>
      <bottom style="thick">
        <color rgb="FF808080"/>
      </bottom>
      <diagonal/>
    </border>
    <border>
      <left style="thin"/>
      <right/>
      <top/>
      <bottom style="thick">
        <color rgb="FF808080"/>
      </bottom>
      <diagonal/>
    </border>
    <border>
      <left style="medium"/>
      <right/>
      <top style="thick">
        <color rgb="FF808080"/>
      </top>
      <bottom style="medium"/>
      <diagonal/>
    </border>
    <border>
      <left style="thin"/>
      <right/>
      <top style="thick">
        <color rgb="FF808080"/>
      </top>
      <bottom style="medium"/>
      <diagonal/>
    </border>
    <border>
      <left/>
      <right/>
      <top style="thick">
        <color rgb="FF808080"/>
      </top>
      <bottom style="medium"/>
      <diagonal/>
    </border>
    <border>
      <left style="thin"/>
      <right style="thick">
        <color rgb="FF808080"/>
      </right>
      <top style="thick">
        <color rgb="FF808080"/>
      </top>
      <bottom style="medium"/>
      <diagonal/>
    </border>
    <border>
      <left/>
      <right style="medium"/>
      <top style="thick">
        <color rgb="FF808080"/>
      </top>
      <bottom style="medium"/>
      <diagonal/>
    </border>
    <border>
      <left/>
      <right style="dashed">
        <color rgb="FF000080"/>
      </right>
      <top/>
      <bottom/>
      <diagonal/>
    </border>
    <border>
      <left style="medium"/>
      <right/>
      <top style="thin"/>
      <bottom style="medium"/>
      <diagonal/>
    </border>
    <border>
      <left/>
      <right style="thin"/>
      <top style="thin"/>
      <bottom style="medium"/>
      <diagonal/>
    </border>
    <border>
      <left/>
      <right style="medium"/>
      <top style="thin"/>
      <bottom style="medium"/>
      <diagonal/>
    </border>
    <border>
      <left/>
      <right style="thin"/>
      <top style="thin"/>
      <bottom/>
      <diagonal/>
    </border>
  </borders>
  <cellStyleXfs count="158">
    <xf numFmtId="0" fontId="0" fillId="0" borderId="0" applyAlignment="1">
      <alignment horizontal="general" vertical="bottom"/>
    </xf>
    <xf numFmtId="165" fontId="0" fillId="0" borderId="0"/>
    <xf numFmtId="41" fontId="3" fillId="0" borderId="0"/>
    <xf numFmtId="175" fontId="0" fillId="0" borderId="0"/>
    <xf numFmtId="42" fontId="3" fillId="0" borderId="0"/>
    <xf numFmtId="9" fontId="0" fillId="0" borderId="0"/>
    <xf numFmtId="0" fontId="0" fillId="0" borderId="0" applyAlignment="1">
      <alignment horizontal="general" vertical="bottom"/>
    </xf>
    <xf numFmtId="176" fontId="0" fillId="0" borderId="0"/>
    <xf numFmtId="0" fontId="3" fillId="0" borderId="0" applyAlignment="1">
      <alignment horizontal="general" vertical="bottom"/>
    </xf>
    <xf numFmtId="0" fontId="4" fillId="0" borderId="0" applyAlignment="1">
      <alignment horizontal="general" vertical="bottom"/>
    </xf>
    <xf numFmtId="177" fontId="0" fillId="0" borderId="0"/>
    <xf numFmtId="0" fontId="0" fillId="0" borderId="0" applyAlignment="1">
      <alignment horizontal="general" vertical="bottom"/>
    </xf>
    <xf numFmtId="0" fontId="3" fillId="0" borderId="0" applyAlignment="1">
      <alignment horizontal="general" vertical="bottom"/>
    </xf>
    <xf numFmtId="0" fontId="5" fillId="0" borderId="0" applyAlignment="1">
      <alignment horizontal="general" vertical="bottom"/>
    </xf>
    <xf numFmtId="0" fontId="0" fillId="0" borderId="0" applyAlignment="1">
      <alignment horizontal="general" vertical="bottom"/>
    </xf>
    <xf numFmtId="0" fontId="3" fillId="0" borderId="0" applyAlignment="1">
      <alignment horizontal="general" vertical="bottom"/>
    </xf>
    <xf numFmtId="0" fontId="3"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178" fontId="6" fillId="0" borderId="0"/>
    <xf numFmtId="179" fontId="0" fillId="0" borderId="0" applyAlignment="1">
      <alignment horizontal="general" vertical="bottom"/>
    </xf>
    <xf numFmtId="180" fontId="0" fillId="0" borderId="0"/>
    <xf numFmtId="178" fontId="6" fillId="0" borderId="0" applyProtection="1">
      <protection locked="0" hidden="0"/>
    </xf>
    <xf numFmtId="181" fontId="0" fillId="0" borderId="0"/>
    <xf numFmtId="0" fontId="0" fillId="2" borderId="0"/>
    <xf numFmtId="0" fontId="7" fillId="0" borderId="0" applyAlignment="1">
      <alignment horizontal="general" vertical="top"/>
    </xf>
    <xf numFmtId="0" fontId="0" fillId="0" borderId="0" applyAlignment="1">
      <alignment horizontal="center" vertical="bottom"/>
    </xf>
    <xf numFmtId="0" fontId="0" fillId="0" borderId="0"/>
    <xf numFmtId="182" fontId="0" fillId="0" borderId="0"/>
    <xf numFmtId="183" fontId="0" fillId="0" borderId="0"/>
    <xf numFmtId="0" fontId="8" fillId="0" borderId="0"/>
    <xf numFmtId="0" fontId="9" fillId="0" borderId="0"/>
    <xf numFmtId="0" fontId="10" fillId="0" borderId="0"/>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5" fontId="0" fillId="0" borderId="0"/>
    <xf numFmtId="186" fontId="0" fillId="0" borderId="0"/>
    <xf numFmtId="187" fontId="0" fillId="0" borderId="0"/>
    <xf numFmtId="185" fontId="0" fillId="0" borderId="0"/>
    <xf numFmtId="186" fontId="0" fillId="0" borderId="0"/>
    <xf numFmtId="188" fontId="0" fillId="0" borderId="0"/>
    <xf numFmtId="189" fontId="0" fillId="0" borderId="0"/>
    <xf numFmtId="190" fontId="3" fillId="0" borderId="0" applyAlignment="1">
      <alignment horizontal="right" vertical="bottom"/>
    </xf>
    <xf numFmtId="191" fontId="0" fillId="0" borderId="0" applyAlignment="1">
      <alignment horizontal="right" vertical="bottom"/>
    </xf>
    <xf numFmtId="192" fontId="0" fillId="0" borderId="0" applyAlignment="1">
      <alignment horizontal="right" vertical="bottom"/>
    </xf>
    <xf numFmtId="193" fontId="0" fillId="0" borderId="0"/>
    <xf numFmtId="194" fontId="0" fillId="0" borderId="0"/>
    <xf numFmtId="195" fontId="0" fillId="0" borderId="0"/>
    <xf numFmtId="196" fontId="0" fillId="0" borderId="0"/>
    <xf numFmtId="197" fontId="0" fillId="0" borderId="0"/>
    <xf numFmtId="179" fontId="0" fillId="0" borderId="0"/>
    <xf numFmtId="198" fontId="0" fillId="0" borderId="0"/>
    <xf numFmtId="199" fontId="0" fillId="0" borderId="0" applyAlignment="1">
      <alignment horizontal="right" vertical="bottom"/>
    </xf>
    <xf numFmtId="200" fontId="0" fillId="0" borderId="0" applyAlignment="1">
      <alignment horizontal="right" vertical="bottom"/>
    </xf>
    <xf numFmtId="201" fontId="0" fillId="0" borderId="0" applyAlignment="1">
      <alignment horizontal="right" vertical="bottom"/>
    </xf>
    <xf numFmtId="173" fontId="0" fillId="0" borderId="0"/>
    <xf numFmtId="0" fontId="12" fillId="0" borderId="0" applyProtection="1">
      <protection locked="0" hidden="0"/>
    </xf>
    <xf numFmtId="202" fontId="0" fillId="0" borderId="0"/>
    <xf numFmtId="203" fontId="0" fillId="0" borderId="0"/>
    <xf numFmtId="0" fontId="13" fillId="0" borderId="0" applyAlignment="1">
      <alignment horizontal="general" vertical="bottom"/>
    </xf>
    <xf numFmtId="204" fontId="3" fillId="0" borderId="0" applyAlignment="1">
      <alignment horizontal="general" vertical="bottom"/>
    </xf>
    <xf numFmtId="205" fontId="0" fillId="0" borderId="0"/>
    <xf numFmtId="206" fontId="0" fillId="0" borderId="0"/>
    <xf numFmtId="4" fontId="0" fillId="0" borderId="0" applyAlignment="1" applyProtection="1">
      <alignment horizontal="right" vertical="bottom"/>
      <protection locked="0" hidden="0"/>
    </xf>
    <xf numFmtId="0" fontId="14" fillId="3" borderId="0"/>
    <xf numFmtId="207" fontId="3" fillId="0" borderId="0" applyAlignment="1">
      <alignment horizontal="right" vertical="bottom"/>
    </xf>
    <xf numFmtId="207" fontId="3" fillId="0" borderId="0" applyAlignment="1">
      <alignment horizontal="left" vertical="bottom"/>
    </xf>
    <xf numFmtId="0" fontId="15" fillId="0" borderId="1"/>
    <xf numFmtId="0" fontId="15" fillId="0" borderId="2" applyAlignment="1">
      <alignment horizontal="left" vertical="center"/>
    </xf>
    <xf numFmtId="0" fontId="16" fillId="0" borderId="0" applyProtection="1">
      <protection locked="0" hidden="0"/>
    </xf>
    <xf numFmtId="0" fontId="17" fillId="0" borderId="0" applyProtection="1">
      <protection locked="0" hidden="0"/>
    </xf>
    <xf numFmtId="0" fontId="18" fillId="0" borderId="0" applyProtection="1">
      <protection locked="0" hidden="0"/>
    </xf>
    <xf numFmtId="0" fontId="14" fillId="4" borderId="0"/>
    <xf numFmtId="0" fontId="16" fillId="0" borderId="0" applyProtection="1">
      <protection locked="0" hidden="0"/>
    </xf>
    <xf numFmtId="10" fontId="19" fillId="5" borderId="0" applyAlignment="1" applyProtection="1">
      <alignment horizontal="right" vertical="bottom"/>
      <protection locked="0" hidden="0"/>
    </xf>
    <xf numFmtId="4" fontId="19" fillId="5" borderId="0" applyAlignment="1" applyProtection="1">
      <alignment horizontal="right" vertical="bottom"/>
      <protection locked="0" hidden="0"/>
    </xf>
    <xf numFmtId="165" fontId="0" fillId="0" borderId="0"/>
    <xf numFmtId="208" fontId="0" fillId="0" borderId="0"/>
    <xf numFmtId="209" fontId="0" fillId="0" borderId="0"/>
    <xf numFmtId="210" fontId="0" fillId="0" borderId="0"/>
    <xf numFmtId="211" fontId="0" fillId="0" borderId="0"/>
    <xf numFmtId="212" fontId="0" fillId="0" borderId="0"/>
    <xf numFmtId="213" fontId="0" fillId="0" borderId="0"/>
    <xf numFmtId="214" fontId="3" fillId="0" borderId="0" applyAlignment="1">
      <alignment horizontal="general" vertical="bottom"/>
    </xf>
    <xf numFmtId="185" fontId="20" fillId="0" borderId="0"/>
    <xf numFmtId="0" fontId="3" fillId="0" borderId="0" applyAlignment="1">
      <alignment horizontal="general" vertical="bottom"/>
    </xf>
    <xf numFmtId="0" fontId="3" fillId="0" borderId="0" applyAlignment="1">
      <alignment horizontal="general" vertical="bottom"/>
    </xf>
    <xf numFmtId="0" fontId="6"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21" fillId="0" borderId="0" applyAlignment="1">
      <alignment horizontal="general" vertical="bottom"/>
    </xf>
    <xf numFmtId="0" fontId="3" fillId="0" borderId="0" applyAlignment="1">
      <alignment horizontal="general" vertical="bottom"/>
    </xf>
    <xf numFmtId="0" fontId="4" fillId="0" borderId="0" applyAlignment="1">
      <alignment horizontal="general" vertical="bottom"/>
    </xf>
    <xf numFmtId="0" fontId="22" fillId="0" borderId="0"/>
    <xf numFmtId="1" fontId="0" fillId="0" borderId="0"/>
    <xf numFmtId="215" fontId="0" fillId="0" borderId="0"/>
    <xf numFmtId="216" fontId="0" fillId="0" borderId="0"/>
    <xf numFmtId="217" fontId="0" fillId="0" borderId="0"/>
    <xf numFmtId="4" fontId="23" fillId="0" borderId="0" applyAlignment="1">
      <alignment horizontal="right" vertical="top"/>
    </xf>
    <xf numFmtId="1" fontId="0" fillId="0" borderId="0"/>
    <xf numFmtId="9" fontId="0" fillId="0" borderId="0" applyAlignment="1">
      <alignment horizontal="general" vertical="bottom"/>
    </xf>
    <xf numFmtId="4" fontId="0" fillId="0" borderId="0" applyAlignment="1">
      <alignment horizontal="general" vertical="bottom"/>
    </xf>
    <xf numFmtId="218" fontId="0" fillId="0" borderId="0"/>
    <xf numFmtId="10" fontId="0" fillId="0" borderId="0"/>
    <xf numFmtId="219" fontId="0" fillId="0" borderId="0"/>
    <xf numFmtId="215" fontId="0" fillId="0" borderId="0"/>
    <xf numFmtId="206" fontId="0" fillId="0" borderId="0"/>
    <xf numFmtId="10" fontId="0" fillId="0" borderId="0"/>
    <xf numFmtId="220" fontId="0" fillId="0" borderId="0" applyAlignment="1">
      <alignment horizontal="right" vertical="bottom"/>
    </xf>
    <xf numFmtId="221" fontId="0" fillId="0" borderId="0" applyAlignment="1">
      <alignment horizontal="right" vertical="bottom"/>
    </xf>
    <xf numFmtId="222" fontId="0" fillId="0" borderId="0" applyAlignment="1">
      <alignment horizontal="right" vertical="bottom"/>
    </xf>
    <xf numFmtId="10" fontId="24" fillId="6" borderId="0" applyAlignment="1">
      <alignment horizontal="general" vertical="bottom"/>
    </xf>
    <xf numFmtId="0" fontId="25" fillId="0" borderId="0"/>
    <xf numFmtId="0" fontId="21" fillId="0" borderId="0" applyAlignment="1">
      <alignment horizontal="general" vertical="bottom"/>
    </xf>
    <xf numFmtId="49" fontId="26" fillId="7" borderId="3"/>
    <xf numFmtId="49" fontId="0" fillId="8" borderId="3"/>
    <xf numFmtId="49" fontId="27" fillId="8" borderId="3"/>
    <xf numFmtId="223" fontId="0" fillId="0" borderId="0"/>
    <xf numFmtId="49" fontId="26" fillId="7" borderId="3"/>
    <xf numFmtId="49" fontId="0" fillId="8" borderId="3"/>
    <xf numFmtId="49" fontId="27" fillId="8" borderId="3"/>
    <xf numFmtId="223" fontId="0" fillId="0" borderId="0"/>
    <xf numFmtId="187" fontId="28" fillId="0" borderId="0"/>
    <xf numFmtId="224" fontId="29" fillId="0" borderId="0"/>
    <xf numFmtId="225" fontId="28" fillId="0" borderId="0" applyAlignment="1">
      <alignment horizontal="general" vertical="bottom"/>
    </xf>
    <xf numFmtId="215" fontId="3" fillId="0" borderId="0" applyAlignment="1">
      <alignment horizontal="general" vertical="bottom"/>
    </xf>
    <xf numFmtId="215" fontId="3" fillId="0" borderId="0" applyAlignment="1">
      <alignment horizontal="general" vertical="bottom"/>
    </xf>
    <xf numFmtId="185" fontId="28" fillId="0" borderId="0" applyAlignment="1">
      <alignment horizontal="general" vertical="bottom"/>
    </xf>
    <xf numFmtId="0" fontId="30" fillId="0" borderId="0" applyAlignment="1">
      <alignment horizontal="center" vertical="bottom"/>
    </xf>
    <xf numFmtId="0" fontId="31" fillId="0" borderId="0" applyAlignment="1">
      <alignment horizontal="center" vertical="bottom"/>
    </xf>
    <xf numFmtId="0" fontId="32" fillId="0" borderId="0" applyAlignment="1">
      <alignment horizontal="center" vertical="bottom"/>
    </xf>
    <xf numFmtId="0" fontId="3" fillId="0" borderId="0" applyAlignment="1">
      <alignment horizontal="center" vertical="bottom"/>
    </xf>
    <xf numFmtId="187" fontId="28" fillId="0" borderId="0" applyAlignment="1">
      <alignment horizontal="general" vertical="bottom"/>
    </xf>
    <xf numFmtId="49" fontId="0" fillId="0" borderId="0"/>
    <xf numFmtId="0" fontId="26" fillId="0" borderId="0" applyAlignment="1">
      <alignment horizontal="center" vertical="bottom"/>
    </xf>
    <xf numFmtId="0" fontId="33" fillId="0" borderId="0" applyAlignment="1">
      <alignment horizontal="center" vertical="bottom"/>
    </xf>
    <xf numFmtId="0" fontId="15" fillId="0" borderId="0" applyAlignment="1">
      <alignment horizontal="center" vertical="bottom"/>
    </xf>
    <xf numFmtId="0" fontId="34" fillId="0" borderId="0"/>
    <xf numFmtId="0" fontId="35" fillId="0" borderId="0" applyAlignment="1">
      <alignment horizontal="center" vertical="bottom"/>
    </xf>
    <xf numFmtId="191" fontId="3" fillId="0" borderId="0" applyAlignment="1">
      <alignment horizontal="right" vertical="bottom"/>
    </xf>
    <xf numFmtId="0" fontId="0" fillId="0" borderId="4"/>
    <xf numFmtId="0" fontId="0" fillId="0" borderId="5"/>
    <xf numFmtId="175" fontId="0" fillId="0" borderId="0"/>
    <xf numFmtId="226" fontId="0" fillId="0" borderId="0"/>
    <xf numFmtId="207" fontId="3" fillId="0" borderId="4" applyAlignment="1">
      <alignment horizontal="right" vertical="bottom"/>
    </xf>
  </cellStyleXfs>
  <cellXfs count="1137">
    <xf numFmtId="0" fontId="0"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36" fillId="0" borderId="0" applyAlignment="1" pivotButton="0" quotePrefix="0" xfId="0">
      <alignment horizontal="center" vertical="bottom"/>
    </xf>
    <xf numFmtId="164" fontId="36" fillId="0" borderId="0" applyAlignment="1" pivotButton="0" quotePrefix="0" xfId="0">
      <alignment horizontal="center" vertical="bottom"/>
    </xf>
    <xf numFmtId="3" fontId="6" fillId="0" borderId="0" applyAlignment="1" pivotButton="0" quotePrefix="0" xfId="0">
      <alignment horizontal="general" vertical="bottom"/>
    </xf>
    <xf numFmtId="3" fontId="38" fillId="0" borderId="0" applyAlignment="1" pivotButton="0" quotePrefix="0" xfId="0">
      <alignment horizontal="general" vertical="bottom"/>
    </xf>
    <xf numFmtId="3" fontId="38" fillId="0" borderId="0" applyAlignment="1" pivotButton="0" quotePrefix="0" xfId="0">
      <alignment horizontal="left" vertical="bottom"/>
    </xf>
    <xf numFmtId="3" fontId="6" fillId="0" borderId="0" applyAlignment="1" pivotButton="0" quotePrefix="0" xfId="0">
      <alignment horizontal="center" vertical="bottom"/>
    </xf>
    <xf numFmtId="3" fontId="38" fillId="0" borderId="0" applyAlignment="1" pivotButton="0" quotePrefix="0" xfId="0">
      <alignment horizontal="center" vertical="bottom"/>
    </xf>
    <xf numFmtId="3" fontId="38" fillId="0" borderId="6" applyAlignment="1" pivotButton="0" quotePrefix="0" xfId="0">
      <alignment horizontal="general" vertical="bottom"/>
    </xf>
    <xf numFmtId="3" fontId="6" fillId="0" borderId="7" applyAlignment="1" pivotButton="0" quotePrefix="0" xfId="0">
      <alignment horizontal="general" vertical="bottom"/>
    </xf>
    <xf numFmtId="3" fontId="38" fillId="0" borderId="8" applyAlignment="1" pivotButton="0" quotePrefix="0" xfId="0">
      <alignment horizontal="general" vertical="bottom"/>
    </xf>
    <xf numFmtId="3" fontId="6" fillId="0" borderId="9" applyAlignment="1" pivotButton="0" quotePrefix="0" xfId="0">
      <alignment horizontal="general" vertical="bottom"/>
    </xf>
    <xf numFmtId="3" fontId="6" fillId="0" borderId="10" applyAlignment="1" pivotButton="0" quotePrefix="0" xfId="0">
      <alignment horizontal="general" vertical="bottom"/>
    </xf>
    <xf numFmtId="3" fontId="38" fillId="0" borderId="11" applyAlignment="1" pivotButton="0" quotePrefix="0" xfId="0">
      <alignment horizontal="general" vertical="bottom"/>
    </xf>
    <xf numFmtId="3" fontId="39" fillId="0" borderId="9" applyAlignment="1" pivotButton="0" quotePrefix="0" xfId="0">
      <alignment horizontal="general" vertical="bottom"/>
    </xf>
    <xf numFmtId="3" fontId="6" fillId="0" borderId="12" applyAlignment="1" pivotButton="0" quotePrefix="0" xfId="0">
      <alignment horizontal="general" vertical="bottom"/>
    </xf>
    <xf numFmtId="3" fontId="38" fillId="0" borderId="13" applyAlignment="1" pivotButton="0" quotePrefix="0" xfId="0">
      <alignment horizontal="general" vertical="bottom"/>
    </xf>
    <xf numFmtId="3" fontId="40" fillId="0" borderId="10" applyAlignment="1" pivotButton="0" quotePrefix="0" xfId="0">
      <alignment horizontal="general" vertical="bottom"/>
    </xf>
    <xf numFmtId="3" fontId="6" fillId="0" borderId="0" applyAlignment="1" pivotButton="0" quotePrefix="0" xfId="0">
      <alignment horizontal="general" vertical="bottom"/>
    </xf>
    <xf numFmtId="3" fontId="38" fillId="0" borderId="0" applyAlignment="1" pivotButton="0" quotePrefix="0" xfId="0">
      <alignment horizontal="general" vertical="bottom"/>
    </xf>
    <xf numFmtId="3" fontId="38" fillId="0" borderId="14" applyAlignment="1" pivotButton="0" quotePrefix="0" xfId="0">
      <alignment horizontal="general" vertical="bottom"/>
    </xf>
    <xf numFmtId="3" fontId="38" fillId="0" borderId="15" applyAlignment="1" pivotButton="0" quotePrefix="0" xfId="0">
      <alignment horizontal="general" vertical="bottom"/>
    </xf>
    <xf numFmtId="3" fontId="6" fillId="0" borderId="16" applyAlignment="1" pivotButton="0" quotePrefix="0" xfId="0">
      <alignment horizontal="general" vertical="bottom"/>
    </xf>
    <xf numFmtId="3" fontId="38" fillId="0" borderId="16" applyAlignment="1" pivotButton="0" quotePrefix="0" xfId="0">
      <alignment horizontal="general" vertical="bottom"/>
    </xf>
    <xf numFmtId="3" fontId="38" fillId="0" borderId="17" applyAlignment="1" pivotButton="0" quotePrefix="0" xfId="0">
      <alignment horizontal="general" vertical="bottom"/>
    </xf>
    <xf numFmtId="3" fontId="6" fillId="0" borderId="18" applyAlignment="1" pivotButton="0" quotePrefix="0" xfId="0">
      <alignment horizontal="general" vertical="bottom"/>
    </xf>
    <xf numFmtId="3" fontId="38" fillId="0" borderId="7" applyAlignment="1" pivotButton="0" quotePrefix="0" xfId="0">
      <alignment horizontal="general" vertical="bottom"/>
    </xf>
    <xf numFmtId="3" fontId="6" fillId="0" borderId="10" applyAlignment="1" pivotButton="0" quotePrefix="0" xfId="0">
      <alignment horizontal="general" vertical="bottom" wrapText="1"/>
    </xf>
    <xf numFmtId="3" fontId="38" fillId="0" borderId="19" applyAlignment="1" pivotButton="0" quotePrefix="0" xfId="0">
      <alignment horizontal="general" vertical="bottom"/>
    </xf>
    <xf numFmtId="3" fontId="38" fillId="0" borderId="20" applyAlignment="1" pivotButton="0" quotePrefix="0" xfId="0">
      <alignment horizontal="general" vertical="bottom"/>
    </xf>
    <xf numFmtId="3" fontId="6" fillId="0" borderId="1" applyAlignment="1" pivotButton="0" quotePrefix="0" xfId="0">
      <alignment horizontal="general" vertical="bottom"/>
    </xf>
    <xf numFmtId="3" fontId="38" fillId="0" borderId="21" applyAlignment="1" pivotButton="0" quotePrefix="0" xfId="0">
      <alignment horizontal="general" vertical="bottom"/>
    </xf>
    <xf numFmtId="3" fontId="38" fillId="0" borderId="22" applyAlignment="1" pivotButton="0" quotePrefix="0" xfId="0">
      <alignment horizontal="general" vertical="bottom"/>
    </xf>
    <xf numFmtId="3" fontId="6" fillId="0" borderId="23" applyAlignment="1" pivotButton="0" quotePrefix="0" xfId="0">
      <alignment horizontal="general" vertical="bottom"/>
    </xf>
    <xf numFmtId="3" fontId="6" fillId="0" borderId="24" applyAlignment="1" pivotButton="0" quotePrefix="0" xfId="0">
      <alignment horizontal="general" vertical="bottom"/>
    </xf>
    <xf numFmtId="3" fontId="38" fillId="0" borderId="25" applyAlignment="1" pivotButton="0" quotePrefix="0" xfId="0">
      <alignment horizontal="general" vertical="bottom"/>
    </xf>
    <xf numFmtId="3" fontId="38" fillId="0" borderId="26" applyAlignment="1" pivotButton="0" quotePrefix="0" xfId="0">
      <alignment horizontal="general" vertical="bottom"/>
    </xf>
    <xf numFmtId="3" fontId="38" fillId="0" borderId="27" applyAlignment="1" pivotButton="0" quotePrefix="0" xfId="0">
      <alignment horizontal="general" vertical="bottom"/>
    </xf>
    <xf numFmtId="3" fontId="6" fillId="0" borderId="28" applyAlignment="1" pivotButton="0" quotePrefix="0" xfId="0">
      <alignment horizontal="general" vertical="bottom"/>
    </xf>
    <xf numFmtId="3" fontId="38" fillId="0" borderId="29" applyAlignment="1" pivotButton="0" quotePrefix="0" xfId="0">
      <alignment horizontal="general" vertical="center" wrapText="1"/>
    </xf>
    <xf numFmtId="3" fontId="6" fillId="0" borderId="0" applyAlignment="1" pivotButton="0" quotePrefix="0" xfId="0">
      <alignment horizontal="general" vertical="center"/>
    </xf>
    <xf numFmtId="3" fontId="6" fillId="0" borderId="0" applyAlignment="1" pivotButton="0" quotePrefix="0" xfId="0">
      <alignment horizontal="general" vertical="bottom"/>
    </xf>
    <xf numFmtId="3" fontId="6" fillId="0" borderId="0" applyAlignment="1" pivotButton="0" quotePrefix="0" xfId="0">
      <alignment horizontal="right" vertical="bottom"/>
    </xf>
    <xf numFmtId="3" fontId="38" fillId="0" borderId="0" applyAlignment="1" pivotButton="0" quotePrefix="0" xfId="0">
      <alignment horizontal="right" vertical="bottom"/>
    </xf>
    <xf numFmtId="3" fontId="38" fillId="0" borderId="30" applyAlignment="1" pivotButton="0" quotePrefix="0" xfId="0">
      <alignment horizontal="left" vertical="bottom"/>
    </xf>
    <xf numFmtId="3" fontId="38" fillId="0" borderId="31" applyAlignment="1" pivotButton="0" quotePrefix="0" xfId="0">
      <alignment horizontal="right" vertical="bottom"/>
    </xf>
    <xf numFmtId="3" fontId="38" fillId="0" borderId="22" applyAlignment="1" pivotButton="0" quotePrefix="0" xfId="0">
      <alignment horizontal="right" vertical="bottom"/>
    </xf>
    <xf numFmtId="3" fontId="38" fillId="9" borderId="29" applyAlignment="1" pivotButton="0" quotePrefix="0" xfId="0">
      <alignment horizontal="left" vertical="bottom"/>
    </xf>
    <xf numFmtId="0" fontId="39" fillId="0" borderId="32" applyAlignment="1" pivotButton="0" quotePrefix="0" xfId="0">
      <alignment horizontal="left" vertical="bottom"/>
    </xf>
    <xf numFmtId="3" fontId="38" fillId="0" borderId="4" applyAlignment="1" pivotButton="0" quotePrefix="0" xfId="0">
      <alignment horizontal="right" vertical="bottom"/>
    </xf>
    <xf numFmtId="3" fontId="38" fillId="0" borderId="33" applyAlignment="1" pivotButton="0" quotePrefix="0" xfId="0">
      <alignment horizontal="right" vertical="bottom"/>
    </xf>
    <xf numFmtId="0" fontId="38" fillId="5" borderId="34" applyAlignment="1" pivotButton="0" quotePrefix="0" xfId="0">
      <alignment horizontal="left" vertical="bottom"/>
    </xf>
    <xf numFmtId="3" fontId="38" fillId="5" borderId="4" applyAlignment="1" pivotButton="0" quotePrefix="0" xfId="0">
      <alignment horizontal="right" vertical="bottom"/>
    </xf>
    <xf numFmtId="3" fontId="38" fillId="5" borderId="33" applyAlignment="1" pivotButton="0" quotePrefix="0" xfId="0">
      <alignment horizontal="right" vertical="bottom"/>
    </xf>
    <xf numFmtId="0" fontId="6" fillId="0" borderId="34" applyAlignment="1" pivotButton="0" quotePrefix="0" xfId="0">
      <alignment horizontal="left" vertical="bottom"/>
    </xf>
    <xf numFmtId="3" fontId="6" fillId="0" borderId="10" applyAlignment="1" pivotButton="0" quotePrefix="0" xfId="0">
      <alignment horizontal="right" vertical="bottom"/>
    </xf>
    <xf numFmtId="3" fontId="38" fillId="0" borderId="11" applyAlignment="1" pivotButton="0" quotePrefix="0" xfId="0">
      <alignment horizontal="right" vertical="bottom"/>
    </xf>
    <xf numFmtId="4" fontId="6" fillId="0" borderId="0" applyAlignment="1" pivotButton="0" quotePrefix="0" xfId="0">
      <alignment horizontal="general" vertical="bottom"/>
    </xf>
    <xf numFmtId="165" fontId="6" fillId="0" borderId="10" applyAlignment="1" pivotButton="0" quotePrefix="0" xfId="15">
      <alignment horizontal="right" vertical="bottom"/>
    </xf>
    <xf numFmtId="165" fontId="38" fillId="0" borderId="11" applyAlignment="1" pivotButton="0" quotePrefix="0" xfId="15">
      <alignment horizontal="right" vertical="bottom"/>
    </xf>
    <xf numFmtId="0" fontId="6" fillId="0" borderId="34" applyAlignment="1" pivotButton="0" quotePrefix="0" xfId="0">
      <alignment horizontal="left" vertical="bottom"/>
    </xf>
    <xf numFmtId="3" fontId="6" fillId="0" borderId="10" applyAlignment="1" pivotButton="0" quotePrefix="0" xfId="0">
      <alignment horizontal="right" vertical="bottom"/>
    </xf>
    <xf numFmtId="3" fontId="6" fillId="5" borderId="10" applyAlignment="1" pivotButton="0" quotePrefix="0" xfId="0">
      <alignment horizontal="right" vertical="bottom"/>
    </xf>
    <xf numFmtId="3" fontId="38" fillId="5" borderId="11" applyAlignment="1" pivotButton="0" quotePrefix="0" xfId="0">
      <alignment horizontal="right" vertical="bottom"/>
    </xf>
    <xf numFmtId="0" fontId="38" fillId="0" borderId="34" applyAlignment="1" pivotButton="0" quotePrefix="0" xfId="0">
      <alignment horizontal="left" vertical="bottom"/>
    </xf>
    <xf numFmtId="4" fontId="38" fillId="0" borderId="0" applyAlignment="1" pivotButton="0" quotePrefix="0" xfId="0">
      <alignment horizontal="general" vertical="bottom" wrapText="1"/>
    </xf>
    <xf numFmtId="0" fontId="6" fillId="0" borderId="34" applyAlignment="1" pivotButton="0" quotePrefix="0" xfId="114">
      <alignment horizontal="left" vertical="bottom"/>
    </xf>
    <xf numFmtId="3" fontId="38" fillId="0" borderId="11" applyAlignment="1" pivotButton="0" quotePrefix="0" xfId="0">
      <alignment horizontal="right" vertical="bottom"/>
    </xf>
    <xf numFmtId="3" fontId="38" fillId="0" borderId="30" applyAlignment="1" pivotButton="0" quotePrefix="0" xfId="0">
      <alignment horizontal="general" vertical="bottom"/>
    </xf>
    <xf numFmtId="3" fontId="38" fillId="0" borderId="31" applyAlignment="1" pivotButton="0" quotePrefix="0" xfId="17">
      <alignment horizontal="right" vertical="bottom"/>
    </xf>
    <xf numFmtId="3" fontId="38" fillId="0" borderId="22" applyAlignment="1" pivotButton="0" quotePrefix="0" xfId="17">
      <alignment horizontal="right" vertical="bottom"/>
    </xf>
    <xf numFmtId="0" fontId="38" fillId="0" borderId="35" applyAlignment="1" pivotButton="0" quotePrefix="0" xfId="0">
      <alignment horizontal="general" vertical="bottom"/>
    </xf>
    <xf numFmtId="3" fontId="38" fillId="0" borderId="18" applyAlignment="1" pivotButton="0" quotePrefix="0" xfId="0">
      <alignment horizontal="right" vertical="bottom"/>
    </xf>
    <xf numFmtId="3" fontId="38" fillId="0" borderId="26" applyAlignment="1" pivotButton="0" quotePrefix="0" xfId="17">
      <alignment horizontal="right" vertical="bottom"/>
    </xf>
    <xf numFmtId="0" fontId="6" fillId="0" borderId="9" applyAlignment="1" pivotButton="0" quotePrefix="0" xfId="0">
      <alignment horizontal="general" vertical="bottom"/>
    </xf>
    <xf numFmtId="3" fontId="6" fillId="0" borderId="10" applyAlignment="1" pivotButton="0" quotePrefix="0" xfId="17">
      <alignment horizontal="right" vertical="bottom"/>
    </xf>
    <xf numFmtId="165" fontId="38" fillId="0" borderId="26" applyAlignment="1" pivotButton="0" quotePrefix="0" xfId="15">
      <alignment horizontal="right" vertical="bottom"/>
    </xf>
    <xf numFmtId="0" fontId="6" fillId="0" borderId="36" applyAlignment="1" pivotButton="0" quotePrefix="0" xfId="0">
      <alignment horizontal="general" vertical="bottom"/>
    </xf>
    <xf numFmtId="0" fontId="41" fillId="0" borderId="36" applyAlignment="1" pivotButton="0" quotePrefix="0" xfId="0">
      <alignment horizontal="general" vertical="bottom"/>
    </xf>
    <xf numFmtId="3" fontId="38" fillId="0" borderId="11" applyAlignment="1" pivotButton="0" quotePrefix="0" xfId="17">
      <alignment horizontal="right" vertical="bottom"/>
    </xf>
    <xf numFmtId="3" fontId="38" fillId="0" borderId="30" applyAlignment="1" pivotButton="0" quotePrefix="0" xfId="0">
      <alignment horizontal="general" vertical="bottom"/>
    </xf>
    <xf numFmtId="0" fontId="39" fillId="0" borderId="9" applyAlignment="1" pivotButton="0" quotePrefix="0" xfId="0">
      <alignment horizontal="left" vertical="bottom"/>
    </xf>
    <xf numFmtId="3" fontId="6" fillId="0" borderId="18" applyAlignment="1" pivotButton="0" quotePrefix="0" xfId="0">
      <alignment horizontal="right" vertical="bottom"/>
    </xf>
    <xf numFmtId="3" fontId="38" fillId="0" borderId="26" applyAlignment="1" pivotButton="0" quotePrefix="0" xfId="0">
      <alignment horizontal="right" vertical="bottom"/>
    </xf>
    <xf numFmtId="0" fontId="6" fillId="0" borderId="36" applyAlignment="1" pivotButton="0" quotePrefix="0" xfId="0">
      <alignment horizontal="left" vertical="bottom"/>
    </xf>
    <xf numFmtId="0" fontId="38" fillId="5" borderId="35" applyAlignment="1" pivotButton="0" quotePrefix="0" xfId="0">
      <alignment horizontal="left" vertical="bottom"/>
    </xf>
    <xf numFmtId="0" fontId="6" fillId="0" borderId="36" applyAlignment="1" pivotButton="0" quotePrefix="0" xfId="0">
      <alignment horizontal="left" vertical="bottom"/>
    </xf>
    <xf numFmtId="0" fontId="42" fillId="0" borderId="36" applyAlignment="1" pivotButton="0" quotePrefix="0" xfId="0">
      <alignment horizontal="left" vertical="bottom"/>
    </xf>
    <xf numFmtId="0" fontId="42" fillId="0" borderId="36" applyAlignment="1" pivotButton="0" quotePrefix="0" xfId="117">
      <alignment horizontal="left" vertical="bottom" wrapText="1"/>
    </xf>
    <xf numFmtId="0" fontId="42" fillId="0" borderId="36" applyAlignment="1" pivotButton="0" quotePrefix="0" xfId="0">
      <alignment horizontal="general" vertical="bottom"/>
    </xf>
    <xf numFmtId="0" fontId="6" fillId="0" borderId="36" applyAlignment="1" pivotButton="0" quotePrefix="0" xfId="0">
      <alignment horizontal="general" vertical="bottom"/>
    </xf>
    <xf numFmtId="0" fontId="6" fillId="0" borderId="36" applyAlignment="1" pivotButton="0" quotePrefix="0" xfId="0">
      <alignment horizontal="left" vertical="bottom" indent="2"/>
    </xf>
    <xf numFmtId="3" fontId="38" fillId="0" borderId="10" applyAlignment="1" pivotButton="0" quotePrefix="0" xfId="0">
      <alignment horizontal="right" vertical="bottom"/>
    </xf>
    <xf numFmtId="0" fontId="38" fillId="5" borderId="36" applyAlignment="1" pivotButton="0" quotePrefix="0" xfId="0">
      <alignment horizontal="general" vertical="bottom"/>
    </xf>
    <xf numFmtId="49" fontId="6" fillId="0" borderId="36" applyAlignment="1" pivotButton="0" quotePrefix="0" xfId="0">
      <alignment horizontal="left" vertical="bottom"/>
    </xf>
    <xf numFmtId="0" fontId="6" fillId="0" borderId="37" applyAlignment="1" pivotButton="0" quotePrefix="0" xfId="0">
      <alignment horizontal="general" vertical="bottom"/>
    </xf>
    <xf numFmtId="3" fontId="6" fillId="0" borderId="12" applyAlignment="1" pivotButton="0" quotePrefix="0" xfId="0">
      <alignment horizontal="right" vertical="bottom"/>
    </xf>
    <xf numFmtId="3" fontId="38" fillId="0" borderId="25" applyAlignment="1" pivotButton="0" quotePrefix="0" xfId="0">
      <alignment horizontal="right" vertical="bottom"/>
    </xf>
    <xf numFmtId="0" fontId="38" fillId="5" borderId="36" applyAlignment="1" pivotButton="0" quotePrefix="0" xfId="114">
      <alignment horizontal="general" vertical="bottom"/>
    </xf>
    <xf numFmtId="3" fontId="6" fillId="5" borderId="10" applyAlignment="1" pivotButton="0" quotePrefix="0" xfId="0">
      <alignment horizontal="general" vertical="bottom"/>
    </xf>
    <xf numFmtId="3" fontId="38" fillId="5" borderId="11" applyAlignment="1" pivotButton="0" quotePrefix="0" xfId="0">
      <alignment horizontal="general" vertical="bottom"/>
    </xf>
    <xf numFmtId="0" fontId="42" fillId="0" borderId="38" applyAlignment="1" pivotButton="0" quotePrefix="0" xfId="117">
      <alignment horizontal="left" vertical="bottom" wrapText="1"/>
    </xf>
    <xf numFmtId="3" fontId="6" fillId="0" borderId="39" applyAlignment="1" pivotButton="0" quotePrefix="0" xfId="0">
      <alignment horizontal="right" vertical="bottom"/>
    </xf>
    <xf numFmtId="165" fontId="6" fillId="0" borderId="39" applyAlignment="1" pivotButton="0" quotePrefix="0" xfId="15">
      <alignment horizontal="right" vertical="bottom"/>
    </xf>
    <xf numFmtId="3" fontId="38" fillId="0" borderId="40" applyAlignment="1" pivotButton="0" quotePrefix="0" xfId="0">
      <alignment horizontal="right" vertical="bottom"/>
    </xf>
    <xf numFmtId="0" fontId="6" fillId="0" borderId="32" applyAlignment="1" pivotButton="0" quotePrefix="0" xfId="0">
      <alignment horizontal="left" vertical="bottom"/>
    </xf>
    <xf numFmtId="3" fontId="39" fillId="0" borderId="18" applyAlignment="1" pivotButton="0" quotePrefix="0" xfId="0">
      <alignment horizontal="right" vertical="bottom"/>
    </xf>
    <xf numFmtId="0" fontId="39" fillId="5" borderId="41" applyAlignment="1" pivotButton="0" quotePrefix="0" xfId="0">
      <alignment horizontal="left" vertical="bottom"/>
    </xf>
    <xf numFmtId="3" fontId="39" fillId="0" borderId="10" applyAlignment="1" pivotButton="0" quotePrefix="0" xfId="0">
      <alignment horizontal="right" vertical="bottom"/>
    </xf>
    <xf numFmtId="3" fontId="38" fillId="0" borderId="0" applyAlignment="1" pivotButton="0" quotePrefix="0" xfId="0">
      <alignment horizontal="general" vertical="bottom"/>
    </xf>
    <xf numFmtId="3" fontId="38" fillId="0" borderId="31" applyAlignment="1" pivotButton="0" quotePrefix="0" xfId="0">
      <alignment horizontal="center" vertical="bottom"/>
    </xf>
    <xf numFmtId="3" fontId="38" fillId="0" borderId="22" applyAlignment="1" pivotButton="0" quotePrefix="0" xfId="0">
      <alignment horizontal="center" vertical="bottom"/>
    </xf>
    <xf numFmtId="3" fontId="38" fillId="0" borderId="4" applyAlignment="1" pivotButton="0" quotePrefix="0" xfId="0">
      <alignment horizontal="center" vertical="bottom"/>
    </xf>
    <xf numFmtId="3" fontId="38" fillId="0" borderId="33" applyAlignment="1" pivotButton="0" quotePrefix="0" xfId="0">
      <alignment horizontal="center" vertical="bottom"/>
    </xf>
    <xf numFmtId="3" fontId="38" fillId="5" borderId="4" applyAlignment="1" pivotButton="0" quotePrefix="0" xfId="0">
      <alignment horizontal="center" vertical="bottom"/>
    </xf>
    <xf numFmtId="3" fontId="38" fillId="5" borderId="33" applyAlignment="1" pivotButton="0" quotePrefix="0" xfId="0">
      <alignment horizontal="center" vertical="bottom"/>
    </xf>
    <xf numFmtId="3" fontId="6" fillId="0" borderId="10" applyAlignment="1" pivotButton="0" quotePrefix="0" xfId="0">
      <alignment horizontal="center" vertical="bottom"/>
    </xf>
    <xf numFmtId="4" fontId="6" fillId="0" borderId="0" applyAlignment="1" pivotButton="0" quotePrefix="0" xfId="0">
      <alignment horizontal="general" vertical="bottom"/>
    </xf>
    <xf numFmtId="165" fontId="6" fillId="0" borderId="10" applyAlignment="1" pivotButton="0" quotePrefix="0" xfId="15">
      <alignment horizontal="center" vertical="bottom"/>
    </xf>
    <xf numFmtId="3" fontId="6" fillId="0" borderId="10" applyAlignment="1" pivotButton="0" quotePrefix="0" xfId="0">
      <alignment horizontal="center" vertical="bottom"/>
    </xf>
    <xf numFmtId="3" fontId="6" fillId="5" borderId="10" applyAlignment="1" pivotButton="0" quotePrefix="0" xfId="0">
      <alignment horizontal="center" vertical="bottom"/>
    </xf>
    <xf numFmtId="3" fontId="38" fillId="5" borderId="11" applyAlignment="1" pivotButton="0" quotePrefix="0" xfId="0">
      <alignment horizontal="center" vertical="bottom"/>
    </xf>
    <xf numFmtId="4" fontId="6" fillId="0" borderId="0" applyAlignment="1" pivotButton="0" quotePrefix="0" xfId="0">
      <alignment horizontal="left" vertical="bottom"/>
    </xf>
    <xf numFmtId="0" fontId="6" fillId="0" borderId="34" applyAlignment="1" pivotButton="0" quotePrefix="0" xfId="114">
      <alignment horizontal="left" vertical="bottom"/>
    </xf>
    <xf numFmtId="3" fontId="38" fillId="0" borderId="31" applyAlignment="1" pivotButton="0" quotePrefix="0" xfId="17">
      <alignment horizontal="general" vertical="bottom"/>
    </xf>
    <xf numFmtId="3" fontId="38" fillId="0" borderId="22" applyAlignment="1" pivotButton="0" quotePrefix="0" xfId="17">
      <alignment horizontal="general" vertical="bottom"/>
    </xf>
    <xf numFmtId="3" fontId="6" fillId="0" borderId="18" applyAlignment="1" pivotButton="0" quotePrefix="0" xfId="17">
      <alignment horizontal="general" vertical="bottom"/>
    </xf>
    <xf numFmtId="3" fontId="38" fillId="0" borderId="26" applyAlignment="1" pivotButton="0" quotePrefix="0" xfId="17">
      <alignment horizontal="general" vertical="bottom"/>
    </xf>
    <xf numFmtId="165" fontId="6" fillId="0" borderId="10" applyAlignment="1" pivotButton="0" quotePrefix="0" xfId="15">
      <alignment horizontal="general" vertical="bottom"/>
    </xf>
    <xf numFmtId="165" fontId="38" fillId="0" borderId="26" applyAlignment="1" pivotButton="0" quotePrefix="0" xfId="15">
      <alignment horizontal="general" vertical="bottom"/>
    </xf>
    <xf numFmtId="3" fontId="6" fillId="0" borderId="10" applyAlignment="1" pivotButton="0" quotePrefix="0" xfId="17">
      <alignment horizontal="general" vertical="bottom"/>
    </xf>
    <xf numFmtId="165" fontId="6" fillId="0" borderId="18" applyAlignment="1" pivotButton="0" quotePrefix="0" xfId="15">
      <alignment horizontal="general" vertical="bottom"/>
    </xf>
    <xf numFmtId="3" fontId="6" fillId="5" borderId="18" applyAlignment="1" pivotButton="0" quotePrefix="0" xfId="0">
      <alignment horizontal="right" vertical="bottom"/>
    </xf>
    <xf numFmtId="3" fontId="38" fillId="5" borderId="26" applyAlignment="1" pivotButton="0" quotePrefix="0" xfId="0">
      <alignment horizontal="right" vertical="bottom"/>
    </xf>
    <xf numFmtId="0" fontId="6" fillId="0" borderId="36" applyAlignment="1" pivotButton="0" quotePrefix="0" xfId="117">
      <alignment horizontal="left" vertical="bottom" wrapText="1"/>
    </xf>
    <xf numFmtId="3" fontId="43" fillId="5" borderId="26" applyAlignment="1" pivotButton="0" quotePrefix="0" xfId="0">
      <alignment horizontal="right" vertical="bottom"/>
    </xf>
    <xf numFmtId="3" fontId="6" fillId="0" borderId="12" applyAlignment="1" pivotButton="0" quotePrefix="0" xfId="0">
      <alignment horizontal="right" vertical="bottom"/>
    </xf>
    <xf numFmtId="3" fontId="6" fillId="0" borderId="39" applyAlignment="1" pivotButton="0" quotePrefix="0" xfId="0">
      <alignment horizontal="right" vertical="bottom"/>
    </xf>
    <xf numFmtId="3" fontId="6" fillId="0" borderId="18" applyAlignment="1" pivotButton="0" quotePrefix="0" xfId="0">
      <alignment horizontal="center" vertical="bottom"/>
    </xf>
    <xf numFmtId="3" fontId="38" fillId="0" borderId="26" applyAlignment="1" pivotButton="0" quotePrefix="0" xfId="0">
      <alignment horizontal="center" vertical="bottom"/>
    </xf>
    <xf numFmtId="3" fontId="38" fillId="9" borderId="20" applyAlignment="1" pivotButton="0" quotePrefix="0" xfId="0">
      <alignment horizontal="left" vertical="bottom"/>
    </xf>
    <xf numFmtId="3" fontId="6" fillId="9" borderId="1" applyAlignment="1" pivotButton="0" quotePrefix="0" xfId="0">
      <alignment horizontal="center" vertical="bottom"/>
    </xf>
    <xf numFmtId="3" fontId="38" fillId="9" borderId="42" applyAlignment="1" pivotButton="0" quotePrefix="0" xfId="0">
      <alignment horizontal="center" vertical="bottom"/>
    </xf>
    <xf numFmtId="3" fontId="6" fillId="5" borderId="4" applyAlignment="1" pivotButton="0" quotePrefix="0" xfId="0">
      <alignment horizontal="center" vertical="bottom"/>
    </xf>
    <xf numFmtId="3" fontId="38" fillId="9" borderId="29" applyAlignment="1" pivotButton="0" quotePrefix="0" xfId="0">
      <alignment horizontal="general" vertical="bottom"/>
    </xf>
    <xf numFmtId="3" fontId="38" fillId="0" borderId="10" applyAlignment="1" pivotButton="0" quotePrefix="0" xfId="0">
      <alignment horizontal="right" vertical="bottom"/>
    </xf>
    <xf numFmtId="165" fontId="38" fillId="0" borderId="10" applyAlignment="1" pivotButton="0" quotePrefix="0" xfId="15">
      <alignment horizontal="right" vertical="bottom"/>
    </xf>
    <xf numFmtId="3" fontId="38" fillId="5" borderId="10" applyAlignment="1" pivotButton="0" quotePrefix="0" xfId="0">
      <alignment horizontal="center" vertical="bottom"/>
    </xf>
    <xf numFmtId="0" fontId="6" fillId="0" borderId="34" applyAlignment="1" pivotButton="0" quotePrefix="0" xfId="0">
      <alignment horizontal="left" vertical="bottom" wrapText="1"/>
    </xf>
    <xf numFmtId="4" fontId="6" fillId="0" borderId="0" applyAlignment="1" pivotButton="0" quotePrefix="0" xfId="0">
      <alignment horizontal="general" vertical="bottom" wrapText="1"/>
    </xf>
    <xf numFmtId="3" fontId="38" fillId="0" borderId="10" applyAlignment="1" pivotButton="0" quotePrefix="0" xfId="0">
      <alignment horizontal="center" vertical="bottom"/>
    </xf>
    <xf numFmtId="3" fontId="38" fillId="9" borderId="20" applyAlignment="1" pivotButton="0" quotePrefix="0" xfId="0">
      <alignment horizontal="general" vertical="bottom"/>
    </xf>
    <xf numFmtId="3" fontId="6" fillId="9" borderId="1" applyAlignment="1" pivotButton="0" quotePrefix="0" xfId="0">
      <alignment horizontal="general" vertical="bottom"/>
    </xf>
    <xf numFmtId="3" fontId="38" fillId="9" borderId="1" applyAlignment="1" pivotButton="0" quotePrefix="0" xfId="0">
      <alignment horizontal="general" vertical="bottom"/>
    </xf>
    <xf numFmtId="3" fontId="38" fillId="0" borderId="18" applyAlignment="1" pivotButton="0" quotePrefix="0" xfId="17">
      <alignment horizontal="general" vertical="bottom"/>
    </xf>
    <xf numFmtId="165" fontId="38" fillId="0" borderId="18" applyAlignment="1" pivotButton="0" quotePrefix="0" xfId="15">
      <alignment horizontal="general" vertical="bottom"/>
    </xf>
    <xf numFmtId="3" fontId="38" fillId="0" borderId="10" applyAlignment="1" pivotButton="0" quotePrefix="0" xfId="17">
      <alignment horizontal="general" vertical="bottom"/>
    </xf>
    <xf numFmtId="3" fontId="38" fillId="9" borderId="30" applyAlignment="1" pivotButton="0" quotePrefix="0" xfId="0">
      <alignment horizontal="left" vertical="bottom"/>
    </xf>
    <xf numFmtId="3" fontId="6" fillId="9" borderId="31" applyAlignment="1" pivotButton="0" quotePrefix="0" xfId="0">
      <alignment horizontal="right" vertical="bottom"/>
    </xf>
    <xf numFmtId="3" fontId="38" fillId="9" borderId="31" applyAlignment="1" pivotButton="0" quotePrefix="0" xfId="0">
      <alignment horizontal="right" vertical="bottom"/>
    </xf>
    <xf numFmtId="3" fontId="6" fillId="0" borderId="18" applyAlignment="1" pivotButton="0" quotePrefix="0" xfId="0">
      <alignment horizontal="general" vertical="bottom"/>
    </xf>
    <xf numFmtId="3" fontId="38" fillId="0" borderId="18" applyAlignment="1" pivotButton="0" quotePrefix="0" xfId="0">
      <alignment horizontal="general" vertical="bottom"/>
    </xf>
    <xf numFmtId="3" fontId="43" fillId="5" borderId="18" applyAlignment="1" pivotButton="0" quotePrefix="0" xfId="0">
      <alignment horizontal="right" vertical="bottom"/>
    </xf>
    <xf numFmtId="0" fontId="6" fillId="0" borderId="10" applyAlignment="1" pivotButton="0" quotePrefix="0" xfId="117">
      <alignment horizontal="left" vertical="bottom" wrapText="1"/>
    </xf>
    <xf numFmtId="3" fontId="40" fillId="5" borderId="18" applyAlignment="1" pivotButton="0" quotePrefix="0" xfId="0">
      <alignment horizontal="right" vertical="bottom"/>
    </xf>
    <xf numFmtId="3" fontId="38" fillId="0" borderId="12" applyAlignment="1" pivotButton="0" quotePrefix="0" xfId="0">
      <alignment horizontal="right" vertical="bottom"/>
    </xf>
    <xf numFmtId="3" fontId="38" fillId="5" borderId="10" applyAlignment="1" pivotButton="0" quotePrefix="0" xfId="0">
      <alignment horizontal="general" vertical="bottom"/>
    </xf>
    <xf numFmtId="0" fontId="42" fillId="0" borderId="10" applyAlignment="1" pivotButton="0" quotePrefix="0" xfId="117">
      <alignment horizontal="left" vertical="bottom" wrapText="1"/>
    </xf>
    <xf numFmtId="0" fontId="42" fillId="0" borderId="39" applyAlignment="1" pivotButton="0" quotePrefix="0" xfId="117">
      <alignment horizontal="left" vertical="bottom" wrapText="1"/>
    </xf>
    <xf numFmtId="3" fontId="6" fillId="0" borderId="39" applyAlignment="1" pivotButton="0" quotePrefix="0" xfId="0">
      <alignment horizontal="general" vertical="bottom"/>
    </xf>
    <xf numFmtId="165" fontId="38" fillId="0" borderId="39" applyAlignment="1" pivotButton="0" quotePrefix="0" xfId="15">
      <alignment horizontal="right" vertical="bottom"/>
    </xf>
    <xf numFmtId="3" fontId="38" fillId="0" borderId="31" applyAlignment="1" pivotButton="0" quotePrefix="0" xfId="0">
      <alignment horizontal="general" vertical="bottom"/>
    </xf>
    <xf numFmtId="3" fontId="38" fillId="0" borderId="18" applyAlignment="1" pivotButton="0" quotePrefix="0" xfId="0">
      <alignment horizontal="center" vertical="bottom"/>
    </xf>
    <xf numFmtId="3" fontId="38" fillId="9" borderId="1" applyAlignment="1" pivotButton="0" quotePrefix="0" xfId="0">
      <alignment horizontal="center" vertical="bottom"/>
    </xf>
    <xf numFmtId="3" fontId="39" fillId="0" borderId="18" applyAlignment="1" pivotButton="0" quotePrefix="0" xfId="0">
      <alignment horizontal="center" vertical="bottom"/>
    </xf>
    <xf numFmtId="3" fontId="42" fillId="0" borderId="0" applyAlignment="1" pivotButton="0" quotePrefix="0" xfId="0">
      <alignment horizontal="general" vertical="bottom"/>
    </xf>
    <xf numFmtId="3" fontId="38" fillId="0" borderId="30" applyAlignment="1" pivotButton="0" quotePrefix="0" xfId="0">
      <alignment horizontal="left" vertical="bottom" wrapText="1"/>
    </xf>
    <xf numFmtId="3" fontId="38" fillId="0" borderId="31" applyAlignment="1" pivotButton="0" quotePrefix="0" xfId="0">
      <alignment horizontal="center" vertical="bottom" wrapText="1"/>
    </xf>
    <xf numFmtId="3" fontId="44" fillId="0" borderId="22" applyAlignment="1" pivotButton="0" quotePrefix="0" xfId="0">
      <alignment horizontal="center" vertical="bottom" wrapText="1"/>
    </xf>
    <xf numFmtId="3" fontId="38" fillId="9" borderId="31" applyAlignment="1" pivotButton="0" quotePrefix="0" xfId="0">
      <alignment horizontal="center" vertical="bottom"/>
    </xf>
    <xf numFmtId="3" fontId="44" fillId="9" borderId="22" applyAlignment="1" pivotButton="0" quotePrefix="0" xfId="0">
      <alignment horizontal="center" vertical="bottom"/>
    </xf>
    <xf numFmtId="0" fontId="39" fillId="0" borderId="32" applyAlignment="1" pivotButton="0" quotePrefix="0" xfId="0">
      <alignment horizontal="left" vertical="bottom"/>
    </xf>
    <xf numFmtId="3" fontId="45" fillId="0" borderId="26" applyAlignment="1" pivotButton="0" quotePrefix="0" xfId="0">
      <alignment horizontal="center" vertical="bottom"/>
    </xf>
    <xf numFmtId="3" fontId="39" fillId="5" borderId="10" applyAlignment="1" pivotButton="0" quotePrefix="0" xfId="0">
      <alignment horizontal="center" vertical="bottom"/>
    </xf>
    <xf numFmtId="3" fontId="45" fillId="5" borderId="11" applyAlignment="1" pivotButton="0" quotePrefix="0" xfId="0">
      <alignment horizontal="center" vertical="bottom"/>
    </xf>
    <xf numFmtId="4" fontId="6" fillId="0" borderId="10" applyAlignment="1" pivotButton="0" quotePrefix="0" xfId="0">
      <alignment horizontal="center" vertical="bottom"/>
    </xf>
    <xf numFmtId="4" fontId="42" fillId="0" borderId="11" applyAlignment="1" pivotButton="0" quotePrefix="0" xfId="0">
      <alignment horizontal="center" vertical="bottom"/>
    </xf>
    <xf numFmtId="4" fontId="6" fillId="5" borderId="10" applyAlignment="1" pivotButton="0" quotePrefix="0" xfId="0">
      <alignment horizontal="center" vertical="bottom"/>
    </xf>
    <xf numFmtId="4" fontId="42" fillId="5" borderId="11" applyAlignment="1" pivotButton="0" quotePrefix="0" xfId="0">
      <alignment horizontal="center" vertical="bottom"/>
    </xf>
    <xf numFmtId="3" fontId="6" fillId="0" borderId="31" applyAlignment="1" pivotButton="0" quotePrefix="0" xfId="17">
      <alignment horizontal="general" vertical="bottom"/>
    </xf>
    <xf numFmtId="3" fontId="42" fillId="0" borderId="22" applyAlignment="1" pivotButton="0" quotePrefix="0" xfId="17">
      <alignment horizontal="general" vertical="bottom"/>
    </xf>
    <xf numFmtId="3" fontId="6" fillId="9" borderId="31" applyAlignment="1" pivotButton="0" quotePrefix="0" xfId="0">
      <alignment horizontal="center" vertical="bottom"/>
    </xf>
    <xf numFmtId="3" fontId="42" fillId="9" borderId="22" applyAlignment="1" pivotButton="0" quotePrefix="0" xfId="0">
      <alignment horizontal="center" vertical="bottom"/>
    </xf>
    <xf numFmtId="3" fontId="40" fillId="0" borderId="0" applyAlignment="1" pivotButton="0" quotePrefix="0" xfId="0">
      <alignment horizontal="center" vertical="bottom"/>
    </xf>
    <xf numFmtId="3" fontId="42" fillId="0" borderId="11" applyAlignment="1" pivotButton="0" quotePrefix="0" xfId="17">
      <alignment horizontal="general" vertical="bottom"/>
    </xf>
    <xf numFmtId="4" fontId="6" fillId="0" borderId="10" applyAlignment="1" pivotButton="0" quotePrefix="0" xfId="17">
      <alignment horizontal="general" vertical="bottom"/>
    </xf>
    <xf numFmtId="4" fontId="42" fillId="0" borderId="11" applyAlignment="1" pivotButton="0" quotePrefix="0" xfId="17">
      <alignment horizontal="general" vertical="bottom"/>
    </xf>
    <xf numFmtId="9" fontId="6" fillId="0" borderId="10" applyAlignment="1" pivotButton="0" quotePrefix="0" xfId="19">
      <alignment horizontal="general" vertical="bottom"/>
    </xf>
    <xf numFmtId="9" fontId="42" fillId="0" borderId="11" applyAlignment="1" pivotButton="0" quotePrefix="0" xfId="19">
      <alignment horizontal="general" vertical="bottom"/>
    </xf>
    <xf numFmtId="0" fontId="39" fillId="0" borderId="41" applyAlignment="1" pivotButton="0" quotePrefix="0" xfId="0">
      <alignment horizontal="left" vertical="bottom"/>
    </xf>
    <xf numFmtId="3" fontId="6" fillId="0" borderId="10" applyAlignment="1" pivotButton="0" quotePrefix="0" xfId="0">
      <alignment horizontal="general" vertical="bottom"/>
    </xf>
    <xf numFmtId="3" fontId="42" fillId="0" borderId="11" applyAlignment="1" pivotButton="0" quotePrefix="0" xfId="0">
      <alignment horizontal="general" vertical="bottom"/>
    </xf>
    <xf numFmtId="4" fontId="42" fillId="0" borderId="11" applyAlignment="1" pivotButton="0" quotePrefix="0" xfId="0">
      <alignment horizontal="center" vertical="bottom"/>
    </xf>
    <xf numFmtId="3" fontId="6" fillId="0" borderId="31" applyAlignment="1" pivotButton="0" quotePrefix="0" xfId="0">
      <alignment horizontal="general" vertical="bottom"/>
    </xf>
    <xf numFmtId="3" fontId="42" fillId="0" borderId="22" applyAlignment="1" pivotButton="0" quotePrefix="0" xfId="0">
      <alignment horizontal="general" vertical="bottom"/>
    </xf>
    <xf numFmtId="0" fontId="38" fillId="5" borderId="41" applyAlignment="1" pivotButton="0" quotePrefix="0" xfId="0">
      <alignment horizontal="left" vertical="bottom"/>
    </xf>
    <xf numFmtId="3" fontId="6" fillId="5" borderId="18" applyAlignment="1" pivotButton="0" quotePrefix="0" xfId="0">
      <alignment horizontal="center" vertical="bottom"/>
    </xf>
    <xf numFmtId="3" fontId="42" fillId="5" borderId="26" applyAlignment="1" pivotButton="0" quotePrefix="0" xfId="0">
      <alignment horizontal="center" vertical="bottom"/>
    </xf>
    <xf numFmtId="4" fontId="42" fillId="0" borderId="11" applyAlignment="1" pivotButton="0" quotePrefix="0" xfId="0">
      <alignment horizontal="center" vertical="bottom" wrapText="1"/>
    </xf>
    <xf numFmtId="3" fontId="6" fillId="0" borderId="11" applyAlignment="1" pivotButton="0" quotePrefix="0" xfId="0">
      <alignment horizontal="center" vertical="bottom"/>
    </xf>
    <xf numFmtId="3" fontId="42" fillId="5" borderId="11" applyAlignment="1" pivotButton="0" quotePrefix="0" xfId="0">
      <alignment horizontal="general" vertical="bottom"/>
    </xf>
    <xf numFmtId="166" fontId="6" fillId="0" borderId="10" applyAlignment="1" pivotButton="0" quotePrefix="0" xfId="0">
      <alignment horizontal="general" vertical="bottom"/>
    </xf>
    <xf numFmtId="166" fontId="42" fillId="0" borderId="11" applyAlignment="1" pivotButton="0" quotePrefix="0" xfId="0">
      <alignment horizontal="center" vertical="bottom"/>
    </xf>
    <xf numFmtId="4" fontId="6" fillId="0" borderId="10" applyAlignment="1" pivotButton="0" quotePrefix="0" xfId="0">
      <alignment horizontal="general" vertical="bottom"/>
    </xf>
    <xf numFmtId="4" fontId="6" fillId="0" borderId="12" applyAlignment="1" pivotButton="0" quotePrefix="0" xfId="0">
      <alignment horizontal="general" vertical="bottom"/>
    </xf>
    <xf numFmtId="4" fontId="42" fillId="0" borderId="25" applyAlignment="1" pivotButton="0" quotePrefix="0" xfId="0">
      <alignment horizontal="general" vertical="bottom"/>
    </xf>
    <xf numFmtId="4" fontId="6" fillId="5" borderId="10" applyAlignment="1" pivotButton="0" quotePrefix="0" xfId="0">
      <alignment horizontal="general" vertical="bottom"/>
    </xf>
    <xf numFmtId="4" fontId="42" fillId="5" borderId="11" applyAlignment="1" pivotButton="0" quotePrefix="0" xfId="0">
      <alignment horizontal="general" vertical="bottom"/>
    </xf>
    <xf numFmtId="4" fontId="6" fillId="0" borderId="10" applyAlignment="1" pivotButton="0" quotePrefix="0" xfId="0">
      <alignment horizontal="right" vertical="bottom"/>
    </xf>
    <xf numFmtId="3" fontId="42" fillId="0" borderId="11" applyAlignment="1" pivotButton="0" quotePrefix="0" xfId="0">
      <alignment horizontal="center" vertical="bottom"/>
    </xf>
    <xf numFmtId="3" fontId="42" fillId="0" borderId="11" applyAlignment="1" pivotButton="0" quotePrefix="0" xfId="0">
      <alignment horizontal="center" vertical="bottom"/>
    </xf>
    <xf numFmtId="0" fontId="6" fillId="0" borderId="43" applyAlignment="1" pivotButton="0" quotePrefix="0" xfId="0">
      <alignment horizontal="left" vertical="bottom"/>
    </xf>
    <xf numFmtId="3" fontId="6" fillId="0" borderId="39" applyAlignment="1" pivotButton="0" quotePrefix="0" xfId="0">
      <alignment horizontal="center" vertical="bottom"/>
    </xf>
    <xf numFmtId="3" fontId="42" fillId="0" borderId="40" applyAlignment="1" pivotButton="0" quotePrefix="0" xfId="0">
      <alignment horizontal="center" vertical="bottom"/>
    </xf>
    <xf numFmtId="0" fontId="38" fillId="5" borderId="35" applyAlignment="1" pivotButton="0" quotePrefix="0" xfId="0">
      <alignment horizontal="general" vertical="bottom"/>
    </xf>
    <xf numFmtId="3" fontId="6" fillId="5" borderId="18" applyAlignment="1" pivotButton="0" quotePrefix="0" xfId="0">
      <alignment horizontal="general" vertical="bottom"/>
    </xf>
    <xf numFmtId="3" fontId="42" fillId="5" borderId="26" applyAlignment="1" pivotButton="0" quotePrefix="0" xfId="0">
      <alignment horizontal="general" vertical="bottom"/>
    </xf>
    <xf numFmtId="0" fontId="6" fillId="0" borderId="32" applyAlignment="1" pivotButton="0" quotePrefix="0" xfId="0">
      <alignment horizontal="left" vertical="bottom"/>
    </xf>
    <xf numFmtId="3" fontId="42" fillId="0" borderId="26" applyAlignment="1" pivotButton="0" quotePrefix="0" xfId="0">
      <alignment horizontal="center" vertical="bottom"/>
    </xf>
    <xf numFmtId="0" fontId="39" fillId="0" borderId="6" applyAlignment="1" pivotButton="0" quotePrefix="0" xfId="0">
      <alignment horizontal="left" vertical="bottom"/>
    </xf>
    <xf numFmtId="165" fontId="6" fillId="0" borderId="12" applyAlignment="1" pivotButton="0" quotePrefix="0" xfId="15">
      <alignment horizontal="general" vertical="bottom"/>
    </xf>
    <xf numFmtId="165" fontId="6" fillId="5" borderId="10" applyAlignment="1" pivotButton="0" quotePrefix="0" xfId="15">
      <alignment horizontal="general" vertical="bottom"/>
    </xf>
    <xf numFmtId="4" fontId="6" fillId="0" borderId="10" applyAlignment="1" pivotButton="0" quotePrefix="0" xfId="116">
      <alignment horizontal="general" vertical="bottom"/>
    </xf>
    <xf numFmtId="3" fontId="6" fillId="0" borderId="10" applyAlignment="1" pivotButton="0" quotePrefix="0" xfId="116">
      <alignment horizontal="general" vertical="bottom"/>
    </xf>
    <xf numFmtId="3" fontId="40" fillId="0" borderId="0" applyAlignment="1" pivotButton="0" quotePrefix="0" xfId="0">
      <alignment horizontal="general" vertical="bottom"/>
    </xf>
    <xf numFmtId="0" fontId="42" fillId="0" borderId="0" applyAlignment="1" pivotButton="0" quotePrefix="0" xfId="115">
      <alignment horizontal="general" vertical="bottom"/>
    </xf>
    <xf numFmtId="167" fontId="42" fillId="0" borderId="0" applyAlignment="1" pivotButton="0" quotePrefix="0" xfId="115">
      <alignment horizontal="right" vertical="bottom"/>
    </xf>
    <xf numFmtId="168" fontId="42" fillId="0" borderId="0" applyAlignment="1" pivotButton="0" quotePrefix="0" xfId="15">
      <alignment horizontal="right" vertical="bottom"/>
    </xf>
    <xf numFmtId="168" fontId="42" fillId="0" borderId="0" applyAlignment="1" pivotButton="0" quotePrefix="0" xfId="15">
      <alignment horizontal="general" vertical="bottom"/>
    </xf>
    <xf numFmtId="168" fontId="38" fillId="0" borderId="0" applyAlignment="1" pivotButton="0" quotePrefix="0" xfId="15">
      <alignment horizontal="general" vertical="bottom"/>
    </xf>
    <xf numFmtId="0" fontId="42" fillId="0" borderId="0" applyAlignment="1" pivotButton="0" quotePrefix="0" xfId="115">
      <alignment horizontal="general" vertical="bottom"/>
    </xf>
    <xf numFmtId="3" fontId="42" fillId="0" borderId="0" applyAlignment="1" pivotButton="0" quotePrefix="0" xfId="115">
      <alignment horizontal="general" vertical="bottom"/>
    </xf>
    <xf numFmtId="167" fontId="6" fillId="0" borderId="0" applyAlignment="1" pivotButton="0" quotePrefix="0" xfId="115">
      <alignment horizontal="left" vertical="bottom"/>
    </xf>
    <xf numFmtId="168" fontId="38" fillId="0" borderId="0" applyAlignment="1" pivotButton="0" quotePrefix="0" xfId="15">
      <alignment horizontal="right" vertical="bottom"/>
    </xf>
    <xf numFmtId="0" fontId="44" fillId="0" borderId="0" applyAlignment="1" pivotButton="0" quotePrefix="0" xfId="115">
      <alignment horizontal="general" vertical="bottom"/>
    </xf>
    <xf numFmtId="167" fontId="38" fillId="0" borderId="0" applyAlignment="1" pivotButton="0" quotePrefix="0" xfId="115">
      <alignment horizontal="right" vertical="bottom"/>
    </xf>
    <xf numFmtId="168" fontId="38" fillId="0" borderId="0" applyAlignment="1" pivotButton="0" quotePrefix="0" xfId="15">
      <alignment horizontal="center" vertical="top"/>
    </xf>
    <xf numFmtId="168" fontId="38" fillId="0" borderId="12" applyAlignment="1" pivotButton="0" quotePrefix="0" xfId="15">
      <alignment horizontal="center" vertical="top"/>
    </xf>
    <xf numFmtId="168" fontId="46" fillId="0" borderId="0" applyAlignment="1" pivotButton="0" quotePrefix="0" xfId="15">
      <alignment horizontal="center" vertical="top"/>
    </xf>
    <xf numFmtId="168" fontId="46" fillId="0" borderId="24" applyAlignment="1" pivotButton="0" quotePrefix="0" xfId="15">
      <alignment horizontal="center" vertical="top"/>
    </xf>
    <xf numFmtId="0" fontId="38" fillId="0" borderId="6" applyAlignment="1" pivotButton="0" quotePrefix="0" xfId="115">
      <alignment horizontal="left" vertical="bottom" wrapText="1"/>
    </xf>
    <xf numFmtId="3" fontId="38" fillId="0" borderId="44" applyAlignment="1" pivotButton="0" quotePrefix="0" xfId="115">
      <alignment horizontal="right" vertical="bottom" wrapText="1"/>
    </xf>
    <xf numFmtId="168" fontId="38" fillId="0" borderId="44" applyAlignment="1" pivotButton="0" quotePrefix="0" xfId="15">
      <alignment horizontal="right" vertical="bottom" wrapText="1"/>
    </xf>
    <xf numFmtId="168" fontId="38" fillId="0" borderId="8" applyAlignment="1" pivotButton="0" quotePrefix="0" xfId="15">
      <alignment horizontal="right" vertical="bottom" wrapText="1"/>
    </xf>
    <xf numFmtId="0" fontId="39" fillId="0" borderId="15" applyAlignment="1" pivotButton="0" quotePrefix="0" xfId="115">
      <alignment horizontal="left" vertical="bottom" wrapText="1"/>
    </xf>
    <xf numFmtId="3" fontId="39" fillId="0" borderId="45" applyAlignment="1" pivotButton="0" quotePrefix="0" xfId="115">
      <alignment horizontal="right" vertical="bottom" wrapText="1"/>
    </xf>
    <xf numFmtId="168" fontId="39" fillId="0" borderId="45" applyAlignment="1" pivotButton="0" quotePrefix="0" xfId="15">
      <alignment horizontal="right" vertical="bottom" wrapText="1"/>
    </xf>
    <xf numFmtId="168" fontId="39" fillId="0" borderId="17" applyAlignment="1" pivotButton="0" quotePrefix="0" xfId="15">
      <alignment horizontal="right" vertical="bottom" wrapText="1"/>
    </xf>
    <xf numFmtId="0" fontId="42" fillId="0" borderId="44" applyAlignment="1" pivotButton="0" quotePrefix="0" xfId="115">
      <alignment horizontal="general" vertical="bottom"/>
    </xf>
    <xf numFmtId="3" fontId="42" fillId="0" borderId="6" applyAlignment="1" pivotButton="0" quotePrefix="0" xfId="115">
      <alignment horizontal="right" vertical="bottom"/>
    </xf>
    <xf numFmtId="3" fontId="42" fillId="0" borderId="44" applyAlignment="1" pivotButton="0" quotePrefix="0" xfId="115">
      <alignment horizontal="right" vertical="bottom"/>
    </xf>
    <xf numFmtId="168" fontId="42" fillId="0" borderId="44" applyAlignment="1" pivotButton="0" quotePrefix="0" xfId="15">
      <alignment horizontal="right" vertical="bottom"/>
    </xf>
    <xf numFmtId="168" fontId="42" fillId="0" borderId="8" applyAlignment="1" pivotButton="0" quotePrefix="0" xfId="15">
      <alignment horizontal="right" vertical="bottom"/>
    </xf>
    <xf numFmtId="168" fontId="42" fillId="0" borderId="8" applyAlignment="1" pivotButton="0" quotePrefix="0" xfId="15">
      <alignment horizontal="general" vertical="bottom"/>
    </xf>
    <xf numFmtId="168" fontId="38" fillId="0" borderId="44" applyAlignment="1" pivotButton="0" quotePrefix="0" xfId="15">
      <alignment horizontal="general" vertical="bottom"/>
    </xf>
    <xf numFmtId="168" fontId="38" fillId="0" borderId="8" applyAlignment="1" pivotButton="0" quotePrefix="0" xfId="15">
      <alignment horizontal="general" vertical="bottom"/>
    </xf>
    <xf numFmtId="168" fontId="42" fillId="0" borderId="44" applyAlignment="1" pivotButton="0" quotePrefix="0" xfId="15">
      <alignment horizontal="general" vertical="bottom"/>
    </xf>
    <xf numFmtId="49" fontId="42" fillId="0" borderId="46" applyAlignment="1" pivotButton="0" quotePrefix="0" xfId="115">
      <alignment horizontal="general" vertical="bottom"/>
    </xf>
    <xf numFmtId="3" fontId="42" fillId="0" borderId="9" applyAlignment="1" pivotButton="0" quotePrefix="0" xfId="115">
      <alignment horizontal="right" vertical="bottom"/>
    </xf>
    <xf numFmtId="3" fontId="38" fillId="0" borderId="46" applyAlignment="1" pivotButton="0" quotePrefix="0" xfId="0">
      <alignment horizontal="right" vertical="bottom"/>
    </xf>
    <xf numFmtId="168" fontId="38" fillId="0" borderId="46" applyAlignment="1" pivotButton="0" quotePrefix="0" xfId="15">
      <alignment horizontal="right" vertical="bottom"/>
    </xf>
    <xf numFmtId="168" fontId="38" fillId="0" borderId="46" applyAlignment="1" pivotButton="0" quotePrefix="0" xfId="15">
      <alignment horizontal="general" vertical="bottom"/>
    </xf>
    <xf numFmtId="168" fontId="42" fillId="0" borderId="13" applyAlignment="1" pivotButton="0" quotePrefix="0" xfId="15">
      <alignment horizontal="general" vertical="bottom"/>
    </xf>
    <xf numFmtId="3" fontId="42" fillId="0" borderId="46" applyAlignment="1" pivotButton="0" quotePrefix="0" xfId="115">
      <alignment horizontal="right" vertical="bottom"/>
    </xf>
    <xf numFmtId="3" fontId="42" fillId="0" borderId="0" applyAlignment="1" pivotButton="0" quotePrefix="0" xfId="115">
      <alignment horizontal="general" vertical="bottom"/>
    </xf>
    <xf numFmtId="49" fontId="42" fillId="0" borderId="45" applyAlignment="1" pivotButton="0" quotePrefix="0" xfId="115">
      <alignment horizontal="general" vertical="bottom"/>
    </xf>
    <xf numFmtId="3" fontId="42" fillId="0" borderId="45" applyAlignment="1" pivotButton="0" quotePrefix="0" xfId="115">
      <alignment horizontal="right" vertical="bottom"/>
    </xf>
    <xf numFmtId="3" fontId="38" fillId="0" borderId="45" applyAlignment="1" pivotButton="0" quotePrefix="0" xfId="0">
      <alignment horizontal="right" vertical="bottom"/>
    </xf>
    <xf numFmtId="168" fontId="38" fillId="0" borderId="45" applyAlignment="1" pivotButton="0" quotePrefix="0" xfId="15">
      <alignment horizontal="right" vertical="bottom"/>
    </xf>
    <xf numFmtId="168" fontId="38" fillId="0" borderId="45" applyAlignment="1" pivotButton="0" quotePrefix="0" xfId="15">
      <alignment horizontal="general" vertical="bottom"/>
    </xf>
    <xf numFmtId="168" fontId="42" fillId="0" borderId="17" applyAlignment="1" pivotButton="0" quotePrefix="0" xfId="15">
      <alignment horizontal="general" vertical="bottom"/>
    </xf>
    <xf numFmtId="0" fontId="42" fillId="0" borderId="15" applyAlignment="1" pivotButton="0" quotePrefix="0" xfId="115">
      <alignment horizontal="general" vertical="bottom"/>
    </xf>
    <xf numFmtId="3" fontId="38" fillId="0" borderId="16" applyAlignment="1" pivotButton="0" quotePrefix="0" xfId="115">
      <alignment horizontal="right" vertical="bottom"/>
    </xf>
    <xf numFmtId="168" fontId="38" fillId="0" borderId="16" applyAlignment="1" pivotButton="0" quotePrefix="0" xfId="15">
      <alignment horizontal="right" vertical="bottom"/>
    </xf>
    <xf numFmtId="168" fontId="38" fillId="0" borderId="29" applyAlignment="1" pivotButton="0" quotePrefix="0" xfId="15">
      <alignment horizontal="general" vertical="bottom"/>
    </xf>
    <xf numFmtId="168" fontId="38" fillId="0" borderId="29" applyAlignment="1" pivotButton="0" quotePrefix="0" xfId="15">
      <alignment horizontal="right" vertical="bottom"/>
    </xf>
    <xf numFmtId="3" fontId="38" fillId="0" borderId="0" applyAlignment="1" pivotButton="0" quotePrefix="0" xfId="115">
      <alignment horizontal="right" vertical="bottom"/>
    </xf>
    <xf numFmtId="0" fontId="42" fillId="0" borderId="6" applyAlignment="1" pivotButton="0" quotePrefix="0" xfId="115">
      <alignment horizontal="general" vertical="bottom"/>
    </xf>
    <xf numFmtId="0" fontId="38" fillId="0" borderId="44" applyAlignment="1" pivotButton="0" quotePrefix="0" xfId="115">
      <alignment horizontal="left" vertical="bottom" wrapText="1"/>
    </xf>
    <xf numFmtId="3" fontId="38" fillId="0" borderId="8" applyAlignment="1" pivotButton="0" quotePrefix="0" xfId="115">
      <alignment horizontal="right" vertical="bottom" wrapText="1"/>
    </xf>
    <xf numFmtId="0" fontId="42" fillId="0" borderId="9" applyAlignment="1" pivotButton="0" quotePrefix="0" xfId="115">
      <alignment horizontal="general" vertical="bottom"/>
    </xf>
    <xf numFmtId="0" fontId="39" fillId="0" borderId="45" applyAlignment="1" pivotButton="0" quotePrefix="0" xfId="115">
      <alignment horizontal="left" vertical="bottom" wrapText="1"/>
    </xf>
    <xf numFmtId="3" fontId="39" fillId="0" borderId="17" applyAlignment="1" pivotButton="0" quotePrefix="0" xfId="115">
      <alignment horizontal="right" vertical="bottom" wrapText="1"/>
    </xf>
    <xf numFmtId="167" fontId="42" fillId="0" borderId="8" applyAlignment="1" pivotButton="0" quotePrefix="0" xfId="115">
      <alignment horizontal="right" vertical="bottom"/>
    </xf>
    <xf numFmtId="167" fontId="42" fillId="0" borderId="44" applyAlignment="1" pivotButton="0" quotePrefix="0" xfId="115">
      <alignment horizontal="right" vertical="bottom"/>
    </xf>
    <xf numFmtId="167" fontId="6" fillId="0" borderId="13" applyAlignment="1" pivotButton="0" quotePrefix="0" xfId="115">
      <alignment horizontal="right" vertical="bottom"/>
    </xf>
    <xf numFmtId="167" fontId="6" fillId="0" borderId="46" applyAlignment="1" pivotButton="0" quotePrefix="0" xfId="115">
      <alignment horizontal="right" vertical="bottom"/>
    </xf>
    <xf numFmtId="168" fontId="6" fillId="0" borderId="46" applyAlignment="1" pivotButton="0" quotePrefix="0" xfId="15">
      <alignment horizontal="right" vertical="bottom"/>
    </xf>
    <xf numFmtId="168" fontId="38" fillId="0" borderId="13" applyAlignment="1" pivotButton="0" quotePrefix="0" xfId="15">
      <alignment horizontal="general" vertical="bottom"/>
    </xf>
    <xf numFmtId="167" fontId="6" fillId="0" borderId="17" applyAlignment="1" pivotButton="0" quotePrefix="0" xfId="115">
      <alignment horizontal="right" vertical="bottom"/>
    </xf>
    <xf numFmtId="167" fontId="6" fillId="0" borderId="45" applyAlignment="1" pivotButton="0" quotePrefix="0" xfId="115">
      <alignment horizontal="right" vertical="bottom"/>
    </xf>
    <xf numFmtId="168" fontId="6" fillId="0" borderId="45" applyAlignment="1" pivotButton="0" quotePrefix="0" xfId="15">
      <alignment horizontal="right" vertical="bottom"/>
    </xf>
    <xf numFmtId="168" fontId="38" fillId="0" borderId="17" applyAlignment="1" pivotButton="0" quotePrefix="0" xfId="15">
      <alignment horizontal="general" vertical="bottom"/>
    </xf>
    <xf numFmtId="0" fontId="42" fillId="0" borderId="20" applyAlignment="1" pivotButton="0" quotePrefix="0" xfId="115">
      <alignment horizontal="general" vertical="bottom"/>
    </xf>
    <xf numFmtId="3" fontId="38" fillId="0" borderId="1" applyAlignment="1" pivotButton="0" quotePrefix="0" xfId="115">
      <alignment horizontal="right" vertical="bottom"/>
    </xf>
    <xf numFmtId="168" fontId="38" fillId="0" borderId="1" applyAlignment="1" pivotButton="0" quotePrefix="0" xfId="15">
      <alignment horizontal="right" vertical="bottom"/>
    </xf>
    <xf numFmtId="168" fontId="38" fillId="0" borderId="42" applyAlignment="1" pivotButton="0" quotePrefix="0" xfId="15">
      <alignment horizontal="right" vertical="bottom"/>
    </xf>
    <xf numFmtId="0" fontId="39" fillId="0" borderId="9" applyAlignment="1" pivotButton="0" quotePrefix="0" xfId="115">
      <alignment horizontal="left" vertical="bottom" wrapText="1"/>
    </xf>
    <xf numFmtId="3" fontId="39" fillId="0" borderId="46" applyAlignment="1" pivotButton="0" quotePrefix="0" xfId="115">
      <alignment horizontal="right" vertical="bottom" wrapText="1"/>
    </xf>
    <xf numFmtId="168" fontId="39" fillId="0" borderId="46" applyAlignment="1" pivotButton="0" quotePrefix="0" xfId="15">
      <alignment horizontal="right" vertical="bottom" wrapText="1"/>
    </xf>
    <xf numFmtId="168" fontId="39" fillId="0" borderId="13" applyAlignment="1" pivotButton="0" quotePrefix="0" xfId="15">
      <alignment horizontal="right" vertical="bottom" wrapText="1"/>
    </xf>
    <xf numFmtId="3" fontId="42" fillId="0" borderId="7" applyAlignment="1" pivotButton="0" quotePrefix="0" xfId="115">
      <alignment horizontal="right" vertical="bottom"/>
    </xf>
    <xf numFmtId="168" fontId="42" fillId="0" borderId="7" applyAlignment="1" pivotButton="0" quotePrefix="0" xfId="15">
      <alignment horizontal="right" vertical="bottom"/>
    </xf>
    <xf numFmtId="168" fontId="42" fillId="0" borderId="7" applyAlignment="1" pivotButton="0" quotePrefix="0" xfId="15">
      <alignment horizontal="general" vertical="bottom"/>
    </xf>
    <xf numFmtId="49" fontId="42" fillId="0" borderId="9" applyAlignment="1" pivotButton="0" quotePrefix="0" xfId="115">
      <alignment horizontal="general" vertical="bottom"/>
    </xf>
    <xf numFmtId="0" fontId="38" fillId="0" borderId="0" applyAlignment="1" pivotButton="0" quotePrefix="0" xfId="0">
      <alignment horizontal="right" vertical="bottom"/>
    </xf>
    <xf numFmtId="168" fontId="42" fillId="0" borderId="46" applyAlignment="1" pivotButton="0" quotePrefix="0" xfId="15">
      <alignment horizontal="general" vertical="bottom"/>
    </xf>
    <xf numFmtId="49" fontId="42" fillId="0" borderId="15" applyAlignment="1" pivotButton="0" quotePrefix="0" xfId="115">
      <alignment horizontal="general" vertical="bottom"/>
    </xf>
    <xf numFmtId="3" fontId="38" fillId="0" borderId="16" applyAlignment="1" pivotButton="0" quotePrefix="0" xfId="0">
      <alignment horizontal="right" vertical="bottom"/>
    </xf>
    <xf numFmtId="168" fontId="42" fillId="0" borderId="45" applyAlignment="1" pivotButton="0" quotePrefix="0" xfId="15">
      <alignment horizontal="general" vertical="bottom"/>
    </xf>
    <xf numFmtId="168" fontId="42" fillId="0" borderId="16" applyAlignment="1" pivotButton="0" quotePrefix="0" xfId="15">
      <alignment horizontal="general" vertical="bottom"/>
    </xf>
    <xf numFmtId="168" fontId="38" fillId="0" borderId="16" applyAlignment="1" pivotButton="0" quotePrefix="0" xfId="15">
      <alignment horizontal="general" vertical="bottom"/>
    </xf>
    <xf numFmtId="169" fontId="6" fillId="0" borderId="46" applyAlignment="1" pivotButton="0" quotePrefix="0" xfId="15">
      <alignment horizontal="right" vertical="bottom"/>
    </xf>
    <xf numFmtId="169" fontId="6" fillId="0" borderId="45" applyAlignment="1" pivotButton="0" quotePrefix="0" xfId="15">
      <alignment horizontal="right" vertical="bottom"/>
    </xf>
    <xf numFmtId="169" fontId="38" fillId="0" borderId="16" applyAlignment="1" pivotButton="0" quotePrefix="0" xfId="15">
      <alignment horizontal="right" vertical="bottom"/>
    </xf>
    <xf numFmtId="168" fontId="38" fillId="0" borderId="17" applyAlignment="1" pivotButton="0" quotePrefix="0" xfId="15">
      <alignment horizontal="right" vertical="bottom"/>
    </xf>
    <xf numFmtId="168" fontId="44" fillId="0" borderId="8" applyAlignment="1" pivotButton="0" quotePrefix="0" xfId="15">
      <alignment horizontal="right" vertical="bottom"/>
    </xf>
    <xf numFmtId="168" fontId="38" fillId="0" borderId="7" applyAlignment="1" pivotButton="0" quotePrefix="0" xfId="15">
      <alignment horizontal="general" vertical="bottom"/>
    </xf>
    <xf numFmtId="168" fontId="44" fillId="0" borderId="44" applyAlignment="1" pivotButton="0" quotePrefix="0" xfId="15">
      <alignment horizontal="general" vertical="bottom"/>
    </xf>
    <xf numFmtId="3" fontId="42" fillId="0" borderId="0" applyAlignment="1" pivotButton="0" quotePrefix="0" xfId="115">
      <alignment horizontal="right" vertical="bottom"/>
    </xf>
    <xf numFmtId="0" fontId="38" fillId="0" borderId="46" applyAlignment="1" pivotButton="0" quotePrefix="0" xfId="0">
      <alignment horizontal="right" vertical="bottom"/>
    </xf>
    <xf numFmtId="3" fontId="42" fillId="0" borderId="13" applyAlignment="1" pivotButton="0" quotePrefix="0" xfId="115">
      <alignment horizontal="right" vertical="bottom"/>
    </xf>
    <xf numFmtId="169" fontId="42" fillId="0" borderId="44" applyAlignment="1" pivotButton="0" quotePrefix="0" xfId="15">
      <alignment horizontal="right" vertical="bottom"/>
    </xf>
    <xf numFmtId="169" fontId="42" fillId="0" borderId="8" applyAlignment="1" pivotButton="0" quotePrefix="0" xfId="15">
      <alignment horizontal="general" vertical="bottom"/>
    </xf>
    <xf numFmtId="168" fontId="42" fillId="0" borderId="13" applyAlignment="1" pivotButton="0" quotePrefix="0" xfId="15">
      <alignment horizontal="right" vertical="bottom"/>
    </xf>
    <xf numFmtId="168" fontId="42" fillId="0" borderId="46" applyAlignment="1" pivotButton="0" quotePrefix="0" xfId="15">
      <alignment horizontal="right" vertical="bottom"/>
    </xf>
    <xf numFmtId="169" fontId="38" fillId="0" borderId="1" applyAlignment="1" pivotButton="0" quotePrefix="0" xfId="15">
      <alignment horizontal="right" vertical="bottom"/>
    </xf>
    <xf numFmtId="0" fontId="38" fillId="0" borderId="0" applyAlignment="1" pivotButton="0" quotePrefix="0" xfId="0">
      <alignment horizontal="center" vertical="top"/>
    </xf>
    <xf numFmtId="168" fontId="38" fillId="0" borderId="16" applyAlignment="1" pivotButton="0" quotePrefix="0" xfId="15">
      <alignment horizontal="center" vertical="top"/>
    </xf>
    <xf numFmtId="168" fontId="46" fillId="0" borderId="16" applyAlignment="1" pivotButton="0" quotePrefix="0" xfId="15">
      <alignment horizontal="center" vertical="top"/>
    </xf>
    <xf numFmtId="168" fontId="38" fillId="0" borderId="46" applyAlignment="1" pivotButton="0" quotePrefix="0" xfId="15">
      <alignment horizontal="right" vertical="bottom" wrapText="1"/>
    </xf>
    <xf numFmtId="168" fontId="38" fillId="0" borderId="13" applyAlignment="1" pivotButton="0" quotePrefix="0" xfId="15">
      <alignment horizontal="right" vertical="bottom" wrapText="1"/>
    </xf>
    <xf numFmtId="168" fontId="38" fillId="0" borderId="13" applyAlignment="1" pivotButton="0" quotePrefix="0" xfId="15">
      <alignment horizontal="right" vertical="bottom"/>
    </xf>
    <xf numFmtId="168" fontId="44" fillId="0" borderId="13" applyAlignment="1" pivotButton="0" quotePrefix="0" xfId="15">
      <alignment horizontal="general" vertical="bottom"/>
    </xf>
    <xf numFmtId="0" fontId="38" fillId="0" borderId="45" applyAlignment="1" pivotButton="0" quotePrefix="0" xfId="0">
      <alignment horizontal="right" vertical="bottom"/>
    </xf>
    <xf numFmtId="169" fontId="38" fillId="0" borderId="46" applyAlignment="1" pivotButton="0" quotePrefix="0" xfId="15">
      <alignment horizontal="general" vertical="bottom"/>
    </xf>
    <xf numFmtId="169" fontId="42" fillId="0" borderId="13" applyAlignment="1" pivotButton="0" quotePrefix="0" xfId="15">
      <alignment horizontal="general" vertical="bottom"/>
    </xf>
    <xf numFmtId="169" fontId="38" fillId="0" borderId="13" applyAlignment="1" pivotButton="0" quotePrefix="0" xfId="15">
      <alignment horizontal="general" vertical="bottom"/>
    </xf>
    <xf numFmtId="169" fontId="38" fillId="0" borderId="45" applyAlignment="1" pivotButton="0" quotePrefix="0" xfId="15">
      <alignment horizontal="general" vertical="bottom"/>
    </xf>
    <xf numFmtId="169" fontId="42" fillId="0" borderId="17" applyAlignment="1" pivotButton="0" quotePrefix="0" xfId="15">
      <alignment horizontal="general" vertical="bottom"/>
    </xf>
    <xf numFmtId="169" fontId="38" fillId="0" borderId="17" applyAlignment="1" pivotButton="0" quotePrefix="0" xfId="15">
      <alignment horizontal="general" vertical="bottom"/>
    </xf>
    <xf numFmtId="169" fontId="38" fillId="0" borderId="42" applyAlignment="1" pivotButton="0" quotePrefix="0" xfId="15">
      <alignment horizontal="right" vertical="bottom"/>
    </xf>
    <xf numFmtId="165" fontId="42" fillId="0" borderId="9" applyAlignment="1" pivotButton="0" quotePrefix="0" xfId="15">
      <alignment horizontal="right" vertical="bottom"/>
    </xf>
    <xf numFmtId="165" fontId="38" fillId="0" borderId="46" applyAlignment="1" pivotButton="0" quotePrefix="0" xfId="15">
      <alignment horizontal="right" vertical="bottom"/>
    </xf>
    <xf numFmtId="165" fontId="42" fillId="0" borderId="46" applyAlignment="1" pivotButton="0" quotePrefix="0" xfId="15">
      <alignment horizontal="right" vertical="bottom"/>
    </xf>
    <xf numFmtId="165" fontId="42" fillId="0" borderId="45" applyAlignment="1" pivotButton="0" quotePrefix="0" xfId="15">
      <alignment horizontal="right" vertical="bottom"/>
    </xf>
    <xf numFmtId="165" fontId="38" fillId="0" borderId="45" applyAlignment="1" pivotButton="0" quotePrefix="0" xfId="15">
      <alignment horizontal="right" vertical="bottom"/>
    </xf>
    <xf numFmtId="165" fontId="38" fillId="0" borderId="1" applyAlignment="1" pivotButton="0" quotePrefix="0" xfId="15">
      <alignment horizontal="right" vertical="bottom"/>
    </xf>
    <xf numFmtId="0" fontId="44" fillId="0" borderId="10" applyAlignment="1" pivotButton="0" quotePrefix="0" xfId="115">
      <alignment horizontal="general" vertical="bottom"/>
    </xf>
    <xf numFmtId="168" fontId="38" fillId="0" borderId="10" applyAlignment="1" pivotButton="0" quotePrefix="0" xfId="15">
      <alignment horizontal="general" vertical="bottom"/>
    </xf>
    <xf numFmtId="0" fontId="44" fillId="0" borderId="39" applyAlignment="1" pivotButton="0" quotePrefix="0" xfId="115">
      <alignment horizontal="general" vertical="bottom"/>
    </xf>
    <xf numFmtId="168" fontId="38" fillId="0" borderId="39" applyAlignment="1" pivotButton="0" quotePrefix="0" xfId="15">
      <alignment horizontal="general" vertical="bottom"/>
    </xf>
    <xf numFmtId="167" fontId="42" fillId="0" borderId="10" applyAlignment="1" pivotButton="0" quotePrefix="0" xfId="115">
      <alignment horizontal="right" vertical="bottom"/>
    </xf>
    <xf numFmtId="168" fontId="42" fillId="0" borderId="10" applyAlignment="1" pivotButton="0" quotePrefix="0" xfId="15">
      <alignment horizontal="right" vertical="bottom"/>
    </xf>
    <xf numFmtId="168" fontId="42" fillId="0" borderId="10" applyAlignment="1" pivotButton="0" quotePrefix="0" xfId="15">
      <alignment horizontal="general" vertical="bottom"/>
    </xf>
    <xf numFmtId="0" fontId="42" fillId="0" borderId="0" applyAlignment="1" pivotButton="0" quotePrefix="0" xfId="115">
      <alignment horizontal="right" vertical="bottom"/>
    </xf>
    <xf numFmtId="0" fontId="45" fillId="0" borderId="0" applyAlignment="1" pivotButton="0" quotePrefix="0" xfId="115">
      <alignment horizontal="general" vertical="bottom"/>
    </xf>
    <xf numFmtId="9" fontId="42" fillId="0" borderId="10" applyAlignment="1" pivotButton="0" quotePrefix="0" xfId="115">
      <alignment horizontal="general" vertical="bottom"/>
    </xf>
    <xf numFmtId="168" fontId="47" fillId="0" borderId="0" applyAlignment="1" pivotButton="0" quotePrefix="0" xfId="15">
      <alignment horizontal="center" vertical="bottom"/>
    </xf>
    <xf numFmtId="168" fontId="47" fillId="0" borderId="0" applyAlignment="1" pivotButton="0" quotePrefix="0" xfId="15">
      <alignment horizontal="general" vertical="bottom"/>
    </xf>
    <xf numFmtId="0" fontId="6" fillId="0" borderId="10" applyAlignment="1" pivotButton="0" quotePrefix="0" xfId="0">
      <alignment horizontal="general" vertical="bottom"/>
    </xf>
    <xf numFmtId="9" fontId="40" fillId="0" borderId="0" applyAlignment="1" pivotButton="0" quotePrefix="0" xfId="115">
      <alignment horizontal="general" vertical="bottom"/>
    </xf>
    <xf numFmtId="0" fontId="42" fillId="0" borderId="10" applyAlignment="1" pivotButton="0" quotePrefix="0" xfId="115">
      <alignment horizontal="general" vertical="bottom"/>
    </xf>
    <xf numFmtId="0" fontId="42" fillId="0" borderId="10" applyAlignment="1" pivotButton="0" quotePrefix="0" xfId="0">
      <alignment horizontal="left" vertical="bottom" indent="1"/>
    </xf>
    <xf numFmtId="168" fontId="6" fillId="0" borderId="10" applyAlignment="1" pivotButton="0" quotePrefix="0" xfId="15">
      <alignment horizontal="general" vertical="bottom"/>
    </xf>
    <xf numFmtId="0" fontId="42" fillId="0" borderId="10" applyAlignment="1" pivotButton="0" quotePrefix="0" xfId="115">
      <alignment horizontal="general" vertical="bottom" wrapText="1"/>
    </xf>
    <xf numFmtId="168" fontId="6" fillId="0" borderId="0" applyAlignment="1" pivotButton="0" quotePrefix="0" xfId="15">
      <alignment horizontal="general" vertical="bottom"/>
    </xf>
    <xf numFmtId="167" fontId="42" fillId="0" borderId="1" applyAlignment="1" pivotButton="0" quotePrefix="0" xfId="115">
      <alignment horizontal="right" vertical="bottom"/>
    </xf>
    <xf numFmtId="168" fontId="42" fillId="0" borderId="1" applyAlignment="1" pivotButton="0" quotePrefix="0" xfId="15">
      <alignment horizontal="right" vertical="bottom"/>
    </xf>
    <xf numFmtId="168" fontId="42" fillId="0" borderId="1" applyAlignment="1" pivotButton="0" quotePrefix="0" xfId="15">
      <alignment horizontal="general" vertical="bottom"/>
    </xf>
    <xf numFmtId="168" fontId="38" fillId="0" borderId="1" applyAlignment="1" pivotButton="0" quotePrefix="0" xfId="15">
      <alignment horizontal="general" vertical="bottom"/>
    </xf>
    <xf numFmtId="168" fontId="38" fillId="0" borderId="42" applyAlignment="1" pivotButton="0" quotePrefix="0" xfId="15">
      <alignment horizontal="general" vertical="bottom"/>
    </xf>
    <xf numFmtId="9" fontId="38" fillId="0" borderId="0" applyAlignment="1" pivotButton="0" quotePrefix="0" xfId="19">
      <alignment horizontal="general" vertical="bottom"/>
    </xf>
    <xf numFmtId="0" fontId="6" fillId="0" borderId="0" applyAlignment="1" pivotButton="0" quotePrefix="0" xfId="113">
      <alignment horizontal="general" vertical="bottom"/>
    </xf>
    <xf numFmtId="0" fontId="6" fillId="0" borderId="0" applyAlignment="1" pivotButton="0" quotePrefix="0" xfId="113">
      <alignment horizontal="center" vertical="bottom"/>
    </xf>
    <xf numFmtId="0" fontId="48" fillId="0" borderId="0" applyAlignment="1" pivotButton="0" quotePrefix="0" xfId="113">
      <alignment horizontal="general" vertical="bottom"/>
    </xf>
    <xf numFmtId="0" fontId="42" fillId="0" borderId="0" applyAlignment="1" pivotButton="0" quotePrefix="0" xfId="113">
      <alignment horizontal="center" vertical="bottom"/>
    </xf>
    <xf numFmtId="0" fontId="45" fillId="0" borderId="0" applyAlignment="1" pivotButton="0" quotePrefix="0" xfId="113">
      <alignment horizontal="center" vertical="bottom"/>
    </xf>
    <xf numFmtId="0" fontId="45" fillId="0" borderId="0" applyAlignment="1" pivotButton="0" quotePrefix="0" xfId="113">
      <alignment horizontal="general" vertical="bottom"/>
    </xf>
    <xf numFmtId="0" fontId="39" fillId="0" borderId="0" applyAlignment="1" pivotButton="0" quotePrefix="0" xfId="113">
      <alignment horizontal="general" vertical="bottom"/>
    </xf>
    <xf numFmtId="0" fontId="6" fillId="0" borderId="0" applyAlignment="1" pivotButton="0" quotePrefix="0" xfId="113">
      <alignment horizontal="center" vertical="bottom"/>
    </xf>
    <xf numFmtId="0" fontId="38" fillId="0" borderId="0" applyAlignment="1" pivotButton="0" quotePrefix="0" xfId="113">
      <alignment horizontal="general" vertical="bottom"/>
    </xf>
    <xf numFmtId="170" fontId="38" fillId="0" borderId="0" applyAlignment="1" pivotButton="0" quotePrefix="0" xfId="113">
      <alignment horizontal="left" vertical="bottom"/>
    </xf>
    <xf numFmtId="0" fontId="6" fillId="0" borderId="0" applyAlignment="1" pivotButton="0" quotePrefix="0" xfId="113">
      <alignment horizontal="general" vertical="bottom" wrapText="1"/>
    </xf>
    <xf numFmtId="0" fontId="39" fillId="0" borderId="39" applyAlignment="1" pivotButton="0" quotePrefix="0" xfId="113">
      <alignment horizontal="general" vertical="bottom" wrapText="1"/>
    </xf>
    <xf numFmtId="0" fontId="39" fillId="0" borderId="47" applyAlignment="1" pivotButton="0" quotePrefix="0" xfId="113">
      <alignment horizontal="general" vertical="bottom"/>
    </xf>
    <xf numFmtId="0" fontId="39" fillId="0" borderId="2" applyAlignment="1" pivotButton="0" quotePrefix="0" xfId="113">
      <alignment horizontal="general" vertical="bottom"/>
    </xf>
    <xf numFmtId="0" fontId="6" fillId="0" borderId="2" applyAlignment="1" pivotButton="0" quotePrefix="0" xfId="113">
      <alignment horizontal="general" vertical="bottom"/>
    </xf>
    <xf numFmtId="0" fontId="39" fillId="0" borderId="39" applyAlignment="1" pivotButton="0" quotePrefix="0" xfId="113">
      <alignment horizontal="center" vertical="bottom" wrapText="1"/>
    </xf>
    <xf numFmtId="0" fontId="39" fillId="0" borderId="18" applyAlignment="1" pivotButton="0" quotePrefix="0" xfId="113">
      <alignment horizontal="general" vertical="bottom"/>
    </xf>
    <xf numFmtId="0" fontId="41" fillId="0" borderId="10" applyAlignment="1" pivotButton="0" quotePrefix="0" xfId="113">
      <alignment horizontal="general" vertical="bottom"/>
    </xf>
    <xf numFmtId="0" fontId="6" fillId="0" borderId="18" applyAlignment="1" pivotButton="0" quotePrefix="0" xfId="113">
      <alignment horizontal="center" vertical="bottom"/>
    </xf>
    <xf numFmtId="0" fontId="6" fillId="0" borderId="18" applyAlignment="1" pivotButton="0" quotePrefix="0" xfId="113">
      <alignment horizontal="general" vertical="bottom"/>
    </xf>
    <xf numFmtId="0" fontId="6" fillId="0" borderId="10" applyAlignment="1" pivotButton="0" quotePrefix="0" xfId="113">
      <alignment horizontal="general" vertical="bottom"/>
    </xf>
    <xf numFmtId="1" fontId="6" fillId="0" borderId="10" applyAlignment="1" pivotButton="0" quotePrefix="0" xfId="113">
      <alignment horizontal="general" vertical="bottom"/>
    </xf>
    <xf numFmtId="0" fontId="6" fillId="0" borderId="10" applyAlignment="1" pivotButton="0" quotePrefix="0" xfId="113">
      <alignment horizontal="center" vertical="bottom" wrapText="1"/>
    </xf>
    <xf numFmtId="0" fontId="6" fillId="0" borderId="0" applyAlignment="1" pivotButton="0" quotePrefix="0" xfId="113">
      <alignment horizontal="general" vertical="bottom"/>
    </xf>
    <xf numFmtId="0" fontId="6" fillId="0" borderId="0" applyAlignment="1" pivotButton="0" quotePrefix="0" xfId="113">
      <alignment horizontal="center" vertical="bottom" wrapText="1"/>
    </xf>
    <xf numFmtId="0" fontId="41" fillId="0" borderId="0" applyAlignment="1" pivotButton="0" quotePrefix="0" xfId="113">
      <alignment horizontal="general" vertical="bottom"/>
    </xf>
    <xf numFmtId="0" fontId="40" fillId="0" borderId="0" applyAlignment="1" pivotButton="0" quotePrefix="0" xfId="113">
      <alignment horizontal="general" vertical="bottom"/>
    </xf>
    <xf numFmtId="0" fontId="46" fillId="0" borderId="0" applyAlignment="1" pivotButton="0" quotePrefix="0" xfId="113">
      <alignment horizontal="general" vertical="bottom"/>
    </xf>
    <xf numFmtId="0" fontId="41" fillId="0" borderId="0" applyAlignment="1" pivotButton="0" quotePrefix="0" xfId="113">
      <alignment horizontal="general" vertical="bottom" readingOrder="1"/>
    </xf>
    <xf numFmtId="0" fontId="49" fillId="0" borderId="0" applyAlignment="1" pivotButton="0" quotePrefix="0" xfId="113">
      <alignment horizontal="general" vertical="bottom"/>
    </xf>
    <xf numFmtId="0" fontId="6" fillId="0" borderId="0" applyAlignment="1" pivotButton="0" quotePrefix="0" xfId="113">
      <alignment horizontal="general" vertical="bottom"/>
    </xf>
    <xf numFmtId="0" fontId="38" fillId="0" borderId="0" applyAlignment="1" pivotButton="0" quotePrefix="0" xfId="113">
      <alignment horizontal="general" vertical="bottom"/>
    </xf>
    <xf numFmtId="0" fontId="6" fillId="10" borderId="10" applyAlignment="1" pivotButton="0" quotePrefix="0" xfId="113">
      <alignment horizontal="general" vertical="bottom"/>
    </xf>
    <xf numFmtId="0" fontId="6" fillId="10" borderId="47" applyAlignment="1" pivotButton="0" quotePrefix="0" xfId="113">
      <alignment horizontal="general" vertical="bottom"/>
    </xf>
    <xf numFmtId="171" fontId="6" fillId="0" borderId="10" applyAlignment="1" pivotButton="0" quotePrefix="0" xfId="17">
      <alignment horizontal="general" vertical="bottom"/>
    </xf>
    <xf numFmtId="0" fontId="38" fillId="0" borderId="10" applyAlignment="1" pivotButton="0" quotePrefix="0" xfId="113">
      <alignment horizontal="general" vertical="bottom"/>
    </xf>
    <xf numFmtId="171" fontId="38" fillId="0" borderId="10" applyAlignment="1" pivotButton="0" quotePrefix="0" xfId="17">
      <alignment horizontal="general" vertical="bottom"/>
    </xf>
    <xf numFmtId="171" fontId="6" fillId="0" borderId="0" applyAlignment="1" pivotButton="0" quotePrefix="0" xfId="113">
      <alignment horizontal="general" vertical="bottom"/>
    </xf>
    <xf numFmtId="1" fontId="6" fillId="0" borderId="0" applyAlignment="1" pivotButton="0" quotePrefix="0" xfId="112">
      <alignment horizontal="general" vertical="bottom"/>
    </xf>
    <xf numFmtId="1" fontId="38" fillId="0" borderId="0" applyAlignment="1" pivotButton="0" quotePrefix="0" xfId="112">
      <alignment horizontal="general" vertical="bottom"/>
    </xf>
    <xf numFmtId="1" fontId="50" fillId="0" borderId="0" applyAlignment="1" pivotButton="0" quotePrefix="0" xfId="0">
      <alignment horizontal="left" vertical="bottom"/>
    </xf>
    <xf numFmtId="1" fontId="6" fillId="0" borderId="0" applyAlignment="1" pivotButton="0" quotePrefix="0" xfId="112">
      <alignment horizontal="general" vertical="bottom"/>
    </xf>
    <xf numFmtId="1" fontId="51" fillId="0" borderId="0" applyAlignment="1" pivotButton="0" quotePrefix="0" xfId="112">
      <alignment horizontal="general" vertical="bottom"/>
    </xf>
    <xf numFmtId="0" fontId="6" fillId="0" borderId="6" applyAlignment="1" pivotButton="0" quotePrefix="0" xfId="0">
      <alignment horizontal="general" vertical="bottom"/>
    </xf>
    <xf numFmtId="1" fontId="6" fillId="0" borderId="7" applyAlignment="1" pivotButton="0" quotePrefix="0" xfId="112">
      <alignment horizontal="general" vertical="bottom"/>
    </xf>
    <xf numFmtId="1" fontId="6" fillId="0" borderId="8" applyAlignment="1" pivotButton="0" quotePrefix="0" xfId="112">
      <alignment horizontal="general" vertical="bottom"/>
    </xf>
    <xf numFmtId="1" fontId="6" fillId="0" borderId="0" applyAlignment="1" pivotButton="0" quotePrefix="0" xfId="112">
      <alignment horizontal="center" vertical="bottom"/>
    </xf>
    <xf numFmtId="1" fontId="38" fillId="0" borderId="0" applyAlignment="1" pivotButton="0" quotePrefix="0" xfId="0">
      <alignment horizontal="center" vertical="bottom" wrapText="1"/>
    </xf>
    <xf numFmtId="1" fontId="38" fillId="0" borderId="15" applyAlignment="1" pivotButton="0" quotePrefix="0" xfId="112">
      <alignment horizontal="center" vertical="bottom"/>
    </xf>
    <xf numFmtId="1" fontId="38" fillId="0" borderId="16" applyAlignment="1" pivotButton="0" quotePrefix="0" xfId="112">
      <alignment horizontal="center" vertical="bottom"/>
    </xf>
    <xf numFmtId="1" fontId="38" fillId="0" borderId="17" applyAlignment="1" pivotButton="0" quotePrefix="0" xfId="112">
      <alignment horizontal="center" vertical="bottom"/>
    </xf>
    <xf numFmtId="1" fontId="38" fillId="0" borderId="6" applyAlignment="1" pivotButton="0" quotePrefix="0" xfId="112">
      <alignment horizontal="general" vertical="bottom"/>
    </xf>
    <xf numFmtId="1" fontId="38" fillId="0" borderId="8" applyAlignment="1" pivotButton="0" quotePrefix="0" xfId="112">
      <alignment horizontal="general" vertical="bottom"/>
    </xf>
    <xf numFmtId="1" fontId="38" fillId="0" borderId="9" applyAlignment="1" pivotButton="0" quotePrefix="0" xfId="112">
      <alignment horizontal="general" vertical="bottom"/>
    </xf>
    <xf numFmtId="0" fontId="38" fillId="0" borderId="10" applyAlignment="1" pivotButton="0" quotePrefix="0" xfId="112">
      <alignment horizontal="general" vertical="bottom"/>
    </xf>
    <xf numFmtId="1" fontId="6" fillId="0" borderId="10" applyAlignment="1" pivotButton="0" quotePrefix="0" xfId="17">
      <alignment horizontal="general" vertical="bottom"/>
    </xf>
    <xf numFmtId="1" fontId="38" fillId="0" borderId="11" applyAlignment="1" pivotButton="0" quotePrefix="0" xfId="17">
      <alignment horizontal="general" vertical="bottom"/>
    </xf>
    <xf numFmtId="0" fontId="6" fillId="0" borderId="10" applyAlignment="1" pivotButton="0" quotePrefix="0" xfId="112">
      <alignment horizontal="general" vertical="bottom"/>
    </xf>
    <xf numFmtId="168" fontId="38" fillId="0" borderId="11" applyAlignment="1" pivotButton="0" quotePrefix="0" xfId="15">
      <alignment horizontal="general" vertical="bottom"/>
    </xf>
    <xf numFmtId="10" fontId="6" fillId="0" borderId="0" applyAlignment="1" pivotButton="0" quotePrefix="0" xfId="19">
      <alignment horizontal="general" vertical="bottom"/>
    </xf>
    <xf numFmtId="1" fontId="6" fillId="0" borderId="9" applyAlignment="1" pivotButton="0" quotePrefix="0" xfId="112">
      <alignment horizontal="general" vertical="bottom"/>
    </xf>
    <xf numFmtId="1" fontId="6" fillId="0" borderId="10" applyAlignment="1" pivotButton="0" quotePrefix="0" xfId="112">
      <alignment horizontal="general" vertical="bottom"/>
    </xf>
    <xf numFmtId="1" fontId="38" fillId="0" borderId="15" applyAlignment="1" pivotButton="0" quotePrefix="0" xfId="112">
      <alignment horizontal="general" vertical="bottom"/>
    </xf>
    <xf numFmtId="1" fontId="6" fillId="0" borderId="48" applyAlignment="1" pivotButton="0" quotePrefix="0" xfId="112">
      <alignment horizontal="general" vertical="bottom"/>
    </xf>
    <xf numFmtId="168" fontId="38" fillId="0" borderId="48" applyAlignment="1" pivotButton="0" quotePrefix="0" xfId="15">
      <alignment horizontal="general" vertical="bottom"/>
    </xf>
    <xf numFmtId="168" fontId="38" fillId="0" borderId="19" applyAlignment="1" pivotButton="0" quotePrefix="0" xfId="15">
      <alignment horizontal="general" vertical="bottom"/>
    </xf>
    <xf numFmtId="9" fontId="6" fillId="0" borderId="0" applyAlignment="1" pivotButton="0" quotePrefix="0" xfId="19">
      <alignment horizontal="general" vertical="bottom"/>
    </xf>
    <xf numFmtId="1" fontId="6" fillId="0" borderId="0" applyAlignment="1" pivotButton="0" quotePrefix="0" xfId="0">
      <alignment horizontal="general" vertical="bottom"/>
    </xf>
    <xf numFmtId="1" fontId="6" fillId="0" borderId="0" applyAlignment="1" pivotButton="0" quotePrefix="0" xfId="0">
      <alignment horizontal="general" vertical="bottom"/>
    </xf>
    <xf numFmtId="1" fontId="38" fillId="0" borderId="0" applyAlignment="1" pivotButton="0" quotePrefix="0" xfId="0">
      <alignment horizontal="general" vertical="bottom"/>
    </xf>
    <xf numFmtId="1" fontId="6" fillId="0" borderId="0" applyAlignment="1" pivotButton="0" quotePrefix="0" xfId="0">
      <alignment horizontal="center" vertical="bottom"/>
    </xf>
    <xf numFmtId="1" fontId="38" fillId="0" borderId="0" applyAlignment="1" pivotButton="0" quotePrefix="0" xfId="0">
      <alignment horizontal="center" vertical="bottom"/>
    </xf>
    <xf numFmtId="1" fontId="38" fillId="0" borderId="6" applyAlignment="1" pivotButton="0" quotePrefix="0" xfId="0">
      <alignment horizontal="general" vertical="bottom"/>
    </xf>
    <xf numFmtId="1" fontId="6" fillId="0" borderId="7" applyAlignment="1" pivotButton="0" quotePrefix="0" xfId="0">
      <alignment horizontal="general" vertical="bottom"/>
    </xf>
    <xf numFmtId="1" fontId="6" fillId="0" borderId="8" applyAlignment="1" pivotButton="0" quotePrefix="0" xfId="0">
      <alignment horizontal="general" vertical="bottom"/>
    </xf>
    <xf numFmtId="1" fontId="38" fillId="0" borderId="9" applyAlignment="1" pivotButton="0" quotePrefix="0" xfId="0">
      <alignment horizontal="general" vertical="bottom"/>
    </xf>
    <xf numFmtId="1" fontId="6" fillId="0" borderId="10" applyAlignment="1" pivotButton="0" quotePrefix="0" xfId="0">
      <alignment horizontal="general" vertical="bottom"/>
    </xf>
    <xf numFmtId="168" fontId="38" fillId="6" borderId="11" applyAlignment="1" pivotButton="0" quotePrefix="0" xfId="15">
      <alignment horizontal="general" vertical="bottom"/>
    </xf>
    <xf numFmtId="1" fontId="6" fillId="0" borderId="12" applyAlignment="1" pivotButton="0" quotePrefix="0" xfId="0">
      <alignment horizontal="general" vertical="bottom"/>
    </xf>
    <xf numFmtId="168" fontId="6" fillId="6" borderId="25" applyAlignment="1" pivotButton="0" quotePrefix="0" xfId="15">
      <alignment horizontal="general" vertical="bottom"/>
    </xf>
    <xf numFmtId="168" fontId="6" fillId="0" borderId="25" applyAlignment="1" pivotButton="0" quotePrefix="0" xfId="15">
      <alignment horizontal="general" vertical="bottom"/>
    </xf>
    <xf numFmtId="1" fontId="6" fillId="0" borderId="18" applyAlignment="1" pivotButton="0" quotePrefix="0" xfId="0">
      <alignment horizontal="general" vertical="bottom"/>
    </xf>
    <xf numFmtId="168" fontId="6" fillId="0" borderId="11" applyAlignment="1" pivotButton="0" quotePrefix="0" xfId="15">
      <alignment horizontal="general" vertical="bottom"/>
    </xf>
    <xf numFmtId="1" fontId="6" fillId="0" borderId="9" applyAlignment="1" pivotButton="0" quotePrefix="0" xfId="0">
      <alignment horizontal="general" vertical="bottom"/>
    </xf>
    <xf numFmtId="1" fontId="6" fillId="0" borderId="37" applyAlignment="1" pivotButton="0" quotePrefix="0" xfId="0">
      <alignment horizontal="general" vertical="bottom"/>
    </xf>
    <xf numFmtId="1" fontId="6" fillId="0" borderId="39" applyAlignment="1" pivotButton="0" quotePrefix="0" xfId="0">
      <alignment horizontal="general" vertical="bottom"/>
    </xf>
    <xf numFmtId="1" fontId="6" fillId="0" borderId="39" applyAlignment="1" pivotButton="0" quotePrefix="0" xfId="17">
      <alignment horizontal="general" vertical="bottom"/>
    </xf>
    <xf numFmtId="168" fontId="6" fillId="0" borderId="39" applyAlignment="1" pivotButton="0" quotePrefix="0" xfId="15">
      <alignment horizontal="general" vertical="bottom"/>
    </xf>
    <xf numFmtId="168" fontId="38" fillId="0" borderId="40" applyAlignment="1" pivotButton="0" quotePrefix="0" xfId="15">
      <alignment horizontal="general" vertical="bottom"/>
    </xf>
    <xf numFmtId="1" fontId="38" fillId="0" borderId="15" applyAlignment="1" pivotButton="0" quotePrefix="0" xfId="0">
      <alignment horizontal="general" vertical="bottom"/>
    </xf>
    <xf numFmtId="1" fontId="6" fillId="0" borderId="48" applyAlignment="1" pivotButton="0" quotePrefix="0" xfId="0">
      <alignment horizontal="general" vertical="bottom"/>
    </xf>
    <xf numFmtId="1" fontId="38" fillId="0" borderId="48" applyAlignment="1" pivotButton="0" quotePrefix="0" xfId="17">
      <alignment horizontal="general" vertical="bottom"/>
    </xf>
    <xf numFmtId="0" fontId="6" fillId="0" borderId="0" applyAlignment="1" pivotButton="0" quotePrefix="0" xfId="119">
      <alignment horizontal="general" vertical="bottom"/>
    </xf>
    <xf numFmtId="0" fontId="6" fillId="0" borderId="0" applyAlignment="1" pivotButton="0" quotePrefix="0" xfId="119">
      <alignment horizontal="center" vertical="bottom"/>
    </xf>
    <xf numFmtId="0" fontId="6" fillId="0" borderId="0" applyAlignment="1" pivotButton="0" quotePrefix="0" xfId="119">
      <alignment horizontal="general" vertical="bottom"/>
    </xf>
    <xf numFmtId="0" fontId="38" fillId="3" borderId="41" applyAlignment="1" pivotButton="0" quotePrefix="0" xfId="119">
      <alignment horizontal="general" vertical="bottom" wrapText="1"/>
    </xf>
    <xf numFmtId="0" fontId="38" fillId="3" borderId="49" applyAlignment="1" pivotButton="0" quotePrefix="0" xfId="119">
      <alignment horizontal="general" vertical="bottom" wrapText="1"/>
    </xf>
    <xf numFmtId="0" fontId="38" fillId="3" borderId="49" applyAlignment="1" pivotButton="0" quotePrefix="0" xfId="119">
      <alignment horizontal="center" vertical="bottom" wrapText="1"/>
    </xf>
    <xf numFmtId="0" fontId="38" fillId="3" borderId="49" applyAlignment="1" pivotButton="0" quotePrefix="0" xfId="119">
      <alignment horizontal="center" vertical="bottom"/>
    </xf>
    <xf numFmtId="0" fontId="38" fillId="3" borderId="50" applyAlignment="1" pivotButton="0" quotePrefix="0" xfId="119">
      <alignment horizontal="center" vertical="bottom"/>
    </xf>
    <xf numFmtId="0" fontId="38" fillId="0" borderId="0" applyAlignment="1" pivotButton="0" quotePrefix="0" xfId="119">
      <alignment horizontal="general" vertical="bottom"/>
    </xf>
    <xf numFmtId="0" fontId="6" fillId="0" borderId="38" applyAlignment="1" pivotButton="0" quotePrefix="0" xfId="119">
      <alignment horizontal="general" vertical="bottom"/>
    </xf>
    <xf numFmtId="0" fontId="6" fillId="0" borderId="39" applyAlignment="1" pivotButton="0" quotePrefix="0" xfId="119">
      <alignment horizontal="general" vertical="bottom"/>
    </xf>
    <xf numFmtId="0" fontId="38" fillId="0" borderId="39" applyAlignment="1" pivotButton="0" quotePrefix="0" xfId="119">
      <alignment horizontal="general" vertical="bottom"/>
    </xf>
    <xf numFmtId="0" fontId="6" fillId="0" borderId="39" applyAlignment="1" pivotButton="0" quotePrefix="0" xfId="119">
      <alignment horizontal="center" vertical="bottom"/>
    </xf>
    <xf numFmtId="172" fontId="6" fillId="0" borderId="39" applyAlignment="1" pivotButton="0" quotePrefix="0" xfId="72">
      <alignment horizontal="general" vertical="bottom"/>
    </xf>
    <xf numFmtId="172" fontId="6" fillId="0" borderId="40" applyAlignment="1" pivotButton="0" quotePrefix="0" xfId="72">
      <alignment horizontal="general" vertical="bottom"/>
    </xf>
    <xf numFmtId="0" fontId="6" fillId="0" borderId="37" applyAlignment="1" pivotButton="0" quotePrefix="0" xfId="119">
      <alignment horizontal="general" vertical="bottom"/>
    </xf>
    <xf numFmtId="0" fontId="6" fillId="0" borderId="12" applyAlignment="1" pivotButton="0" quotePrefix="0" xfId="119">
      <alignment horizontal="general" vertical="bottom"/>
    </xf>
    <xf numFmtId="0" fontId="6" fillId="0" borderId="12" applyAlignment="1" pivotButton="0" quotePrefix="0" xfId="119">
      <alignment horizontal="center" vertical="bottom"/>
    </xf>
    <xf numFmtId="172" fontId="6" fillId="0" borderId="12" applyAlignment="1" pivotButton="0" quotePrefix="0" xfId="72">
      <alignment horizontal="general" vertical="bottom"/>
    </xf>
    <xf numFmtId="168" fontId="6" fillId="0" borderId="12" applyAlignment="1" pivotButton="0" quotePrefix="0" xfId="15">
      <alignment horizontal="general" vertical="bottom"/>
    </xf>
    <xf numFmtId="172" fontId="6" fillId="0" borderId="25" applyAlignment="1" pivotButton="0" quotePrefix="0" xfId="72">
      <alignment horizontal="general" vertical="bottom"/>
    </xf>
    <xf numFmtId="0" fontId="38" fillId="0" borderId="51" applyAlignment="1" pivotButton="0" quotePrefix="0" xfId="119">
      <alignment horizontal="general" vertical="bottom"/>
    </xf>
    <xf numFmtId="0" fontId="38" fillId="0" borderId="52" applyAlignment="1" pivotButton="0" quotePrefix="0" xfId="119">
      <alignment horizontal="general" vertical="bottom"/>
    </xf>
    <xf numFmtId="0" fontId="38" fillId="0" borderId="52" applyAlignment="1" pivotButton="0" quotePrefix="0" xfId="119">
      <alignment horizontal="center" vertical="bottom"/>
    </xf>
    <xf numFmtId="172" fontId="38" fillId="0" borderId="52" applyAlignment="1" pivotButton="0" quotePrefix="0" xfId="72">
      <alignment horizontal="general" vertical="bottom"/>
    </xf>
    <xf numFmtId="172" fontId="38" fillId="0" borderId="53" applyAlignment="1" pivotButton="0" quotePrefix="0" xfId="72">
      <alignment horizontal="general" vertical="bottom"/>
    </xf>
    <xf numFmtId="0" fontId="6" fillId="0" borderId="25" applyAlignment="1" pivotButton="0" quotePrefix="0" xfId="119">
      <alignment horizontal="general" vertical="bottom"/>
    </xf>
    <xf numFmtId="0" fontId="6" fillId="0" borderId="37" applyAlignment="1" pivotButton="0" quotePrefix="0" xfId="119">
      <alignment horizontal="general" vertical="bottom"/>
    </xf>
    <xf numFmtId="0" fontId="6" fillId="0" borderId="12" applyAlignment="1" pivotButton="0" quotePrefix="0" xfId="119">
      <alignment horizontal="general" vertical="bottom"/>
    </xf>
    <xf numFmtId="0" fontId="6" fillId="0" borderId="12" applyAlignment="1" pivotButton="0" quotePrefix="0" xfId="119">
      <alignment horizontal="center" vertical="bottom"/>
    </xf>
    <xf numFmtId="172" fontId="6" fillId="0" borderId="12" applyAlignment="1" pivotButton="0" quotePrefix="0" xfId="119">
      <alignment horizontal="general" vertical="bottom"/>
    </xf>
    <xf numFmtId="0" fontId="6" fillId="0" borderId="25" applyAlignment="1" pivotButton="0" quotePrefix="0" xfId="119">
      <alignment horizontal="general" vertical="bottom"/>
    </xf>
    <xf numFmtId="0" fontId="42" fillId="0" borderId="0" applyAlignment="1" pivotButton="0" quotePrefix="0" xfId="0">
      <alignment horizontal="general" vertical="bottom"/>
    </xf>
    <xf numFmtId="0" fontId="6" fillId="0" borderId="0" applyAlignment="1" pivotButton="0" quotePrefix="0" xfId="114">
      <alignment horizontal="left" vertical="bottom"/>
    </xf>
    <xf numFmtId="0" fontId="6" fillId="10" borderId="37" applyAlignment="1" pivotButton="0" quotePrefix="0" xfId="119">
      <alignment horizontal="general" vertical="bottom"/>
    </xf>
    <xf numFmtId="0" fontId="6" fillId="10" borderId="12" applyAlignment="1" pivotButton="0" quotePrefix="0" xfId="119">
      <alignment horizontal="general" vertical="bottom"/>
    </xf>
    <xf numFmtId="0" fontId="6" fillId="10" borderId="12" applyAlignment="1" pivotButton="0" quotePrefix="0" xfId="119">
      <alignment horizontal="center" vertical="bottom"/>
    </xf>
    <xf numFmtId="172" fontId="6" fillId="10" borderId="12" applyAlignment="1" pivotButton="0" quotePrefix="0" xfId="72">
      <alignment horizontal="general" vertical="bottom"/>
    </xf>
    <xf numFmtId="172" fontId="6" fillId="10" borderId="25" applyAlignment="1" pivotButton="0" quotePrefix="0" xfId="72">
      <alignment horizontal="general" vertical="bottom"/>
    </xf>
    <xf numFmtId="0" fontId="6" fillId="0" borderId="54" applyAlignment="1" pivotButton="0" quotePrefix="0" xfId="119">
      <alignment horizontal="general" vertical="bottom"/>
    </xf>
    <xf numFmtId="0" fontId="6" fillId="0" borderId="55" applyAlignment="1" pivotButton="0" quotePrefix="0" xfId="119">
      <alignment horizontal="general" vertical="bottom"/>
    </xf>
    <xf numFmtId="0" fontId="6" fillId="0" borderId="55" applyAlignment="1" pivotButton="0" quotePrefix="0" xfId="119">
      <alignment horizontal="center" vertical="bottom"/>
    </xf>
    <xf numFmtId="173" fontId="6" fillId="0" borderId="55" applyAlignment="1" pivotButton="0" quotePrefix="0" xfId="82">
      <alignment horizontal="general" vertical="bottom"/>
    </xf>
    <xf numFmtId="0" fontId="6" fillId="0" borderId="56" applyAlignment="1" pivotButton="0" quotePrefix="0" xfId="119">
      <alignment horizontal="general" vertical="bottom"/>
    </xf>
    <xf numFmtId="0" fontId="1" fillId="0" borderId="0" applyAlignment="1" pivotButton="0" quotePrefix="0" xfId="118">
      <alignment horizontal="general" vertical="top"/>
    </xf>
    <xf numFmtId="0" fontId="1" fillId="0" borderId="0" applyAlignment="1" pivotButton="0" quotePrefix="0" xfId="118">
      <alignment horizontal="general" vertical="bottom" wrapText="1"/>
    </xf>
    <xf numFmtId="0" fontId="1" fillId="0" borderId="0" applyAlignment="1" pivotButton="0" quotePrefix="0" xfId="118">
      <alignment horizontal="general" vertical="bottom"/>
    </xf>
    <xf numFmtId="0" fontId="15" fillId="0" borderId="0" applyAlignment="1" pivotButton="0" quotePrefix="0" xfId="118">
      <alignment horizontal="general" vertical="top"/>
    </xf>
    <xf numFmtId="0" fontId="1" fillId="0" borderId="0" applyAlignment="1" pivotButton="0" quotePrefix="0" xfId="118">
      <alignment horizontal="general" vertical="top"/>
    </xf>
    <xf numFmtId="0" fontId="52" fillId="0" borderId="10" applyAlignment="1" pivotButton="0" quotePrefix="0" xfId="22">
      <alignment horizontal="general" vertical="bottom"/>
    </xf>
    <xf numFmtId="0" fontId="1" fillId="0" borderId="0" applyAlignment="1" pivotButton="0" quotePrefix="0" xfId="22">
      <alignment horizontal="general" vertical="bottom"/>
    </xf>
    <xf numFmtId="0" fontId="53" fillId="0" borderId="57" applyAlignment="1" pivotButton="0" quotePrefix="0" xfId="22">
      <alignment horizontal="general" vertical="bottom"/>
    </xf>
    <xf numFmtId="0" fontId="53" fillId="0" borderId="58" applyAlignment="1" pivotButton="0" quotePrefix="0" xfId="22">
      <alignment horizontal="right" vertical="bottom"/>
    </xf>
    <xf numFmtId="0" fontId="53" fillId="0" borderId="59" applyAlignment="1" pivotButton="0" quotePrefix="0" xfId="22">
      <alignment horizontal="right" vertical="bottom" wrapText="1"/>
    </xf>
    <xf numFmtId="0" fontId="54" fillId="0" borderId="9" applyAlignment="1" pivotButton="0" quotePrefix="0" xfId="22">
      <alignment horizontal="left" vertical="bottom"/>
    </xf>
    <xf numFmtId="3" fontId="54" fillId="0" borderId="39" applyAlignment="1" pivotButton="0" quotePrefix="0" xfId="22">
      <alignment horizontal="right" vertical="bottom"/>
    </xf>
    <xf numFmtId="3" fontId="54" fillId="0" borderId="0" applyAlignment="1" pivotButton="0" quotePrefix="0" xfId="22">
      <alignment horizontal="right" vertical="bottom"/>
    </xf>
    <xf numFmtId="3" fontId="54" fillId="0" borderId="60" applyAlignment="1" pivotButton="0" quotePrefix="0" xfId="22">
      <alignment horizontal="right" vertical="bottom"/>
    </xf>
    <xf numFmtId="3" fontId="54" fillId="0" borderId="61" applyAlignment="1" pivotButton="0" quotePrefix="0" xfId="22">
      <alignment horizontal="right" vertical="bottom"/>
    </xf>
    <xf numFmtId="3" fontId="54" fillId="0" borderId="13" applyAlignment="1" pivotButton="0" quotePrefix="0" xfId="22">
      <alignment horizontal="right" vertical="bottom"/>
    </xf>
    <xf numFmtId="3" fontId="54" fillId="0" borderId="12" applyAlignment="1" pivotButton="0" quotePrefix="0" xfId="22">
      <alignment horizontal="right" vertical="bottom"/>
    </xf>
    <xf numFmtId="3" fontId="54" fillId="0" borderId="62" applyAlignment="1" pivotButton="0" quotePrefix="0" xfId="22">
      <alignment horizontal="right" vertical="bottom"/>
    </xf>
    <xf numFmtId="3" fontId="54" fillId="0" borderId="63" applyAlignment="1" pivotButton="0" quotePrefix="0" xfId="22">
      <alignment horizontal="right" vertical="bottom"/>
    </xf>
    <xf numFmtId="3" fontId="54" fillId="0" borderId="64" applyAlignment="1" pivotButton="0" quotePrefix="0" xfId="22">
      <alignment horizontal="right" vertical="bottom"/>
    </xf>
    <xf numFmtId="3" fontId="54" fillId="0" borderId="65" applyAlignment="1" pivotButton="0" quotePrefix="0" xfId="22">
      <alignment horizontal="right" vertical="bottom"/>
    </xf>
    <xf numFmtId="0" fontId="55" fillId="0" borderId="66" applyAlignment="1" pivotButton="0" quotePrefix="0" xfId="22">
      <alignment horizontal="left" vertical="bottom"/>
    </xf>
    <xf numFmtId="3" fontId="55" fillId="0" borderId="67" applyAlignment="1" pivotButton="0" quotePrefix="0" xfId="22">
      <alignment horizontal="right" vertical="bottom"/>
    </xf>
    <xf numFmtId="3" fontId="55" fillId="0" borderId="68" applyAlignment="1" pivotButton="0" quotePrefix="0" xfId="22">
      <alignment horizontal="right" vertical="bottom"/>
    </xf>
    <xf numFmtId="3" fontId="55" fillId="0" borderId="69" applyAlignment="1" pivotButton="0" quotePrefix="0" xfId="22">
      <alignment horizontal="right" vertical="bottom"/>
    </xf>
    <xf numFmtId="3" fontId="55" fillId="0" borderId="70" applyAlignment="1" pivotButton="0" quotePrefix="0" xfId="22">
      <alignment horizontal="right" vertical="bottom"/>
    </xf>
    <xf numFmtId="3" fontId="54" fillId="0" borderId="71" applyAlignment="1" pivotButton="0" quotePrefix="0" xfId="22">
      <alignment horizontal="right" vertical="bottom"/>
    </xf>
    <xf numFmtId="0" fontId="1" fillId="0" borderId="0" applyAlignment="1" pivotButton="0" quotePrefix="0" xfId="22">
      <alignment horizontal="general" vertical="bottom"/>
    </xf>
    <xf numFmtId="0" fontId="1" fillId="0" borderId="9" applyAlignment="1" pivotButton="0" quotePrefix="0" xfId="118">
      <alignment horizontal="general" vertical="top"/>
    </xf>
    <xf numFmtId="0" fontId="1" fillId="0" borderId="0" applyAlignment="1" pivotButton="0" quotePrefix="0" xfId="118">
      <alignment horizontal="general" vertical="bottom"/>
    </xf>
    <xf numFmtId="0" fontId="1" fillId="0" borderId="65" applyAlignment="1" pivotButton="0" quotePrefix="0" xfId="118">
      <alignment horizontal="general" vertical="bottom"/>
    </xf>
    <xf numFmtId="0" fontId="38" fillId="0" borderId="0" applyAlignment="1" pivotButton="0" quotePrefix="0" xfId="0">
      <alignment horizontal="general" vertical="bottom"/>
    </xf>
    <xf numFmtId="0" fontId="42" fillId="0" borderId="0" applyAlignment="1" pivotButton="0" quotePrefix="0" xfId="0">
      <alignment horizontal="general" vertical="bottom"/>
    </xf>
    <xf numFmtId="0" fontId="38" fillId="0" borderId="30" applyAlignment="1" pivotButton="0" quotePrefix="0" xfId="0">
      <alignment horizontal="center" vertical="bottom" wrapText="1"/>
    </xf>
    <xf numFmtId="0" fontId="38" fillId="0" borderId="31" applyAlignment="1" pivotButton="0" quotePrefix="0" xfId="0">
      <alignment horizontal="center" vertical="bottom" wrapText="1"/>
    </xf>
    <xf numFmtId="0" fontId="38" fillId="0" borderId="22" applyAlignment="1" pivotButton="0" quotePrefix="0" xfId="0">
      <alignment horizontal="center" vertical="bottom" wrapText="1"/>
    </xf>
    <xf numFmtId="0" fontId="36" fillId="0" borderId="29" applyAlignment="1" pivotButton="0" quotePrefix="0" xfId="0">
      <alignment horizontal="center" vertical="center"/>
    </xf>
    <xf numFmtId="0" fontId="6" fillId="0" borderId="41" applyAlignment="1" pivotButton="0" quotePrefix="0" xfId="114">
      <alignment horizontal="left" vertical="bottom"/>
    </xf>
    <xf numFmtId="174" fontId="6" fillId="0" borderId="49" applyAlignment="1" pivotButton="0" quotePrefix="0" xfId="15">
      <alignment horizontal="general" vertical="bottom"/>
    </xf>
    <xf numFmtId="0" fontId="6" fillId="0" borderId="36" applyAlignment="1" pivotButton="0" quotePrefix="0" xfId="114">
      <alignment horizontal="left" vertical="bottom"/>
    </xf>
    <xf numFmtId="174" fontId="6" fillId="0" borderId="10" applyAlignment="1" pivotButton="0" quotePrefix="0" xfId="15">
      <alignment horizontal="general" vertical="bottom"/>
    </xf>
    <xf numFmtId="174" fontId="6" fillId="0" borderId="48" applyAlignment="1" pivotButton="0" quotePrefix="0" xfId="15">
      <alignment horizontal="general" vertical="bottom"/>
    </xf>
    <xf numFmtId="0" fontId="42" fillId="0" borderId="34" applyAlignment="1" pivotButton="0" quotePrefix="0" xfId="0">
      <alignment horizontal="general" vertical="bottom"/>
    </xf>
    <xf numFmtId="0" fontId="42" fillId="0" borderId="72" applyAlignment="1" pivotButton="0" quotePrefix="0" xfId="0">
      <alignment horizontal="general" vertical="bottom"/>
    </xf>
    <xf numFmtId="0" fontId="6" fillId="0" borderId="38" applyAlignment="1" pivotButton="0" quotePrefix="0" xfId="114">
      <alignment horizontal="left" vertical="bottom"/>
    </xf>
    <xf numFmtId="174" fontId="6" fillId="0" borderId="39" applyAlignment="1" pivotButton="0" quotePrefix="0" xfId="15">
      <alignment horizontal="general" vertical="bottom"/>
    </xf>
    <xf numFmtId="0" fontId="6" fillId="0" borderId="54" applyAlignment="1" pivotButton="0" quotePrefix="0" xfId="114">
      <alignment horizontal="left" vertical="bottom"/>
    </xf>
    <xf numFmtId="3" fontId="38" fillId="9" borderId="20" applyAlignment="1" pivotButton="0" quotePrefix="0" xfId="0">
      <alignment horizontal="center" vertical="bottom"/>
    </xf>
    <xf numFmtId="3" fontId="38" fillId="9" borderId="1" applyAlignment="1" pivotButton="0" quotePrefix="0" xfId="0">
      <alignment horizontal="right" vertical="bottom"/>
    </xf>
    <xf numFmtId="3" fontId="38" fillId="9" borderId="42" applyAlignment="1" pivotButton="0" quotePrefix="0" xfId="0">
      <alignment horizontal="right" vertical="bottom"/>
    </xf>
    <xf numFmtId="0" fontId="6" fillId="0" borderId="72" applyAlignment="1" pivotButton="0" quotePrefix="0" xfId="0">
      <alignment horizontal="left" vertical="bottom"/>
    </xf>
    <xf numFmtId="3" fontId="6" fillId="0" borderId="48" applyAlignment="1" pivotButton="0" quotePrefix="0" xfId="0">
      <alignment horizontal="right" vertical="bottom"/>
    </xf>
    <xf numFmtId="3" fontId="38" fillId="0" borderId="19" applyAlignment="1" pivotButton="0" quotePrefix="0" xfId="0">
      <alignment horizontal="right" vertical="bottom"/>
    </xf>
    <xf numFmtId="3" fontId="39" fillId="0" borderId="10" applyAlignment="1" pivotButton="0" quotePrefix="0" xfId="0">
      <alignment horizontal="center" vertical="bottom"/>
    </xf>
    <xf numFmtId="3" fontId="39" fillId="0" borderId="48" applyAlignment="1" pivotButton="0" quotePrefix="0" xfId="0">
      <alignment horizontal="center" vertical="bottom"/>
    </xf>
    <xf numFmtId="3" fontId="38" fillId="0" borderId="19" applyAlignment="1" pivotButton="0" quotePrefix="0" xfId="0">
      <alignment horizontal="right" vertical="bottom"/>
    </xf>
    <xf numFmtId="3" fontId="6" fillId="6" borderId="10" applyAlignment="1" pivotButton="0" quotePrefix="0" xfId="114">
      <alignment horizontal="right" vertical="bottom"/>
    </xf>
    <xf numFmtId="3" fontId="6" fillId="6" borderId="23" applyAlignment="1" pivotButton="0" quotePrefix="0" xfId="114">
      <alignment horizontal="right" vertical="bottom"/>
    </xf>
    <xf numFmtId="3" fontId="6" fillId="6" borderId="27" applyAlignment="1" pivotButton="0" quotePrefix="0" xfId="114">
      <alignment horizontal="right" vertical="bottom"/>
    </xf>
    <xf numFmtId="3" fontId="6" fillId="6" borderId="48" applyAlignment="1" pivotButton="0" quotePrefix="0" xfId="114">
      <alignment horizontal="right" vertical="bottom"/>
    </xf>
    <xf numFmtId="3" fontId="6" fillId="6" borderId="73" applyAlignment="1" pivotButton="0" quotePrefix="0" xfId="114">
      <alignment horizontal="right" vertical="bottom"/>
    </xf>
    <xf numFmtId="3" fontId="6" fillId="6" borderId="74" applyAlignment="1" pivotButton="0" quotePrefix="0" xfId="114">
      <alignment horizontal="right" vertical="bottom"/>
    </xf>
    <xf numFmtId="3" fontId="39" fillId="0" borderId="11" applyAlignment="1" pivotButton="0" quotePrefix="0" xfId="0">
      <alignment horizontal="center" vertical="bottom"/>
    </xf>
    <xf numFmtId="3" fontId="39" fillId="0" borderId="19" applyAlignment="1" pivotButton="0" quotePrefix="0" xfId="0">
      <alignment horizontal="center" vertical="bottom"/>
    </xf>
    <xf numFmtId="0" fontId="6"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36" fillId="0" borderId="0" applyAlignment="1" pivotButton="0" quotePrefix="0" xfId="0">
      <alignment horizontal="center" vertical="bottom"/>
    </xf>
    <xf numFmtId="164" fontId="36" fillId="0" borderId="0" applyAlignment="1" pivotButton="0" quotePrefix="0" xfId="0">
      <alignment horizontal="center" vertical="bottom"/>
    </xf>
    <xf numFmtId="3" fontId="6" fillId="0" borderId="0" applyAlignment="1" pivotButton="0" quotePrefix="0" xfId="0">
      <alignment horizontal="general" vertical="bottom"/>
    </xf>
    <xf numFmtId="3" fontId="38" fillId="0" borderId="0" applyAlignment="1" pivotButton="0" quotePrefix="0" xfId="0">
      <alignment horizontal="general" vertical="bottom"/>
    </xf>
    <xf numFmtId="3" fontId="38" fillId="0" borderId="0" applyAlignment="1" pivotButton="0" quotePrefix="0" xfId="0">
      <alignment horizontal="left" vertical="bottom"/>
    </xf>
    <xf numFmtId="3" fontId="6" fillId="0" borderId="0" applyAlignment="1" pivotButton="0" quotePrefix="0" xfId="0">
      <alignment horizontal="center" vertical="bottom"/>
    </xf>
    <xf numFmtId="3" fontId="38" fillId="0" borderId="0" applyAlignment="1" pivotButton="0" quotePrefix="0" xfId="0">
      <alignment horizontal="center" vertical="bottom"/>
    </xf>
    <xf numFmtId="3" fontId="38" fillId="0" borderId="6" applyAlignment="1" pivotButton="0" quotePrefix="0" xfId="0">
      <alignment horizontal="general" vertical="bottom"/>
    </xf>
    <xf numFmtId="3" fontId="6" fillId="0" borderId="7" applyAlignment="1" pivotButton="0" quotePrefix="0" xfId="0">
      <alignment horizontal="general" vertical="bottom"/>
    </xf>
    <xf numFmtId="3" fontId="38" fillId="0" borderId="8" applyAlignment="1" pivotButton="0" quotePrefix="0" xfId="0">
      <alignment horizontal="general" vertical="bottom"/>
    </xf>
    <xf numFmtId="3" fontId="6" fillId="0" borderId="9" applyAlignment="1" pivotButton="0" quotePrefix="0" xfId="0">
      <alignment horizontal="general" vertical="bottom"/>
    </xf>
    <xf numFmtId="3" fontId="6" fillId="0" borderId="10" applyAlignment="1" pivotButton="0" quotePrefix="0" xfId="0">
      <alignment horizontal="general" vertical="bottom"/>
    </xf>
    <xf numFmtId="3" fontId="38" fillId="0" borderId="11" applyAlignment="1" pivotButton="0" quotePrefix="0" xfId="0">
      <alignment horizontal="general" vertical="bottom"/>
    </xf>
    <xf numFmtId="3" fontId="39" fillId="0" borderId="9" applyAlignment="1" pivotButton="0" quotePrefix="0" xfId="0">
      <alignment horizontal="general" vertical="bottom"/>
    </xf>
    <xf numFmtId="3" fontId="6" fillId="0" borderId="12" applyAlignment="1" pivotButton="0" quotePrefix="0" xfId="0">
      <alignment horizontal="general" vertical="bottom"/>
    </xf>
    <xf numFmtId="3" fontId="38" fillId="0" borderId="13" applyAlignment="1" pivotButton="0" quotePrefix="0" xfId="0">
      <alignment horizontal="general" vertical="bottom"/>
    </xf>
    <xf numFmtId="3" fontId="40" fillId="0" borderId="10" applyAlignment="1" pivotButton="0" quotePrefix="0" xfId="0">
      <alignment horizontal="general" vertical="bottom"/>
    </xf>
    <xf numFmtId="3" fontId="38" fillId="0" borderId="14" applyAlignment="1" pivotButton="0" quotePrefix="0" xfId="0">
      <alignment horizontal="general" vertical="bottom"/>
    </xf>
    <xf numFmtId="3" fontId="38" fillId="0" borderId="15" applyAlignment="1" pivotButton="0" quotePrefix="0" xfId="0">
      <alignment horizontal="general" vertical="bottom"/>
    </xf>
    <xf numFmtId="3" fontId="6" fillId="0" borderId="16" applyAlignment="1" pivotButton="0" quotePrefix="0" xfId="0">
      <alignment horizontal="general" vertical="bottom"/>
    </xf>
    <xf numFmtId="3" fontId="38" fillId="0" borderId="16" applyAlignment="1" pivotButton="0" quotePrefix="0" xfId="0">
      <alignment horizontal="general" vertical="bottom"/>
    </xf>
    <xf numFmtId="3" fontId="38" fillId="0" borderId="17" applyAlignment="1" pivotButton="0" quotePrefix="0" xfId="0">
      <alignment horizontal="general" vertical="bottom"/>
    </xf>
    <xf numFmtId="3" fontId="6" fillId="0" borderId="18" applyAlignment="1" pivotButton="0" quotePrefix="0" xfId="0">
      <alignment horizontal="general" vertical="bottom"/>
    </xf>
    <xf numFmtId="3" fontId="38" fillId="0" borderId="7" applyAlignment="1" pivotButton="0" quotePrefix="0" xfId="0">
      <alignment horizontal="general" vertical="bottom"/>
    </xf>
    <xf numFmtId="3" fontId="6" fillId="0" borderId="10" applyAlignment="1" pivotButton="0" quotePrefix="0" xfId="0">
      <alignment horizontal="general" vertical="bottom" wrapText="1"/>
    </xf>
    <xf numFmtId="3" fontId="38" fillId="0" borderId="19" applyAlignment="1" pivotButton="0" quotePrefix="0" xfId="0">
      <alignment horizontal="general" vertical="bottom"/>
    </xf>
    <xf numFmtId="3" fontId="38" fillId="0" borderId="20" applyAlignment="1" pivotButton="0" quotePrefix="0" xfId="0">
      <alignment horizontal="general" vertical="bottom"/>
    </xf>
    <xf numFmtId="3" fontId="6" fillId="0" borderId="1" applyAlignment="1" pivotButton="0" quotePrefix="0" xfId="0">
      <alignment horizontal="general" vertical="bottom"/>
    </xf>
    <xf numFmtId="3" fontId="38" fillId="0" borderId="21" applyAlignment="1" pivotButton="0" quotePrefix="0" xfId="0">
      <alignment horizontal="general" vertical="bottom"/>
    </xf>
    <xf numFmtId="3" fontId="38" fillId="0" borderId="22" applyAlignment="1" pivotButton="0" quotePrefix="0" xfId="0">
      <alignment horizontal="general" vertical="bottom"/>
    </xf>
    <xf numFmtId="3" fontId="6" fillId="0" borderId="23" applyAlignment="1" pivotButton="0" quotePrefix="0" xfId="0">
      <alignment horizontal="general" vertical="bottom"/>
    </xf>
    <xf numFmtId="3" fontId="6" fillId="0" borderId="24" applyAlignment="1" pivotButton="0" quotePrefix="0" xfId="0">
      <alignment horizontal="general" vertical="bottom"/>
    </xf>
    <xf numFmtId="3" fontId="38" fillId="0" borderId="25" applyAlignment="1" pivotButton="0" quotePrefix="0" xfId="0">
      <alignment horizontal="general" vertical="bottom"/>
    </xf>
    <xf numFmtId="3" fontId="38" fillId="0" borderId="26" applyAlignment="1" pivotButton="0" quotePrefix="0" xfId="0">
      <alignment horizontal="general" vertical="bottom"/>
    </xf>
    <xf numFmtId="3" fontId="38" fillId="0" borderId="27" applyAlignment="1" pivotButton="0" quotePrefix="0" xfId="0">
      <alignment horizontal="general" vertical="bottom"/>
    </xf>
    <xf numFmtId="3" fontId="6" fillId="0" borderId="28" applyAlignment="1" pivotButton="0" quotePrefix="0" xfId="0">
      <alignment horizontal="general" vertical="bottom"/>
    </xf>
    <xf numFmtId="3" fontId="38" fillId="0" borderId="29" applyAlignment="1" pivotButton="0" quotePrefix="0" xfId="0">
      <alignment horizontal="general" vertical="center" wrapText="1"/>
    </xf>
    <xf numFmtId="0" fontId="0" fillId="0" borderId="1" pivotButton="0" quotePrefix="0" xfId="0"/>
    <xf numFmtId="0" fontId="0" fillId="0" borderId="42" pivotButton="0" quotePrefix="0" xfId="0"/>
    <xf numFmtId="3" fontId="6" fillId="0" borderId="0" applyAlignment="1" pivotButton="0" quotePrefix="0" xfId="0">
      <alignment horizontal="general" vertical="center"/>
    </xf>
    <xf numFmtId="3" fontId="6" fillId="0" borderId="0" applyAlignment="1" pivotButton="0" quotePrefix="0" xfId="0">
      <alignment horizontal="right" vertical="bottom"/>
    </xf>
    <xf numFmtId="3" fontId="38" fillId="0" borderId="0" applyAlignment="1" pivotButton="0" quotePrefix="0" xfId="0">
      <alignment horizontal="right" vertical="bottom"/>
    </xf>
    <xf numFmtId="3" fontId="38" fillId="0" borderId="30" applyAlignment="1" pivotButton="0" quotePrefix="0" xfId="0">
      <alignment horizontal="left" vertical="bottom"/>
    </xf>
    <xf numFmtId="3" fontId="38" fillId="0" borderId="31" applyAlignment="1" pivotButton="0" quotePrefix="0" xfId="0">
      <alignment horizontal="right" vertical="bottom"/>
    </xf>
    <xf numFmtId="3" fontId="38" fillId="0" borderId="22" applyAlignment="1" pivotButton="0" quotePrefix="0" xfId="0">
      <alignment horizontal="right" vertical="bottom"/>
    </xf>
    <xf numFmtId="3" fontId="38" fillId="9" borderId="29" applyAlignment="1" pivotButton="0" quotePrefix="0" xfId="0">
      <alignment horizontal="left" vertical="bottom"/>
    </xf>
    <xf numFmtId="0" fontId="39" fillId="0" borderId="32" applyAlignment="1" pivotButton="0" quotePrefix="0" xfId="0">
      <alignment horizontal="left" vertical="bottom"/>
    </xf>
    <xf numFmtId="3" fontId="38" fillId="0" borderId="4" applyAlignment="1" pivotButton="0" quotePrefix="0" xfId="0">
      <alignment horizontal="right" vertical="bottom"/>
    </xf>
    <xf numFmtId="3" fontId="38" fillId="0" borderId="33" applyAlignment="1" pivotButton="0" quotePrefix="0" xfId="0">
      <alignment horizontal="right" vertical="bottom"/>
    </xf>
    <xf numFmtId="0" fontId="38" fillId="5" borderId="34" applyAlignment="1" pivotButton="0" quotePrefix="0" xfId="0">
      <alignment horizontal="left" vertical="bottom"/>
    </xf>
    <xf numFmtId="3" fontId="38" fillId="5" borderId="4" applyAlignment="1" pivotButton="0" quotePrefix="0" xfId="0">
      <alignment horizontal="right" vertical="bottom"/>
    </xf>
    <xf numFmtId="3" fontId="38" fillId="5" borderId="33" applyAlignment="1" pivotButton="0" quotePrefix="0" xfId="0">
      <alignment horizontal="right" vertical="bottom"/>
    </xf>
    <xf numFmtId="0" fontId="6" fillId="0" borderId="34" applyAlignment="1" pivotButton="0" quotePrefix="0" xfId="0">
      <alignment horizontal="left" vertical="bottom"/>
    </xf>
    <xf numFmtId="3" fontId="6" fillId="0" borderId="10" applyAlignment="1" pivotButton="0" quotePrefix="0" xfId="0">
      <alignment horizontal="right" vertical="bottom"/>
    </xf>
    <xf numFmtId="3" fontId="38" fillId="0" borderId="11" applyAlignment="1" pivotButton="0" quotePrefix="0" xfId="0">
      <alignment horizontal="right" vertical="bottom"/>
    </xf>
    <xf numFmtId="4" fontId="6" fillId="0" borderId="0" applyAlignment="1" pivotButton="0" quotePrefix="0" xfId="0">
      <alignment horizontal="general" vertical="bottom"/>
    </xf>
    <xf numFmtId="165" fontId="6" fillId="0" borderId="10" applyAlignment="1" pivotButton="0" quotePrefix="0" xfId="15">
      <alignment horizontal="right" vertical="bottom"/>
    </xf>
    <xf numFmtId="165" fontId="38" fillId="0" borderId="11" applyAlignment="1" pivotButton="0" quotePrefix="0" xfId="15">
      <alignment horizontal="right" vertical="bottom"/>
    </xf>
    <xf numFmtId="3" fontId="6" fillId="5" borderId="10" applyAlignment="1" pivotButton="0" quotePrefix="0" xfId="0">
      <alignment horizontal="right" vertical="bottom"/>
    </xf>
    <xf numFmtId="3" fontId="38" fillId="5" borderId="11" applyAlignment="1" pivotButton="0" quotePrefix="0" xfId="0">
      <alignment horizontal="right" vertical="bottom"/>
    </xf>
    <xf numFmtId="0" fontId="38" fillId="0" borderId="34" applyAlignment="1" pivotButton="0" quotePrefix="0" xfId="0">
      <alignment horizontal="left" vertical="bottom"/>
    </xf>
    <xf numFmtId="4" fontId="38" fillId="0" borderId="0" applyAlignment="1" pivotButton="0" quotePrefix="0" xfId="0">
      <alignment horizontal="general" vertical="bottom" wrapText="1"/>
    </xf>
    <xf numFmtId="0" fontId="6" fillId="0" borderId="34" applyAlignment="1" pivotButton="0" quotePrefix="0" xfId="114">
      <alignment horizontal="left" vertical="bottom"/>
    </xf>
    <xf numFmtId="3" fontId="38" fillId="0" borderId="30" applyAlignment="1" pivotButton="0" quotePrefix="0" xfId="0">
      <alignment horizontal="general" vertical="bottom"/>
    </xf>
    <xf numFmtId="3" fontId="38" fillId="0" borderId="31" applyAlignment="1" pivotButton="0" quotePrefix="0" xfId="17">
      <alignment horizontal="right" vertical="bottom"/>
    </xf>
    <xf numFmtId="3" fontId="38" fillId="0" borderId="22" applyAlignment="1" pivotButton="0" quotePrefix="0" xfId="17">
      <alignment horizontal="right" vertical="bottom"/>
    </xf>
    <xf numFmtId="0" fontId="38" fillId="0" borderId="35" applyAlignment="1" pivotButton="0" quotePrefix="0" xfId="0">
      <alignment horizontal="general" vertical="bottom"/>
    </xf>
    <xf numFmtId="3" fontId="38" fillId="0" borderId="18" applyAlignment="1" pivotButton="0" quotePrefix="0" xfId="0">
      <alignment horizontal="right" vertical="bottom"/>
    </xf>
    <xf numFmtId="3" fontId="38" fillId="0" borderId="26" applyAlignment="1" pivotButton="0" quotePrefix="0" xfId="17">
      <alignment horizontal="right" vertical="bottom"/>
    </xf>
    <xf numFmtId="0" fontId="6" fillId="0" borderId="9" applyAlignment="1" pivotButton="0" quotePrefix="0" xfId="0">
      <alignment horizontal="general" vertical="bottom"/>
    </xf>
    <xf numFmtId="3" fontId="6" fillId="0" borderId="10" applyAlignment="1" pivotButton="0" quotePrefix="0" xfId="17">
      <alignment horizontal="right" vertical="bottom"/>
    </xf>
    <xf numFmtId="165" fontId="38" fillId="0" borderId="26" applyAlignment="1" pivotButton="0" quotePrefix="0" xfId="15">
      <alignment horizontal="right" vertical="bottom"/>
    </xf>
    <xf numFmtId="0" fontId="6" fillId="0" borderId="36" applyAlignment="1" pivotButton="0" quotePrefix="0" xfId="0">
      <alignment horizontal="general" vertical="bottom"/>
    </xf>
    <xf numFmtId="0" fontId="41" fillId="0" borderId="36" applyAlignment="1" pivotButton="0" quotePrefix="0" xfId="0">
      <alignment horizontal="general" vertical="bottom"/>
    </xf>
    <xf numFmtId="3" fontId="38" fillId="0" borderId="11" applyAlignment="1" pivotButton="0" quotePrefix="0" xfId="17">
      <alignment horizontal="right" vertical="bottom"/>
    </xf>
    <xf numFmtId="0" fontId="39" fillId="0" borderId="9" applyAlignment="1" pivotButton="0" quotePrefix="0" xfId="0">
      <alignment horizontal="left" vertical="bottom"/>
    </xf>
    <xf numFmtId="3" fontId="6" fillId="0" borderId="18" applyAlignment="1" pivotButton="0" quotePrefix="0" xfId="0">
      <alignment horizontal="right" vertical="bottom"/>
    </xf>
    <xf numFmtId="3" fontId="38" fillId="0" borderId="26" applyAlignment="1" pivotButton="0" quotePrefix="0" xfId="0">
      <alignment horizontal="right" vertical="bottom"/>
    </xf>
    <xf numFmtId="0" fontId="6" fillId="0" borderId="36" applyAlignment="1" pivotButton="0" quotePrefix="0" xfId="0">
      <alignment horizontal="left" vertical="bottom"/>
    </xf>
    <xf numFmtId="0" fontId="38" fillId="5" borderId="35" applyAlignment="1" pivotButton="0" quotePrefix="0" xfId="0">
      <alignment horizontal="left" vertical="bottom"/>
    </xf>
    <xf numFmtId="0" fontId="42" fillId="0" borderId="36" applyAlignment="1" pivotButton="0" quotePrefix="0" xfId="0">
      <alignment horizontal="left" vertical="bottom"/>
    </xf>
    <xf numFmtId="0" fontId="42" fillId="0" borderId="36" applyAlignment="1" pivotButton="0" quotePrefix="0" xfId="117">
      <alignment horizontal="left" vertical="bottom" wrapText="1"/>
    </xf>
    <xf numFmtId="0" fontId="42" fillId="0" borderId="36" applyAlignment="1" pivotButton="0" quotePrefix="0" xfId="0">
      <alignment horizontal="general" vertical="bottom"/>
    </xf>
    <xf numFmtId="0" fontId="6" fillId="0" borderId="36" applyAlignment="1" pivotButton="0" quotePrefix="0" xfId="0">
      <alignment horizontal="left" vertical="bottom" indent="2"/>
    </xf>
    <xf numFmtId="3" fontId="38" fillId="0" borderId="10" applyAlignment="1" pivotButton="0" quotePrefix="0" xfId="0">
      <alignment horizontal="right" vertical="bottom"/>
    </xf>
    <xf numFmtId="0" fontId="38" fillId="5" borderId="36" applyAlignment="1" pivotButton="0" quotePrefix="0" xfId="0">
      <alignment horizontal="general" vertical="bottom"/>
    </xf>
    <xf numFmtId="49" fontId="6" fillId="0" borderId="36" applyAlignment="1" pivotButton="0" quotePrefix="0" xfId="0">
      <alignment horizontal="left" vertical="bottom"/>
    </xf>
    <xf numFmtId="0" fontId="6" fillId="0" borderId="37" applyAlignment="1" pivotButton="0" quotePrefix="0" xfId="0">
      <alignment horizontal="general" vertical="bottom"/>
    </xf>
    <xf numFmtId="3" fontId="6" fillId="0" borderId="12" applyAlignment="1" pivotButton="0" quotePrefix="0" xfId="0">
      <alignment horizontal="right" vertical="bottom"/>
    </xf>
    <xf numFmtId="3" fontId="38" fillId="0" borderId="25" applyAlignment="1" pivotButton="0" quotePrefix="0" xfId="0">
      <alignment horizontal="right" vertical="bottom"/>
    </xf>
    <xf numFmtId="0" fontId="38" fillId="5" borderId="36" applyAlignment="1" pivotButton="0" quotePrefix="0" xfId="114">
      <alignment horizontal="general" vertical="bottom"/>
    </xf>
    <xf numFmtId="3" fontId="6" fillId="5" borderId="10" applyAlignment="1" pivotButton="0" quotePrefix="0" xfId="0">
      <alignment horizontal="general" vertical="bottom"/>
    </xf>
    <xf numFmtId="3" fontId="38" fillId="5" borderId="11" applyAlignment="1" pivotButton="0" quotePrefix="0" xfId="0">
      <alignment horizontal="general" vertical="bottom"/>
    </xf>
    <xf numFmtId="0" fontId="42" fillId="0" borderId="38" applyAlignment="1" pivotButton="0" quotePrefix="0" xfId="117">
      <alignment horizontal="left" vertical="bottom" wrapText="1"/>
    </xf>
    <xf numFmtId="3" fontId="6" fillId="0" borderId="39" applyAlignment="1" pivotButton="0" quotePrefix="0" xfId="0">
      <alignment horizontal="right" vertical="bottom"/>
    </xf>
    <xf numFmtId="165" fontId="6" fillId="0" borderId="39" applyAlignment="1" pivotButton="0" quotePrefix="0" xfId="15">
      <alignment horizontal="right" vertical="bottom"/>
    </xf>
    <xf numFmtId="3" fontId="38" fillId="0" borderId="40" applyAlignment="1" pivotButton="0" quotePrefix="0" xfId="0">
      <alignment horizontal="right" vertical="bottom"/>
    </xf>
    <xf numFmtId="0" fontId="6" fillId="0" borderId="32" applyAlignment="1" pivotButton="0" quotePrefix="0" xfId="0">
      <alignment horizontal="left" vertical="bottom"/>
    </xf>
    <xf numFmtId="3" fontId="39" fillId="0" borderId="18" applyAlignment="1" pivotButton="0" quotePrefix="0" xfId="0">
      <alignment horizontal="right" vertical="bottom"/>
    </xf>
    <xf numFmtId="0" fontId="39" fillId="5" borderId="41" applyAlignment="1" pivotButton="0" quotePrefix="0" xfId="0">
      <alignment horizontal="left" vertical="bottom"/>
    </xf>
    <xf numFmtId="3" fontId="39" fillId="0" borderId="10" applyAlignment="1" pivotButton="0" quotePrefix="0" xfId="0">
      <alignment horizontal="right" vertical="bottom"/>
    </xf>
    <xf numFmtId="3" fontId="38" fillId="0" borderId="31" applyAlignment="1" pivotButton="0" quotePrefix="0" xfId="0">
      <alignment horizontal="center" vertical="bottom"/>
    </xf>
    <xf numFmtId="3" fontId="38" fillId="0" borderId="22" applyAlignment="1" pivotButton="0" quotePrefix="0" xfId="0">
      <alignment horizontal="center" vertical="bottom"/>
    </xf>
    <xf numFmtId="3" fontId="38" fillId="0" borderId="4" applyAlignment="1" pivotButton="0" quotePrefix="0" xfId="0">
      <alignment horizontal="center" vertical="bottom"/>
    </xf>
    <xf numFmtId="3" fontId="38" fillId="0" borderId="33" applyAlignment="1" pivotButton="0" quotePrefix="0" xfId="0">
      <alignment horizontal="center" vertical="bottom"/>
    </xf>
    <xf numFmtId="3" fontId="38" fillId="5" borderId="4" applyAlignment="1" pivotButton="0" quotePrefix="0" xfId="0">
      <alignment horizontal="center" vertical="bottom"/>
    </xf>
    <xf numFmtId="3" fontId="38" fillId="5" borderId="33" applyAlignment="1" pivotButton="0" quotePrefix="0" xfId="0">
      <alignment horizontal="center" vertical="bottom"/>
    </xf>
    <xf numFmtId="3" fontId="6" fillId="0" borderId="10" applyAlignment="1" pivotButton="0" quotePrefix="0" xfId="0">
      <alignment horizontal="center" vertical="bottom"/>
    </xf>
    <xf numFmtId="165" fontId="6" fillId="0" borderId="10" applyAlignment="1" pivotButton="0" quotePrefix="0" xfId="15">
      <alignment horizontal="center" vertical="bottom"/>
    </xf>
    <xf numFmtId="3" fontId="6" fillId="5" borderId="10" applyAlignment="1" pivotButton="0" quotePrefix="0" xfId="0">
      <alignment horizontal="center" vertical="bottom"/>
    </xf>
    <xf numFmtId="3" fontId="38" fillId="5" borderId="11" applyAlignment="1" pivotButton="0" quotePrefix="0" xfId="0">
      <alignment horizontal="center" vertical="bottom"/>
    </xf>
    <xf numFmtId="4" fontId="6" fillId="0" borderId="0" applyAlignment="1" pivotButton="0" quotePrefix="0" xfId="0">
      <alignment horizontal="left" vertical="bottom"/>
    </xf>
    <xf numFmtId="3" fontId="38" fillId="0" borderId="31" applyAlignment="1" pivotButton="0" quotePrefix="0" xfId="17">
      <alignment horizontal="general" vertical="bottom"/>
    </xf>
    <xf numFmtId="3" fontId="38" fillId="0" borderId="22" applyAlignment="1" pivotButton="0" quotePrefix="0" xfId="17">
      <alignment horizontal="general" vertical="bottom"/>
    </xf>
    <xf numFmtId="3" fontId="6" fillId="0" borderId="18" applyAlignment="1" pivotButton="0" quotePrefix="0" xfId="17">
      <alignment horizontal="general" vertical="bottom"/>
    </xf>
    <xf numFmtId="3" fontId="38" fillId="0" borderId="26" applyAlignment="1" pivotButton="0" quotePrefix="0" xfId="17">
      <alignment horizontal="general" vertical="bottom"/>
    </xf>
    <xf numFmtId="165" fontId="6" fillId="0" borderId="10" applyAlignment="1" pivotButton="0" quotePrefix="0" xfId="15">
      <alignment horizontal="general" vertical="bottom"/>
    </xf>
    <xf numFmtId="165" fontId="38" fillId="0" borderId="26" applyAlignment="1" pivotButton="0" quotePrefix="0" xfId="15">
      <alignment horizontal="general" vertical="bottom"/>
    </xf>
    <xf numFmtId="3" fontId="6" fillId="0" borderId="10" applyAlignment="1" pivotButton="0" quotePrefix="0" xfId="17">
      <alignment horizontal="general" vertical="bottom"/>
    </xf>
    <xf numFmtId="165" fontId="6" fillId="0" borderId="18" applyAlignment="1" pivotButton="0" quotePrefix="0" xfId="15">
      <alignment horizontal="general" vertical="bottom"/>
    </xf>
    <xf numFmtId="3" fontId="6" fillId="5" borderId="18" applyAlignment="1" pivotButton="0" quotePrefix="0" xfId="0">
      <alignment horizontal="right" vertical="bottom"/>
    </xf>
    <xf numFmtId="3" fontId="38" fillId="5" borderId="26" applyAlignment="1" pivotButton="0" quotePrefix="0" xfId="0">
      <alignment horizontal="right" vertical="bottom"/>
    </xf>
    <xf numFmtId="0" fontId="6" fillId="0" borderId="36" applyAlignment="1" pivotButton="0" quotePrefix="0" xfId="117">
      <alignment horizontal="left" vertical="bottom" wrapText="1"/>
    </xf>
    <xf numFmtId="3" fontId="43" fillId="5" borderId="26" applyAlignment="1" pivotButton="0" quotePrefix="0" xfId="0">
      <alignment horizontal="right" vertical="bottom"/>
    </xf>
    <xf numFmtId="3" fontId="6" fillId="0" borderId="18" applyAlignment="1" pivotButton="0" quotePrefix="0" xfId="0">
      <alignment horizontal="center" vertical="bottom"/>
    </xf>
    <xf numFmtId="3" fontId="38" fillId="0" borderId="26" applyAlignment="1" pivotButton="0" quotePrefix="0" xfId="0">
      <alignment horizontal="center" vertical="bottom"/>
    </xf>
    <xf numFmtId="3" fontId="38" fillId="9" borderId="20" applyAlignment="1" pivotButton="0" quotePrefix="0" xfId="0">
      <alignment horizontal="left" vertical="bottom"/>
    </xf>
    <xf numFmtId="3" fontId="6" fillId="9" borderId="1" applyAlignment="1" pivotButton="0" quotePrefix="0" xfId="0">
      <alignment horizontal="center" vertical="bottom"/>
    </xf>
    <xf numFmtId="3" fontId="38" fillId="9" borderId="42" applyAlignment="1" pivotButton="0" quotePrefix="0" xfId="0">
      <alignment horizontal="center" vertical="bottom"/>
    </xf>
    <xf numFmtId="3" fontId="6" fillId="5" borderId="4" applyAlignment="1" pivotButton="0" quotePrefix="0" xfId="0">
      <alignment horizontal="center" vertical="bottom"/>
    </xf>
    <xf numFmtId="3" fontId="38" fillId="9" borderId="29" applyAlignment="1" pivotButton="0" quotePrefix="0" xfId="0">
      <alignment horizontal="general" vertical="bottom"/>
    </xf>
    <xf numFmtId="165" fontId="38" fillId="0" borderId="10" applyAlignment="1" pivotButton="0" quotePrefix="0" xfId="15">
      <alignment horizontal="right" vertical="bottom"/>
    </xf>
    <xf numFmtId="3" fontId="38" fillId="5" borderId="10" applyAlignment="1" pivotButton="0" quotePrefix="0" xfId="0">
      <alignment horizontal="center" vertical="bottom"/>
    </xf>
    <xf numFmtId="0" fontId="6" fillId="0" borderId="34" applyAlignment="1" pivotButton="0" quotePrefix="0" xfId="0">
      <alignment horizontal="left" vertical="bottom" wrapText="1"/>
    </xf>
    <xf numFmtId="4" fontId="6" fillId="0" borderId="0" applyAlignment="1" pivotButton="0" quotePrefix="0" xfId="0">
      <alignment horizontal="general" vertical="bottom" wrapText="1"/>
    </xf>
    <xf numFmtId="3" fontId="38" fillId="0" borderId="10" applyAlignment="1" pivotButton="0" quotePrefix="0" xfId="0">
      <alignment horizontal="center" vertical="bottom"/>
    </xf>
    <xf numFmtId="3" fontId="38" fillId="9" borderId="20" applyAlignment="1" pivotButton="0" quotePrefix="0" xfId="0">
      <alignment horizontal="general" vertical="bottom"/>
    </xf>
    <xf numFmtId="3" fontId="6" fillId="9" borderId="1" applyAlignment="1" pivotButton="0" quotePrefix="0" xfId="0">
      <alignment horizontal="general" vertical="bottom"/>
    </xf>
    <xf numFmtId="3" fontId="38" fillId="9" borderId="1" applyAlignment="1" pivotButton="0" quotePrefix="0" xfId="0">
      <alignment horizontal="general" vertical="bottom"/>
    </xf>
    <xf numFmtId="3" fontId="38" fillId="0" borderId="18" applyAlignment="1" pivotButton="0" quotePrefix="0" xfId="17">
      <alignment horizontal="general" vertical="bottom"/>
    </xf>
    <xf numFmtId="165" fontId="38" fillId="0" borderId="18" applyAlignment="1" pivotButton="0" quotePrefix="0" xfId="15">
      <alignment horizontal="general" vertical="bottom"/>
    </xf>
    <xf numFmtId="3" fontId="38" fillId="0" borderId="10" applyAlignment="1" pivotButton="0" quotePrefix="0" xfId="17">
      <alignment horizontal="general" vertical="bottom"/>
    </xf>
    <xf numFmtId="3" fontId="38" fillId="9" borderId="30" applyAlignment="1" pivotButton="0" quotePrefix="0" xfId="0">
      <alignment horizontal="left" vertical="bottom"/>
    </xf>
    <xf numFmtId="3" fontId="6" fillId="9" borderId="31" applyAlignment="1" pivotButton="0" quotePrefix="0" xfId="0">
      <alignment horizontal="right" vertical="bottom"/>
    </xf>
    <xf numFmtId="3" fontId="38" fillId="9" borderId="31" applyAlignment="1" pivotButton="0" quotePrefix="0" xfId="0">
      <alignment horizontal="right" vertical="bottom"/>
    </xf>
    <xf numFmtId="3" fontId="38" fillId="0" borderId="18" applyAlignment="1" pivotButton="0" quotePrefix="0" xfId="0">
      <alignment horizontal="general" vertical="bottom"/>
    </xf>
    <xf numFmtId="3" fontId="43" fillId="5" borderId="18" applyAlignment="1" pivotButton="0" quotePrefix="0" xfId="0">
      <alignment horizontal="right" vertical="bottom"/>
    </xf>
    <xf numFmtId="0" fontId="6" fillId="0" borderId="10" applyAlignment="1" pivotButton="0" quotePrefix="0" xfId="117">
      <alignment horizontal="left" vertical="bottom" wrapText="1"/>
    </xf>
    <xf numFmtId="3" fontId="40" fillId="5" borderId="18" applyAlignment="1" pivotButton="0" quotePrefix="0" xfId="0">
      <alignment horizontal="right" vertical="bottom"/>
    </xf>
    <xf numFmtId="3" fontId="38" fillId="0" borderId="12" applyAlignment="1" pivotButton="0" quotePrefix="0" xfId="0">
      <alignment horizontal="right" vertical="bottom"/>
    </xf>
    <xf numFmtId="3" fontId="38" fillId="5" borderId="10" applyAlignment="1" pivotButton="0" quotePrefix="0" xfId="0">
      <alignment horizontal="general" vertical="bottom"/>
    </xf>
    <xf numFmtId="0" fontId="42" fillId="0" borderId="10" applyAlignment="1" pivotButton="0" quotePrefix="0" xfId="117">
      <alignment horizontal="left" vertical="bottom" wrapText="1"/>
    </xf>
    <xf numFmtId="0" fontId="42" fillId="0" borderId="39" applyAlignment="1" pivotButton="0" quotePrefix="0" xfId="117">
      <alignment horizontal="left" vertical="bottom" wrapText="1"/>
    </xf>
    <xf numFmtId="3" fontId="6" fillId="0" borderId="39" applyAlignment="1" pivotButton="0" quotePrefix="0" xfId="0">
      <alignment horizontal="general" vertical="bottom"/>
    </xf>
    <xf numFmtId="165" fontId="38" fillId="0" borderId="39" applyAlignment="1" pivotButton="0" quotePrefix="0" xfId="15">
      <alignment horizontal="right" vertical="bottom"/>
    </xf>
    <xf numFmtId="3" fontId="38" fillId="0" borderId="31" applyAlignment="1" pivotButton="0" quotePrefix="0" xfId="0">
      <alignment horizontal="general" vertical="bottom"/>
    </xf>
    <xf numFmtId="3" fontId="38" fillId="0" borderId="18" applyAlignment="1" pivotButton="0" quotePrefix="0" xfId="0">
      <alignment horizontal="center" vertical="bottom"/>
    </xf>
    <xf numFmtId="3" fontId="38" fillId="9" borderId="1" applyAlignment="1" pivotButton="0" quotePrefix="0" xfId="0">
      <alignment horizontal="center" vertical="bottom"/>
    </xf>
    <xf numFmtId="3" fontId="39" fillId="0" borderId="18" applyAlignment="1" pivotButton="0" quotePrefix="0" xfId="0">
      <alignment horizontal="center" vertical="bottom"/>
    </xf>
    <xf numFmtId="3" fontId="42" fillId="0" borderId="0" applyAlignment="1" pivotButton="0" quotePrefix="0" xfId="0">
      <alignment horizontal="general" vertical="bottom"/>
    </xf>
    <xf numFmtId="3" fontId="38" fillId="0" borderId="30" applyAlignment="1" pivotButton="0" quotePrefix="0" xfId="0">
      <alignment horizontal="left" vertical="bottom" wrapText="1"/>
    </xf>
    <xf numFmtId="3" fontId="38" fillId="0" borderId="31" applyAlignment="1" pivotButton="0" quotePrefix="0" xfId="0">
      <alignment horizontal="center" vertical="bottom" wrapText="1"/>
    </xf>
    <xf numFmtId="3" fontId="44" fillId="0" borderId="22" applyAlignment="1" pivotButton="0" quotePrefix="0" xfId="0">
      <alignment horizontal="center" vertical="bottom" wrapText="1"/>
    </xf>
    <xf numFmtId="3" fontId="38" fillId="9" borderId="31" applyAlignment="1" pivotButton="0" quotePrefix="0" xfId="0">
      <alignment horizontal="center" vertical="bottom"/>
    </xf>
    <xf numFmtId="3" fontId="44" fillId="9" borderId="22" applyAlignment="1" pivotButton="0" quotePrefix="0" xfId="0">
      <alignment horizontal="center" vertical="bottom"/>
    </xf>
    <xf numFmtId="3" fontId="45" fillId="0" borderId="26" applyAlignment="1" pivotButton="0" quotePrefix="0" xfId="0">
      <alignment horizontal="center" vertical="bottom"/>
    </xf>
    <xf numFmtId="3" fontId="39" fillId="5" borderId="10" applyAlignment="1" pivotButton="0" quotePrefix="0" xfId="0">
      <alignment horizontal="center" vertical="bottom"/>
    </xf>
    <xf numFmtId="3" fontId="45" fillId="5" borderId="11" applyAlignment="1" pivotButton="0" quotePrefix="0" xfId="0">
      <alignment horizontal="center" vertical="bottom"/>
    </xf>
    <xf numFmtId="4" fontId="6" fillId="0" borderId="10" applyAlignment="1" pivotButton="0" quotePrefix="0" xfId="0">
      <alignment horizontal="center" vertical="bottom"/>
    </xf>
    <xf numFmtId="4" fontId="42" fillId="0" borderId="11" applyAlignment="1" pivotButton="0" quotePrefix="0" xfId="0">
      <alignment horizontal="center" vertical="bottom"/>
    </xf>
    <xf numFmtId="4" fontId="6" fillId="5" borderId="10" applyAlignment="1" pivotButton="0" quotePrefix="0" xfId="0">
      <alignment horizontal="center" vertical="bottom"/>
    </xf>
    <xf numFmtId="4" fontId="42" fillId="5" borderId="11" applyAlignment="1" pivotButton="0" quotePrefix="0" xfId="0">
      <alignment horizontal="center" vertical="bottom"/>
    </xf>
    <xf numFmtId="3" fontId="6" fillId="0" borderId="31" applyAlignment="1" pivotButton="0" quotePrefix="0" xfId="17">
      <alignment horizontal="general" vertical="bottom"/>
    </xf>
    <xf numFmtId="3" fontId="42" fillId="0" borderId="22" applyAlignment="1" pivotButton="0" quotePrefix="0" xfId="17">
      <alignment horizontal="general" vertical="bottom"/>
    </xf>
    <xf numFmtId="3" fontId="6" fillId="9" borderId="31" applyAlignment="1" pivotButton="0" quotePrefix="0" xfId="0">
      <alignment horizontal="center" vertical="bottom"/>
    </xf>
    <xf numFmtId="3" fontId="42" fillId="9" borderId="22" applyAlignment="1" pivotButton="0" quotePrefix="0" xfId="0">
      <alignment horizontal="center" vertical="bottom"/>
    </xf>
    <xf numFmtId="3" fontId="40" fillId="0" borderId="0" applyAlignment="1" pivotButton="0" quotePrefix="0" xfId="0">
      <alignment horizontal="center" vertical="bottom"/>
    </xf>
    <xf numFmtId="3" fontId="42" fillId="0" borderId="11" applyAlignment="1" pivotButton="0" quotePrefix="0" xfId="17">
      <alignment horizontal="general" vertical="bottom"/>
    </xf>
    <xf numFmtId="4" fontId="6" fillId="0" borderId="10" applyAlignment="1" pivotButton="0" quotePrefix="0" xfId="17">
      <alignment horizontal="general" vertical="bottom"/>
    </xf>
    <xf numFmtId="4" fontId="42" fillId="0" borderId="11" applyAlignment="1" pivotButton="0" quotePrefix="0" xfId="17">
      <alignment horizontal="general" vertical="bottom"/>
    </xf>
    <xf numFmtId="9" fontId="6" fillId="0" borderId="10" applyAlignment="1" pivotButton="0" quotePrefix="0" xfId="19">
      <alignment horizontal="general" vertical="bottom"/>
    </xf>
    <xf numFmtId="9" fontId="42" fillId="0" borderId="11" applyAlignment="1" pivotButton="0" quotePrefix="0" xfId="19">
      <alignment horizontal="general" vertical="bottom"/>
    </xf>
    <xf numFmtId="0" fontId="39" fillId="0" borderId="41" applyAlignment="1" pivotButton="0" quotePrefix="0" xfId="0">
      <alignment horizontal="left" vertical="bottom"/>
    </xf>
    <xf numFmtId="3" fontId="42" fillId="0" borderId="11" applyAlignment="1" pivotButton="0" quotePrefix="0" xfId="0">
      <alignment horizontal="general" vertical="bottom"/>
    </xf>
    <xf numFmtId="3" fontId="6" fillId="0" borderId="31" applyAlignment="1" pivotButton="0" quotePrefix="0" xfId="0">
      <alignment horizontal="general" vertical="bottom"/>
    </xf>
    <xf numFmtId="3" fontId="42" fillId="0" borderId="22" applyAlignment="1" pivotButton="0" quotePrefix="0" xfId="0">
      <alignment horizontal="general" vertical="bottom"/>
    </xf>
    <xf numFmtId="0" fontId="38" fillId="5" borderId="41" applyAlignment="1" pivotButton="0" quotePrefix="0" xfId="0">
      <alignment horizontal="left" vertical="bottom"/>
    </xf>
    <xf numFmtId="3" fontId="6" fillId="5" borderId="18" applyAlignment="1" pivotButton="0" quotePrefix="0" xfId="0">
      <alignment horizontal="center" vertical="bottom"/>
    </xf>
    <xf numFmtId="3" fontId="42" fillId="5" borderId="26" applyAlignment="1" pivotButton="0" quotePrefix="0" xfId="0">
      <alignment horizontal="center" vertical="bottom"/>
    </xf>
    <xf numFmtId="4" fontId="42" fillId="0" borderId="11" applyAlignment="1" pivotButton="0" quotePrefix="0" xfId="0">
      <alignment horizontal="center" vertical="bottom" wrapText="1"/>
    </xf>
    <xf numFmtId="0" fontId="0" fillId="0" borderId="23" pivotButton="0" quotePrefix="0" xfId="0"/>
    <xf numFmtId="3" fontId="6" fillId="0" borderId="11" applyAlignment="1" pivotButton="0" quotePrefix="0" xfId="0">
      <alignment horizontal="center" vertical="bottom"/>
    </xf>
    <xf numFmtId="0" fontId="0" fillId="0" borderId="2" pivotButton="0" quotePrefix="0" xfId="0"/>
    <xf numFmtId="0" fontId="0" fillId="0" borderId="27" pivotButton="0" quotePrefix="0" xfId="0"/>
    <xf numFmtId="3" fontId="42" fillId="5" borderId="11" applyAlignment="1" pivotButton="0" quotePrefix="0" xfId="0">
      <alignment horizontal="general" vertical="bottom"/>
    </xf>
    <xf numFmtId="166" fontId="6" fillId="0" borderId="10" applyAlignment="1" pivotButton="0" quotePrefix="0" xfId="0">
      <alignment horizontal="general" vertical="bottom"/>
    </xf>
    <xf numFmtId="166" fontId="42" fillId="0" borderId="11" applyAlignment="1" pivotButton="0" quotePrefix="0" xfId="0">
      <alignment horizontal="center" vertical="bottom"/>
    </xf>
    <xf numFmtId="4" fontId="6" fillId="0" borderId="10" applyAlignment="1" pivotButton="0" quotePrefix="0" xfId="0">
      <alignment horizontal="general" vertical="bottom"/>
    </xf>
    <xf numFmtId="4" fontId="6" fillId="0" borderId="12" applyAlignment="1" pivotButton="0" quotePrefix="0" xfId="0">
      <alignment horizontal="general" vertical="bottom"/>
    </xf>
    <xf numFmtId="4" fontId="42" fillId="0" borderId="25" applyAlignment="1" pivotButton="0" quotePrefix="0" xfId="0">
      <alignment horizontal="general" vertical="bottom"/>
    </xf>
    <xf numFmtId="4" fontId="6" fillId="5" borderId="10" applyAlignment="1" pivotButton="0" quotePrefix="0" xfId="0">
      <alignment horizontal="general" vertical="bottom"/>
    </xf>
    <xf numFmtId="4" fontId="42" fillId="5" borderId="11" applyAlignment="1" pivotButton="0" quotePrefix="0" xfId="0">
      <alignment horizontal="general" vertical="bottom"/>
    </xf>
    <xf numFmtId="4" fontId="6" fillId="0" borderId="10" applyAlignment="1" pivotButton="0" quotePrefix="0" xfId="0">
      <alignment horizontal="right" vertical="bottom"/>
    </xf>
    <xf numFmtId="3" fontId="42" fillId="0" borderId="11" applyAlignment="1" pivotButton="0" quotePrefix="0" xfId="0">
      <alignment horizontal="center" vertical="bottom"/>
    </xf>
    <xf numFmtId="0" fontId="6" fillId="0" borderId="43" applyAlignment="1" pivotButton="0" quotePrefix="0" xfId="0">
      <alignment horizontal="left" vertical="bottom"/>
    </xf>
    <xf numFmtId="3" fontId="6" fillId="0" borderId="39" applyAlignment="1" pivotButton="0" quotePrefix="0" xfId="0">
      <alignment horizontal="center" vertical="bottom"/>
    </xf>
    <xf numFmtId="3" fontId="42" fillId="0" borderId="40" applyAlignment="1" pivotButton="0" quotePrefix="0" xfId="0">
      <alignment horizontal="center" vertical="bottom"/>
    </xf>
    <xf numFmtId="0" fontId="38" fillId="5" borderId="35" applyAlignment="1" pivotButton="0" quotePrefix="0" xfId="0">
      <alignment horizontal="general" vertical="bottom"/>
    </xf>
    <xf numFmtId="3" fontId="6" fillId="5" borderId="18" applyAlignment="1" pivotButton="0" quotePrefix="0" xfId="0">
      <alignment horizontal="general" vertical="bottom"/>
    </xf>
    <xf numFmtId="3" fontId="42" fillId="5" borderId="26" applyAlignment="1" pivotButton="0" quotePrefix="0" xfId="0">
      <alignment horizontal="general" vertical="bottom"/>
    </xf>
    <xf numFmtId="3" fontId="42" fillId="0" borderId="26" applyAlignment="1" pivotButton="0" quotePrefix="0" xfId="0">
      <alignment horizontal="center" vertical="bottom"/>
    </xf>
    <xf numFmtId="0" fontId="39" fillId="0" borderId="6" applyAlignment="1" pivotButton="0" quotePrefix="0" xfId="0">
      <alignment horizontal="left" vertical="bottom"/>
    </xf>
    <xf numFmtId="165" fontId="6" fillId="0" borderId="12" applyAlignment="1" pivotButton="0" quotePrefix="0" xfId="15">
      <alignment horizontal="general" vertical="bottom"/>
    </xf>
    <xf numFmtId="165" fontId="6" fillId="5" borderId="10" applyAlignment="1" pivotButton="0" quotePrefix="0" xfId="15">
      <alignment horizontal="general" vertical="bottom"/>
    </xf>
    <xf numFmtId="4" fontId="6" fillId="0" borderId="10" applyAlignment="1" pivotButton="0" quotePrefix="0" xfId="116">
      <alignment horizontal="general" vertical="bottom"/>
    </xf>
    <xf numFmtId="3" fontId="6" fillId="0" borderId="10" applyAlignment="1" pivotButton="0" quotePrefix="0" xfId="116">
      <alignment horizontal="general" vertical="bottom"/>
    </xf>
    <xf numFmtId="3" fontId="40" fillId="0" borderId="0" applyAlignment="1" pivotButton="0" quotePrefix="0" xfId="0">
      <alignment horizontal="general" vertical="bottom"/>
    </xf>
    <xf numFmtId="0" fontId="42" fillId="0" borderId="0" applyAlignment="1" pivotButton="0" quotePrefix="0" xfId="115">
      <alignment horizontal="general" vertical="bottom"/>
    </xf>
    <xf numFmtId="167" fontId="42" fillId="0" borderId="0" applyAlignment="1" pivotButton="0" quotePrefix="0" xfId="115">
      <alignment horizontal="right" vertical="bottom"/>
    </xf>
    <xf numFmtId="168" fontId="42" fillId="0" borderId="0" applyAlignment="1" pivotButton="0" quotePrefix="0" xfId="15">
      <alignment horizontal="right" vertical="bottom"/>
    </xf>
    <xf numFmtId="168" fontId="42" fillId="0" borderId="0" applyAlignment="1" pivotButton="0" quotePrefix="0" xfId="15">
      <alignment horizontal="general" vertical="bottom"/>
    </xf>
    <xf numFmtId="168" fontId="38" fillId="0" borderId="0" applyAlignment="1" pivotButton="0" quotePrefix="0" xfId="15">
      <alignment horizontal="general" vertical="bottom"/>
    </xf>
    <xf numFmtId="3" fontId="42" fillId="0" borderId="0" applyAlignment="1" pivotButton="0" quotePrefix="0" xfId="115">
      <alignment horizontal="general" vertical="bottom"/>
    </xf>
    <xf numFmtId="167" fontId="6" fillId="0" borderId="0" applyAlignment="1" pivotButton="0" quotePrefix="0" xfId="115">
      <alignment horizontal="left" vertical="bottom"/>
    </xf>
    <xf numFmtId="168" fontId="38" fillId="0" borderId="0" applyAlignment="1" pivotButton="0" quotePrefix="0" xfId="15">
      <alignment horizontal="right" vertical="bottom"/>
    </xf>
    <xf numFmtId="0" fontId="44" fillId="0" borderId="0" applyAlignment="1" pivotButton="0" quotePrefix="0" xfId="115">
      <alignment horizontal="general" vertical="bottom"/>
    </xf>
    <xf numFmtId="167" fontId="38" fillId="0" borderId="0" applyAlignment="1" pivotButton="0" quotePrefix="0" xfId="115">
      <alignment horizontal="right" vertical="bottom"/>
    </xf>
    <xf numFmtId="168" fontId="38" fillId="0" borderId="0" applyAlignment="1" pivotButton="0" quotePrefix="0" xfId="15">
      <alignment horizontal="center" vertical="top"/>
    </xf>
    <xf numFmtId="168" fontId="38" fillId="0" borderId="12" applyAlignment="1" pivotButton="0" quotePrefix="0" xfId="15">
      <alignment horizontal="center" vertical="top"/>
    </xf>
    <xf numFmtId="168" fontId="46" fillId="0" borderId="0" applyAlignment="1" pivotButton="0" quotePrefix="0" xfId="15">
      <alignment horizontal="center" vertical="top"/>
    </xf>
    <xf numFmtId="168" fontId="46" fillId="0" borderId="24" applyAlignment="1" pivotButton="0" quotePrefix="0" xfId="15">
      <alignment horizontal="center" vertical="top"/>
    </xf>
    <xf numFmtId="0" fontId="38" fillId="0" borderId="6" applyAlignment="1" pivotButton="0" quotePrefix="0" xfId="115">
      <alignment horizontal="left" vertical="bottom" wrapText="1"/>
    </xf>
    <xf numFmtId="3" fontId="38" fillId="0" borderId="44" applyAlignment="1" pivotButton="0" quotePrefix="0" xfId="115">
      <alignment horizontal="right" vertical="bottom" wrapText="1"/>
    </xf>
    <xf numFmtId="168" fontId="38" fillId="0" borderId="44" applyAlignment="1" pivotButton="0" quotePrefix="0" xfId="15">
      <alignment horizontal="right" vertical="bottom" wrapText="1"/>
    </xf>
    <xf numFmtId="168" fontId="38" fillId="0" borderId="8" applyAlignment="1" pivotButton="0" quotePrefix="0" xfId="15">
      <alignment horizontal="right" vertical="bottom" wrapText="1"/>
    </xf>
    <xf numFmtId="0" fontId="39" fillId="0" borderId="15" applyAlignment="1" pivotButton="0" quotePrefix="0" xfId="115">
      <alignment horizontal="left" vertical="bottom" wrapText="1"/>
    </xf>
    <xf numFmtId="3" fontId="39" fillId="0" borderId="45" applyAlignment="1" pivotButton="0" quotePrefix="0" xfId="115">
      <alignment horizontal="right" vertical="bottom" wrapText="1"/>
    </xf>
    <xf numFmtId="168" fontId="39" fillId="0" borderId="45" applyAlignment="1" pivotButton="0" quotePrefix="0" xfId="15">
      <alignment horizontal="right" vertical="bottom" wrapText="1"/>
    </xf>
    <xf numFmtId="168" fontId="39" fillId="0" borderId="17" applyAlignment="1" pivotButton="0" quotePrefix="0" xfId="15">
      <alignment horizontal="right" vertical="bottom" wrapText="1"/>
    </xf>
    <xf numFmtId="0" fontId="42" fillId="0" borderId="44" applyAlignment="1" pivotButton="0" quotePrefix="0" xfId="115">
      <alignment horizontal="general" vertical="bottom"/>
    </xf>
    <xf numFmtId="3" fontId="42" fillId="0" borderId="6" applyAlignment="1" pivotButton="0" quotePrefix="0" xfId="115">
      <alignment horizontal="right" vertical="bottom"/>
    </xf>
    <xf numFmtId="3" fontId="42" fillId="0" borderId="44" applyAlignment="1" pivotButton="0" quotePrefix="0" xfId="115">
      <alignment horizontal="right" vertical="bottom"/>
    </xf>
    <xf numFmtId="168" fontId="42" fillId="0" borderId="44" applyAlignment="1" pivotButton="0" quotePrefix="0" xfId="15">
      <alignment horizontal="right" vertical="bottom"/>
    </xf>
    <xf numFmtId="168" fontId="42" fillId="0" borderId="8" applyAlignment="1" pivotButton="0" quotePrefix="0" xfId="15">
      <alignment horizontal="right" vertical="bottom"/>
    </xf>
    <xf numFmtId="168" fontId="42" fillId="0" borderId="8" applyAlignment="1" pivotButton="0" quotePrefix="0" xfId="15">
      <alignment horizontal="general" vertical="bottom"/>
    </xf>
    <xf numFmtId="168" fontId="38" fillId="0" borderId="44" applyAlignment="1" pivotButton="0" quotePrefix="0" xfId="15">
      <alignment horizontal="general" vertical="bottom"/>
    </xf>
    <xf numFmtId="168" fontId="38" fillId="0" borderId="8" applyAlignment="1" pivotButton="0" quotePrefix="0" xfId="15">
      <alignment horizontal="general" vertical="bottom"/>
    </xf>
    <xf numFmtId="168" fontId="42" fillId="0" borderId="44" applyAlignment="1" pivotButton="0" quotePrefix="0" xfId="15">
      <alignment horizontal="general" vertical="bottom"/>
    </xf>
    <xf numFmtId="49" fontId="42" fillId="0" borderId="46" applyAlignment="1" pivotButton="0" quotePrefix="0" xfId="115">
      <alignment horizontal="general" vertical="bottom"/>
    </xf>
    <xf numFmtId="3" fontId="42" fillId="0" borderId="9" applyAlignment="1" pivotButton="0" quotePrefix="0" xfId="115">
      <alignment horizontal="right" vertical="bottom"/>
    </xf>
    <xf numFmtId="3" fontId="38" fillId="0" borderId="46" applyAlignment="1" pivotButton="0" quotePrefix="0" xfId="0">
      <alignment horizontal="right" vertical="bottom"/>
    </xf>
    <xf numFmtId="168" fontId="38" fillId="0" borderId="46" applyAlignment="1" pivotButton="0" quotePrefix="0" xfId="15">
      <alignment horizontal="right" vertical="bottom"/>
    </xf>
    <xf numFmtId="168" fontId="38" fillId="0" borderId="46" applyAlignment="1" pivotButton="0" quotePrefix="0" xfId="15">
      <alignment horizontal="general" vertical="bottom"/>
    </xf>
    <xf numFmtId="168" fontId="42" fillId="0" borderId="13" applyAlignment="1" pivotButton="0" quotePrefix="0" xfId="15">
      <alignment horizontal="general" vertical="bottom"/>
    </xf>
    <xf numFmtId="3" fontId="42" fillId="0" borderId="46" applyAlignment="1" pivotButton="0" quotePrefix="0" xfId="115">
      <alignment horizontal="right" vertical="bottom"/>
    </xf>
    <xf numFmtId="49" fontId="42" fillId="0" borderId="45" applyAlignment="1" pivotButton="0" quotePrefix="0" xfId="115">
      <alignment horizontal="general" vertical="bottom"/>
    </xf>
    <xf numFmtId="3" fontId="42" fillId="0" borderId="45" applyAlignment="1" pivotButton="0" quotePrefix="0" xfId="115">
      <alignment horizontal="right" vertical="bottom"/>
    </xf>
    <xf numFmtId="3" fontId="38" fillId="0" borderId="45" applyAlignment="1" pivotButton="0" quotePrefix="0" xfId="0">
      <alignment horizontal="right" vertical="bottom"/>
    </xf>
    <xf numFmtId="168" fontId="38" fillId="0" borderId="45" applyAlignment="1" pivotButton="0" quotePrefix="0" xfId="15">
      <alignment horizontal="right" vertical="bottom"/>
    </xf>
    <xf numFmtId="168" fontId="38" fillId="0" borderId="45" applyAlignment="1" pivotButton="0" quotePrefix="0" xfId="15">
      <alignment horizontal="general" vertical="bottom"/>
    </xf>
    <xf numFmtId="168" fontId="42" fillId="0" borderId="17" applyAlignment="1" pivotButton="0" quotePrefix="0" xfId="15">
      <alignment horizontal="general" vertical="bottom"/>
    </xf>
    <xf numFmtId="0" fontId="42" fillId="0" borderId="15" applyAlignment="1" pivotButton="0" quotePrefix="0" xfId="115">
      <alignment horizontal="general" vertical="bottom"/>
    </xf>
    <xf numFmtId="3" fontId="38" fillId="0" borderId="16" applyAlignment="1" pivotButton="0" quotePrefix="0" xfId="115">
      <alignment horizontal="right" vertical="bottom"/>
    </xf>
    <xf numFmtId="168" fontId="38" fillId="0" borderId="16" applyAlignment="1" pivotButton="0" quotePrefix="0" xfId="15">
      <alignment horizontal="right" vertical="bottom"/>
    </xf>
    <xf numFmtId="168" fontId="38" fillId="0" borderId="29" applyAlignment="1" pivotButton="0" quotePrefix="0" xfId="15">
      <alignment horizontal="general" vertical="bottom"/>
    </xf>
    <xf numFmtId="168" fontId="38" fillId="0" borderId="29" applyAlignment="1" pivotButton="0" quotePrefix="0" xfId="15">
      <alignment horizontal="right" vertical="bottom"/>
    </xf>
    <xf numFmtId="3" fontId="38" fillId="0" borderId="0" applyAlignment="1" pivotButton="0" quotePrefix="0" xfId="115">
      <alignment horizontal="right" vertical="bottom"/>
    </xf>
    <xf numFmtId="0" fontId="42" fillId="0" borderId="6" applyAlignment="1" pivotButton="0" quotePrefix="0" xfId="115">
      <alignment horizontal="general" vertical="bottom"/>
    </xf>
    <xf numFmtId="0" fontId="38" fillId="0" borderId="44" applyAlignment="1" pivotButton="0" quotePrefix="0" xfId="115">
      <alignment horizontal="left" vertical="bottom" wrapText="1"/>
    </xf>
    <xf numFmtId="3" fontId="38" fillId="0" borderId="8" applyAlignment="1" pivotButton="0" quotePrefix="0" xfId="115">
      <alignment horizontal="right" vertical="bottom" wrapText="1"/>
    </xf>
    <xf numFmtId="0" fontId="42" fillId="0" borderId="9" applyAlignment="1" pivotButton="0" quotePrefix="0" xfId="115">
      <alignment horizontal="general" vertical="bottom"/>
    </xf>
    <xf numFmtId="0" fontId="39" fillId="0" borderId="45" applyAlignment="1" pivotButton="0" quotePrefix="0" xfId="115">
      <alignment horizontal="left" vertical="bottom" wrapText="1"/>
    </xf>
    <xf numFmtId="3" fontId="39" fillId="0" borderId="17" applyAlignment="1" pivotButton="0" quotePrefix="0" xfId="115">
      <alignment horizontal="right" vertical="bottom" wrapText="1"/>
    </xf>
    <xf numFmtId="167" fontId="42" fillId="0" borderId="8" applyAlignment="1" pivotButton="0" quotePrefix="0" xfId="115">
      <alignment horizontal="right" vertical="bottom"/>
    </xf>
    <xf numFmtId="167" fontId="42" fillId="0" borderId="44" applyAlignment="1" pivotButton="0" quotePrefix="0" xfId="115">
      <alignment horizontal="right" vertical="bottom"/>
    </xf>
    <xf numFmtId="167" fontId="6" fillId="0" borderId="13" applyAlignment="1" pivotButton="0" quotePrefix="0" xfId="115">
      <alignment horizontal="right" vertical="bottom"/>
    </xf>
    <xf numFmtId="167" fontId="6" fillId="0" borderId="46" applyAlignment="1" pivotButton="0" quotePrefix="0" xfId="115">
      <alignment horizontal="right" vertical="bottom"/>
    </xf>
    <xf numFmtId="168" fontId="6" fillId="0" borderId="46" applyAlignment="1" pivotButton="0" quotePrefix="0" xfId="15">
      <alignment horizontal="right" vertical="bottom"/>
    </xf>
    <xf numFmtId="168" fontId="38" fillId="0" borderId="13" applyAlignment="1" pivotButton="0" quotePrefix="0" xfId="15">
      <alignment horizontal="general" vertical="bottom"/>
    </xf>
    <xf numFmtId="167" fontId="6" fillId="0" borderId="17" applyAlignment="1" pivotButton="0" quotePrefix="0" xfId="115">
      <alignment horizontal="right" vertical="bottom"/>
    </xf>
    <xf numFmtId="167" fontId="6" fillId="0" borderId="45" applyAlignment="1" pivotButton="0" quotePrefix="0" xfId="115">
      <alignment horizontal="right" vertical="bottom"/>
    </xf>
    <xf numFmtId="168" fontId="6" fillId="0" borderId="45" applyAlignment="1" pivotButton="0" quotePrefix="0" xfId="15">
      <alignment horizontal="right" vertical="bottom"/>
    </xf>
    <xf numFmtId="168" fontId="38" fillId="0" borderId="17" applyAlignment="1" pivotButton="0" quotePrefix="0" xfId="15">
      <alignment horizontal="general" vertical="bottom"/>
    </xf>
    <xf numFmtId="0" fontId="42" fillId="0" borderId="20" applyAlignment="1" pivotButton="0" quotePrefix="0" xfId="115">
      <alignment horizontal="general" vertical="bottom"/>
    </xf>
    <xf numFmtId="3" fontId="38" fillId="0" borderId="1" applyAlignment="1" pivotButton="0" quotePrefix="0" xfId="115">
      <alignment horizontal="right" vertical="bottom"/>
    </xf>
    <xf numFmtId="168" fontId="38" fillId="0" borderId="1" applyAlignment="1" pivotButton="0" quotePrefix="0" xfId="15">
      <alignment horizontal="right" vertical="bottom"/>
    </xf>
    <xf numFmtId="168" fontId="38" fillId="0" borderId="42" applyAlignment="1" pivotButton="0" quotePrefix="0" xfId="15">
      <alignment horizontal="right" vertical="bottom"/>
    </xf>
    <xf numFmtId="0" fontId="39" fillId="0" borderId="9" applyAlignment="1" pivotButton="0" quotePrefix="0" xfId="115">
      <alignment horizontal="left" vertical="bottom" wrapText="1"/>
    </xf>
    <xf numFmtId="3" fontId="39" fillId="0" borderId="46" applyAlignment="1" pivotButton="0" quotePrefix="0" xfId="115">
      <alignment horizontal="right" vertical="bottom" wrapText="1"/>
    </xf>
    <xf numFmtId="168" fontId="39" fillId="0" borderId="46" applyAlignment="1" pivotButton="0" quotePrefix="0" xfId="15">
      <alignment horizontal="right" vertical="bottom" wrapText="1"/>
    </xf>
    <xf numFmtId="168" fontId="39" fillId="0" borderId="13" applyAlignment="1" pivotButton="0" quotePrefix="0" xfId="15">
      <alignment horizontal="right" vertical="bottom" wrapText="1"/>
    </xf>
    <xf numFmtId="3" fontId="42" fillId="0" borderId="7" applyAlignment="1" pivotButton="0" quotePrefix="0" xfId="115">
      <alignment horizontal="right" vertical="bottom"/>
    </xf>
    <xf numFmtId="168" fontId="42" fillId="0" borderId="7" applyAlignment="1" pivotButton="0" quotePrefix="0" xfId="15">
      <alignment horizontal="right" vertical="bottom"/>
    </xf>
    <xf numFmtId="168" fontId="42" fillId="0" borderId="7" applyAlignment="1" pivotButton="0" quotePrefix="0" xfId="15">
      <alignment horizontal="general" vertical="bottom"/>
    </xf>
    <xf numFmtId="49" fontId="42" fillId="0" borderId="9" applyAlignment="1" pivotButton="0" quotePrefix="0" xfId="115">
      <alignment horizontal="general" vertical="bottom"/>
    </xf>
    <xf numFmtId="0" fontId="38" fillId="0" borderId="0" applyAlignment="1" pivotButton="0" quotePrefix="0" xfId="0">
      <alignment horizontal="right" vertical="bottom"/>
    </xf>
    <xf numFmtId="168" fontId="42" fillId="0" borderId="46" applyAlignment="1" pivotButton="0" quotePrefix="0" xfId="15">
      <alignment horizontal="general" vertical="bottom"/>
    </xf>
    <xf numFmtId="49" fontId="42" fillId="0" borderId="15" applyAlignment="1" pivotButton="0" quotePrefix="0" xfId="115">
      <alignment horizontal="general" vertical="bottom"/>
    </xf>
    <xf numFmtId="3" fontId="38" fillId="0" borderId="16" applyAlignment="1" pivotButton="0" quotePrefix="0" xfId="0">
      <alignment horizontal="right" vertical="bottom"/>
    </xf>
    <xf numFmtId="168" fontId="42" fillId="0" borderId="45" applyAlignment="1" pivotButton="0" quotePrefix="0" xfId="15">
      <alignment horizontal="general" vertical="bottom"/>
    </xf>
    <xf numFmtId="168" fontId="42" fillId="0" borderId="16" applyAlignment="1" pivotButton="0" quotePrefix="0" xfId="15">
      <alignment horizontal="general" vertical="bottom"/>
    </xf>
    <xf numFmtId="168" fontId="38" fillId="0" borderId="16" applyAlignment="1" pivotButton="0" quotePrefix="0" xfId="15">
      <alignment horizontal="general" vertical="bottom"/>
    </xf>
    <xf numFmtId="169" fontId="6" fillId="0" borderId="46" applyAlignment="1" pivotButton="0" quotePrefix="0" xfId="15">
      <alignment horizontal="right" vertical="bottom"/>
    </xf>
    <xf numFmtId="169" fontId="6" fillId="0" borderId="45" applyAlignment="1" pivotButton="0" quotePrefix="0" xfId="15">
      <alignment horizontal="right" vertical="bottom"/>
    </xf>
    <xf numFmtId="169" fontId="38" fillId="0" borderId="16" applyAlignment="1" pivotButton="0" quotePrefix="0" xfId="15">
      <alignment horizontal="right" vertical="bottom"/>
    </xf>
    <xf numFmtId="168" fontId="38" fillId="0" borderId="17" applyAlignment="1" pivotButton="0" quotePrefix="0" xfId="15">
      <alignment horizontal="right" vertical="bottom"/>
    </xf>
    <xf numFmtId="168" fontId="44" fillId="0" borderId="8" applyAlignment="1" pivotButton="0" quotePrefix="0" xfId="15">
      <alignment horizontal="right" vertical="bottom"/>
    </xf>
    <xf numFmtId="168" fontId="38" fillId="0" borderId="7" applyAlignment="1" pivotButton="0" quotePrefix="0" xfId="15">
      <alignment horizontal="general" vertical="bottom"/>
    </xf>
    <xf numFmtId="168" fontId="44" fillId="0" borderId="44" applyAlignment="1" pivotButton="0" quotePrefix="0" xfId="15">
      <alignment horizontal="general" vertical="bottom"/>
    </xf>
    <xf numFmtId="3" fontId="42" fillId="0" borderId="0" applyAlignment="1" pivotButton="0" quotePrefix="0" xfId="115">
      <alignment horizontal="right" vertical="bottom"/>
    </xf>
    <xf numFmtId="0" fontId="38" fillId="0" borderId="46" applyAlignment="1" pivotButton="0" quotePrefix="0" xfId="0">
      <alignment horizontal="right" vertical="bottom"/>
    </xf>
    <xf numFmtId="3" fontId="42" fillId="0" borderId="13" applyAlignment="1" pivotButton="0" quotePrefix="0" xfId="115">
      <alignment horizontal="right" vertical="bottom"/>
    </xf>
    <xf numFmtId="169" fontId="42" fillId="0" borderId="44" applyAlignment="1" pivotButton="0" quotePrefix="0" xfId="15">
      <alignment horizontal="right" vertical="bottom"/>
    </xf>
    <xf numFmtId="169" fontId="42" fillId="0" borderId="8" applyAlignment="1" pivotButton="0" quotePrefix="0" xfId="15">
      <alignment horizontal="general" vertical="bottom"/>
    </xf>
    <xf numFmtId="168" fontId="42" fillId="0" borderId="13" applyAlignment="1" pivotButton="0" quotePrefix="0" xfId="15">
      <alignment horizontal="right" vertical="bottom"/>
    </xf>
    <xf numFmtId="168" fontId="42" fillId="0" borderId="46" applyAlignment="1" pivotButton="0" quotePrefix="0" xfId="15">
      <alignment horizontal="right" vertical="bottom"/>
    </xf>
    <xf numFmtId="169" fontId="38" fillId="0" borderId="1" applyAlignment="1" pivotButton="0" quotePrefix="0" xfId="15">
      <alignment horizontal="right" vertical="bottom"/>
    </xf>
    <xf numFmtId="0" fontId="38" fillId="0" borderId="0" applyAlignment="1" pivotButton="0" quotePrefix="0" xfId="0">
      <alignment horizontal="center" vertical="top"/>
    </xf>
    <xf numFmtId="168" fontId="38" fillId="0" borderId="16" applyAlignment="1" pivotButton="0" quotePrefix="0" xfId="15">
      <alignment horizontal="center" vertical="top"/>
    </xf>
    <xf numFmtId="168" fontId="46" fillId="0" borderId="16" applyAlignment="1" pivotButton="0" quotePrefix="0" xfId="15">
      <alignment horizontal="center" vertical="top"/>
    </xf>
    <xf numFmtId="168" fontId="38" fillId="0" borderId="46" applyAlignment="1" pivotButton="0" quotePrefix="0" xfId="15">
      <alignment horizontal="right" vertical="bottom" wrapText="1"/>
    </xf>
    <xf numFmtId="168" fontId="38" fillId="0" borderId="13" applyAlignment="1" pivotButton="0" quotePrefix="0" xfId="15">
      <alignment horizontal="right" vertical="bottom" wrapText="1"/>
    </xf>
    <xf numFmtId="168" fontId="38" fillId="0" borderId="13" applyAlignment="1" pivotButton="0" quotePrefix="0" xfId="15">
      <alignment horizontal="right" vertical="bottom"/>
    </xf>
    <xf numFmtId="168" fontId="44" fillId="0" borderId="13" applyAlignment="1" pivotButton="0" quotePrefix="0" xfId="15">
      <alignment horizontal="general" vertical="bottom"/>
    </xf>
    <xf numFmtId="0" fontId="38" fillId="0" borderId="45" applyAlignment="1" pivotButton="0" quotePrefix="0" xfId="0">
      <alignment horizontal="right" vertical="bottom"/>
    </xf>
    <xf numFmtId="169" fontId="38" fillId="0" borderId="46" applyAlignment="1" pivotButton="0" quotePrefix="0" xfId="15">
      <alignment horizontal="general" vertical="bottom"/>
    </xf>
    <xf numFmtId="169" fontId="42" fillId="0" borderId="13" applyAlignment="1" pivotButton="0" quotePrefix="0" xfId="15">
      <alignment horizontal="general" vertical="bottom"/>
    </xf>
    <xf numFmtId="169" fontId="38" fillId="0" borderId="13" applyAlignment="1" pivotButton="0" quotePrefix="0" xfId="15">
      <alignment horizontal="general" vertical="bottom"/>
    </xf>
    <xf numFmtId="169" fontId="38" fillId="0" borderId="45" applyAlignment="1" pivotButton="0" quotePrefix="0" xfId="15">
      <alignment horizontal="general" vertical="bottom"/>
    </xf>
    <xf numFmtId="169" fontId="42" fillId="0" borderId="17" applyAlignment="1" pivotButton="0" quotePrefix="0" xfId="15">
      <alignment horizontal="general" vertical="bottom"/>
    </xf>
    <xf numFmtId="169" fontId="38" fillId="0" borderId="17" applyAlignment="1" pivotButton="0" quotePrefix="0" xfId="15">
      <alignment horizontal="general" vertical="bottom"/>
    </xf>
    <xf numFmtId="169" fontId="38" fillId="0" borderId="42" applyAlignment="1" pivotButton="0" quotePrefix="0" xfId="15">
      <alignment horizontal="right" vertical="bottom"/>
    </xf>
    <xf numFmtId="165" fontId="42" fillId="0" borderId="9" applyAlignment="1" pivotButton="0" quotePrefix="0" xfId="15">
      <alignment horizontal="right" vertical="bottom"/>
    </xf>
    <xf numFmtId="165" fontId="38" fillId="0" borderId="46" applyAlignment="1" pivotButton="0" quotePrefix="0" xfId="15">
      <alignment horizontal="right" vertical="bottom"/>
    </xf>
    <xf numFmtId="165" fontId="42" fillId="0" borderId="46" applyAlignment="1" pivotButton="0" quotePrefix="0" xfId="15">
      <alignment horizontal="right" vertical="bottom"/>
    </xf>
    <xf numFmtId="165" fontId="42" fillId="0" borderId="45" applyAlignment="1" pivotButton="0" quotePrefix="0" xfId="15">
      <alignment horizontal="right" vertical="bottom"/>
    </xf>
    <xf numFmtId="165" fontId="38" fillId="0" borderId="45" applyAlignment="1" pivotButton="0" quotePrefix="0" xfId="15">
      <alignment horizontal="right" vertical="bottom"/>
    </xf>
    <xf numFmtId="165" fontId="38" fillId="0" borderId="1" applyAlignment="1" pivotButton="0" quotePrefix="0" xfId="15">
      <alignment horizontal="right" vertical="bottom"/>
    </xf>
    <xf numFmtId="0" fontId="44" fillId="0" borderId="10" applyAlignment="1" pivotButton="0" quotePrefix="0" xfId="115">
      <alignment horizontal="general" vertical="bottom"/>
    </xf>
    <xf numFmtId="168" fontId="38" fillId="0" borderId="10" applyAlignment="1" pivotButton="0" quotePrefix="0" xfId="15">
      <alignment horizontal="general" vertical="bottom"/>
    </xf>
    <xf numFmtId="0" fontId="44" fillId="0" borderId="39" applyAlignment="1" pivotButton="0" quotePrefix="0" xfId="115">
      <alignment horizontal="general" vertical="bottom"/>
    </xf>
    <xf numFmtId="168" fontId="38" fillId="0" borderId="39" applyAlignment="1" pivotButton="0" quotePrefix="0" xfId="15">
      <alignment horizontal="general" vertical="bottom"/>
    </xf>
    <xf numFmtId="167" fontId="42" fillId="0" borderId="10" applyAlignment="1" pivotButton="0" quotePrefix="0" xfId="115">
      <alignment horizontal="right" vertical="bottom"/>
    </xf>
    <xf numFmtId="168" fontId="42" fillId="0" borderId="10" applyAlignment="1" pivotButton="0" quotePrefix="0" xfId="15">
      <alignment horizontal="right" vertical="bottom"/>
    </xf>
    <xf numFmtId="168" fontId="42" fillId="0" borderId="10" applyAlignment="1" pivotButton="0" quotePrefix="0" xfId="15">
      <alignment horizontal="general" vertical="bottom"/>
    </xf>
    <xf numFmtId="0" fontId="42" fillId="0" borderId="0" applyAlignment="1" pivotButton="0" quotePrefix="0" xfId="115">
      <alignment horizontal="right" vertical="bottom"/>
    </xf>
    <xf numFmtId="0" fontId="45" fillId="0" borderId="0" applyAlignment="1" pivotButton="0" quotePrefix="0" xfId="115">
      <alignment horizontal="general" vertical="bottom"/>
    </xf>
    <xf numFmtId="9" fontId="42" fillId="0" borderId="10" applyAlignment="1" pivotButton="0" quotePrefix="0" xfId="115">
      <alignment horizontal="general" vertical="bottom"/>
    </xf>
    <xf numFmtId="168" fontId="47" fillId="0" borderId="0" applyAlignment="1" pivotButton="0" quotePrefix="0" xfId="15">
      <alignment horizontal="center" vertical="bottom"/>
    </xf>
    <xf numFmtId="168" fontId="47" fillId="0" borderId="0" applyAlignment="1" pivotButton="0" quotePrefix="0" xfId="15">
      <alignment horizontal="general" vertical="bottom"/>
    </xf>
    <xf numFmtId="0" fontId="6" fillId="0" borderId="10" applyAlignment="1" pivotButton="0" quotePrefix="0" xfId="0">
      <alignment horizontal="general" vertical="bottom"/>
    </xf>
    <xf numFmtId="9" fontId="40" fillId="0" borderId="0" applyAlignment="1" pivotButton="0" quotePrefix="0" xfId="115">
      <alignment horizontal="general" vertical="bottom"/>
    </xf>
    <xf numFmtId="0" fontId="42" fillId="0" borderId="10" applyAlignment="1" pivotButton="0" quotePrefix="0" xfId="115">
      <alignment horizontal="general" vertical="bottom"/>
    </xf>
    <xf numFmtId="0" fontId="42" fillId="0" borderId="10" applyAlignment="1" pivotButton="0" quotePrefix="0" xfId="0">
      <alignment horizontal="left" vertical="bottom" indent="1"/>
    </xf>
    <xf numFmtId="168" fontId="6" fillId="0" borderId="10" applyAlignment="1" pivotButton="0" quotePrefix="0" xfId="15">
      <alignment horizontal="general" vertical="bottom"/>
    </xf>
    <xf numFmtId="0" fontId="42" fillId="0" borderId="10" applyAlignment="1" pivotButton="0" quotePrefix="0" xfId="115">
      <alignment horizontal="general" vertical="bottom" wrapText="1"/>
    </xf>
    <xf numFmtId="168" fontId="6" fillId="0" borderId="0" applyAlignment="1" pivotButton="0" quotePrefix="0" xfId="15">
      <alignment horizontal="general" vertical="bottom"/>
    </xf>
    <xf numFmtId="167" fontId="42" fillId="0" borderId="1" applyAlignment="1" pivotButton="0" quotePrefix="0" xfId="115">
      <alignment horizontal="right" vertical="bottom"/>
    </xf>
    <xf numFmtId="168" fontId="42" fillId="0" borderId="1" applyAlignment="1" pivotButton="0" quotePrefix="0" xfId="15">
      <alignment horizontal="right" vertical="bottom"/>
    </xf>
    <xf numFmtId="168" fontId="42" fillId="0" borderId="1" applyAlignment="1" pivotButton="0" quotePrefix="0" xfId="15">
      <alignment horizontal="general" vertical="bottom"/>
    </xf>
    <xf numFmtId="168" fontId="38" fillId="0" borderId="1" applyAlignment="1" pivotButton="0" quotePrefix="0" xfId="15">
      <alignment horizontal="general" vertical="bottom"/>
    </xf>
    <xf numFmtId="168" fontId="38" fillId="0" borderId="42" applyAlignment="1" pivotButton="0" quotePrefix="0" xfId="15">
      <alignment horizontal="general" vertical="bottom"/>
    </xf>
    <xf numFmtId="9" fontId="38" fillId="0" borderId="0" applyAlignment="1" pivotButton="0" quotePrefix="0" xfId="19">
      <alignment horizontal="general" vertical="bottom"/>
    </xf>
    <xf numFmtId="0" fontId="6" fillId="0" borderId="0" applyAlignment="1" pivotButton="0" quotePrefix="0" xfId="113">
      <alignment horizontal="general" vertical="bottom"/>
    </xf>
    <xf numFmtId="0" fontId="6" fillId="0" borderId="0" applyAlignment="1" pivotButton="0" quotePrefix="0" xfId="113">
      <alignment horizontal="center" vertical="bottom"/>
    </xf>
    <xf numFmtId="0" fontId="48" fillId="0" borderId="0" applyAlignment="1" pivotButton="0" quotePrefix="0" xfId="113">
      <alignment horizontal="general" vertical="bottom"/>
    </xf>
    <xf numFmtId="0" fontId="42" fillId="0" borderId="0" applyAlignment="1" pivotButton="0" quotePrefix="0" xfId="113">
      <alignment horizontal="center" vertical="bottom"/>
    </xf>
    <xf numFmtId="0" fontId="45" fillId="0" borderId="0" applyAlignment="1" pivotButton="0" quotePrefix="0" xfId="113">
      <alignment horizontal="center" vertical="bottom"/>
    </xf>
    <xf numFmtId="0" fontId="45" fillId="0" borderId="0" applyAlignment="1" pivotButton="0" quotePrefix="0" xfId="113">
      <alignment horizontal="general" vertical="bottom"/>
    </xf>
    <xf numFmtId="0" fontId="39" fillId="0" borderId="0" applyAlignment="1" pivotButton="0" quotePrefix="0" xfId="113">
      <alignment horizontal="general" vertical="bottom"/>
    </xf>
    <xf numFmtId="0" fontId="38" fillId="0" borderId="0" applyAlignment="1" pivotButton="0" quotePrefix="0" xfId="113">
      <alignment horizontal="general" vertical="bottom"/>
    </xf>
    <xf numFmtId="170" fontId="38" fillId="0" borderId="0" applyAlignment="1" pivotButton="0" quotePrefix="0" xfId="113">
      <alignment horizontal="left" vertical="bottom"/>
    </xf>
    <xf numFmtId="0" fontId="6" fillId="0" borderId="0" applyAlignment="1" pivotButton="0" quotePrefix="0" xfId="113">
      <alignment horizontal="general" vertical="bottom" wrapText="1"/>
    </xf>
    <xf numFmtId="0" fontId="39" fillId="0" borderId="39" applyAlignment="1" pivotButton="0" quotePrefix="0" xfId="113">
      <alignment horizontal="general" vertical="bottom" wrapText="1"/>
    </xf>
    <xf numFmtId="0" fontId="39" fillId="0" borderId="47" applyAlignment="1" pivotButton="0" quotePrefix="0" xfId="113">
      <alignment horizontal="general" vertical="bottom"/>
    </xf>
    <xf numFmtId="0" fontId="39" fillId="0" borderId="2" applyAlignment="1" pivotButton="0" quotePrefix="0" xfId="113">
      <alignment horizontal="general" vertical="bottom"/>
    </xf>
    <xf numFmtId="0" fontId="6" fillId="0" borderId="2" applyAlignment="1" pivotButton="0" quotePrefix="0" xfId="113">
      <alignment horizontal="general" vertical="bottom"/>
    </xf>
    <xf numFmtId="0" fontId="39" fillId="0" borderId="39" applyAlignment="1" pivotButton="0" quotePrefix="0" xfId="113">
      <alignment horizontal="center" vertical="bottom" wrapText="1"/>
    </xf>
    <xf numFmtId="0" fontId="39" fillId="0" borderId="18" applyAlignment="1" pivotButton="0" quotePrefix="0" xfId="113">
      <alignment horizontal="general" vertical="bottom"/>
    </xf>
    <xf numFmtId="0" fontId="41" fillId="0" borderId="10" applyAlignment="1" pivotButton="0" quotePrefix="0" xfId="113">
      <alignment horizontal="general" vertical="bottom"/>
    </xf>
    <xf numFmtId="0" fontId="6" fillId="0" borderId="18" applyAlignment="1" pivotButton="0" quotePrefix="0" xfId="113">
      <alignment horizontal="center" vertical="bottom"/>
    </xf>
    <xf numFmtId="0" fontId="6" fillId="0" borderId="18" applyAlignment="1" pivotButton="0" quotePrefix="0" xfId="113">
      <alignment horizontal="general" vertical="bottom"/>
    </xf>
    <xf numFmtId="0" fontId="6" fillId="0" borderId="10" applyAlignment="1" pivotButton="0" quotePrefix="0" xfId="113">
      <alignment horizontal="general" vertical="bottom"/>
    </xf>
    <xf numFmtId="1" fontId="6" fillId="0" borderId="10" applyAlignment="1" pivotButton="0" quotePrefix="0" xfId="113">
      <alignment horizontal="general" vertical="bottom"/>
    </xf>
    <xf numFmtId="0" fontId="6" fillId="0" borderId="10" applyAlignment="1" pivotButton="0" quotePrefix="0" xfId="113">
      <alignment horizontal="center" vertical="bottom" wrapText="1"/>
    </xf>
    <xf numFmtId="0" fontId="6" fillId="0" borderId="0" applyAlignment="1" pivotButton="0" quotePrefix="0" xfId="113">
      <alignment horizontal="center" vertical="bottom" wrapText="1"/>
    </xf>
    <xf numFmtId="0" fontId="41" fillId="0" borderId="0" applyAlignment="1" pivotButton="0" quotePrefix="0" xfId="113">
      <alignment horizontal="general" vertical="bottom"/>
    </xf>
    <xf numFmtId="0" fontId="40" fillId="0" borderId="0" applyAlignment="1" pivotButton="0" quotePrefix="0" xfId="113">
      <alignment horizontal="general" vertical="bottom"/>
    </xf>
    <xf numFmtId="0" fontId="46" fillId="0" borderId="0" applyAlignment="1" pivotButton="0" quotePrefix="0" xfId="113">
      <alignment horizontal="general" vertical="bottom"/>
    </xf>
    <xf numFmtId="0" fontId="41" fillId="0" borderId="0" applyAlignment="1" pivotButton="0" quotePrefix="0" xfId="113">
      <alignment horizontal="general" vertical="bottom" readingOrder="1"/>
    </xf>
    <xf numFmtId="0" fontId="49" fillId="0" borderId="0" applyAlignment="1" pivotButton="0" quotePrefix="0" xfId="113">
      <alignment horizontal="general" vertical="bottom"/>
    </xf>
    <xf numFmtId="0" fontId="6" fillId="10" borderId="10" applyAlignment="1" pivotButton="0" quotePrefix="0" xfId="113">
      <alignment horizontal="general" vertical="bottom"/>
    </xf>
    <xf numFmtId="0" fontId="6" fillId="10" borderId="47" applyAlignment="1" pivotButton="0" quotePrefix="0" xfId="113">
      <alignment horizontal="general" vertical="bottom"/>
    </xf>
    <xf numFmtId="171" fontId="6" fillId="0" borderId="10" applyAlignment="1" pivotButton="0" quotePrefix="0" xfId="17">
      <alignment horizontal="general" vertical="bottom"/>
    </xf>
    <xf numFmtId="0" fontId="38" fillId="0" borderId="10" applyAlignment="1" pivotButton="0" quotePrefix="0" xfId="113">
      <alignment horizontal="general" vertical="bottom"/>
    </xf>
    <xf numFmtId="171" fontId="38" fillId="0" borderId="10" applyAlignment="1" pivotButton="0" quotePrefix="0" xfId="17">
      <alignment horizontal="general" vertical="bottom"/>
    </xf>
    <xf numFmtId="171" fontId="6" fillId="0" borderId="0" applyAlignment="1" pivotButton="0" quotePrefix="0" xfId="113">
      <alignment horizontal="general" vertical="bottom"/>
    </xf>
    <xf numFmtId="1" fontId="6" fillId="0" borderId="0" applyAlignment="1" pivotButton="0" quotePrefix="0" xfId="112">
      <alignment horizontal="general" vertical="bottom"/>
    </xf>
    <xf numFmtId="1" fontId="38" fillId="0" borderId="0" applyAlignment="1" pivotButton="0" quotePrefix="0" xfId="112">
      <alignment horizontal="general" vertical="bottom"/>
    </xf>
    <xf numFmtId="1" fontId="50" fillId="0" borderId="0" applyAlignment="1" pivotButton="0" quotePrefix="0" xfId="0">
      <alignment horizontal="left" vertical="bottom"/>
    </xf>
    <xf numFmtId="1" fontId="51" fillId="0" borderId="0" applyAlignment="1" pivotButton="0" quotePrefix="0" xfId="112">
      <alignment horizontal="general" vertical="bottom"/>
    </xf>
    <xf numFmtId="0" fontId="6" fillId="0" borderId="6" applyAlignment="1" pivotButton="0" quotePrefix="0" xfId="0">
      <alignment horizontal="general" vertical="bottom"/>
    </xf>
    <xf numFmtId="1" fontId="6" fillId="0" borderId="7" applyAlignment="1" pivotButton="0" quotePrefix="0" xfId="112">
      <alignment horizontal="general" vertical="bottom"/>
    </xf>
    <xf numFmtId="1" fontId="6" fillId="0" borderId="8" applyAlignment="1" pivotButton="0" quotePrefix="0" xfId="112">
      <alignment horizontal="general" vertical="bottom"/>
    </xf>
    <xf numFmtId="1" fontId="6" fillId="0" borderId="0" applyAlignment="1" pivotButton="0" quotePrefix="0" xfId="112">
      <alignment horizontal="center" vertical="bottom"/>
    </xf>
    <xf numFmtId="1" fontId="38" fillId="0" borderId="0" applyAlignment="1" pivotButton="0" quotePrefix="0" xfId="0">
      <alignment horizontal="center" vertical="bottom" wrapText="1"/>
    </xf>
    <xf numFmtId="1" fontId="38" fillId="0" borderId="15" applyAlignment="1" pivotButton="0" quotePrefix="0" xfId="112">
      <alignment horizontal="center" vertical="bottom"/>
    </xf>
    <xf numFmtId="1" fontId="38" fillId="0" borderId="16" applyAlignment="1" pivotButton="0" quotePrefix="0" xfId="112">
      <alignment horizontal="center" vertical="bottom"/>
    </xf>
    <xf numFmtId="1" fontId="38" fillId="0" borderId="17" applyAlignment="1" pivotButton="0" quotePrefix="0" xfId="112">
      <alignment horizontal="center" vertical="bottom"/>
    </xf>
    <xf numFmtId="1" fontId="38" fillId="0" borderId="6" applyAlignment="1" pivotButton="0" quotePrefix="0" xfId="112">
      <alignment horizontal="general" vertical="bottom"/>
    </xf>
    <xf numFmtId="1" fontId="38" fillId="0" borderId="8" applyAlignment="1" pivotButton="0" quotePrefix="0" xfId="112">
      <alignment horizontal="general" vertical="bottom"/>
    </xf>
    <xf numFmtId="1" fontId="38" fillId="0" borderId="9" applyAlignment="1" pivotButton="0" quotePrefix="0" xfId="112">
      <alignment horizontal="general" vertical="bottom"/>
    </xf>
    <xf numFmtId="0" fontId="38" fillId="0" borderId="10" applyAlignment="1" pivotButton="0" quotePrefix="0" xfId="112">
      <alignment horizontal="general" vertical="bottom"/>
    </xf>
    <xf numFmtId="1" fontId="6" fillId="0" borderId="10" applyAlignment="1" pivotButton="0" quotePrefix="0" xfId="17">
      <alignment horizontal="general" vertical="bottom"/>
    </xf>
    <xf numFmtId="1" fontId="38" fillId="0" borderId="11" applyAlignment="1" pivotButton="0" quotePrefix="0" xfId="17">
      <alignment horizontal="general" vertical="bottom"/>
    </xf>
    <xf numFmtId="0" fontId="6" fillId="0" borderId="10" applyAlignment="1" pivotButton="0" quotePrefix="0" xfId="112">
      <alignment horizontal="general" vertical="bottom"/>
    </xf>
    <xf numFmtId="168" fontId="38" fillId="0" borderId="11" applyAlignment="1" pivotButton="0" quotePrefix="0" xfId="15">
      <alignment horizontal="general" vertical="bottom"/>
    </xf>
    <xf numFmtId="10" fontId="6" fillId="0" borderId="0" applyAlignment="1" pivotButton="0" quotePrefix="0" xfId="19">
      <alignment horizontal="general" vertical="bottom"/>
    </xf>
    <xf numFmtId="1" fontId="6" fillId="0" borderId="9" applyAlignment="1" pivotButton="0" quotePrefix="0" xfId="112">
      <alignment horizontal="general" vertical="bottom"/>
    </xf>
    <xf numFmtId="1" fontId="6" fillId="0" borderId="10" applyAlignment="1" pivotButton="0" quotePrefix="0" xfId="112">
      <alignment horizontal="general" vertical="bottom"/>
    </xf>
    <xf numFmtId="1" fontId="38" fillId="0" borderId="15" applyAlignment="1" pivotButton="0" quotePrefix="0" xfId="112">
      <alignment horizontal="general" vertical="bottom"/>
    </xf>
    <xf numFmtId="1" fontId="6" fillId="0" borderId="48" applyAlignment="1" pivotButton="0" quotePrefix="0" xfId="112">
      <alignment horizontal="general" vertical="bottom"/>
    </xf>
    <xf numFmtId="168" fontId="38" fillId="0" borderId="48" applyAlignment="1" pivotButton="0" quotePrefix="0" xfId="15">
      <alignment horizontal="general" vertical="bottom"/>
    </xf>
    <xf numFmtId="168" fontId="38" fillId="0" borderId="19" applyAlignment="1" pivotButton="0" quotePrefix="0" xfId="15">
      <alignment horizontal="general" vertical="bottom"/>
    </xf>
    <xf numFmtId="9" fontId="6" fillId="0" borderId="0" applyAlignment="1" pivotButton="0" quotePrefix="0" xfId="19">
      <alignment horizontal="general" vertical="bottom"/>
    </xf>
    <xf numFmtId="1" fontId="6" fillId="0" borderId="0" applyAlignment="1" pivotButton="0" quotePrefix="0" xfId="0">
      <alignment horizontal="general" vertical="bottom"/>
    </xf>
    <xf numFmtId="1" fontId="38" fillId="0" borderId="0" applyAlignment="1" pivotButton="0" quotePrefix="0" xfId="0">
      <alignment horizontal="general" vertical="bottom"/>
    </xf>
    <xf numFmtId="1" fontId="6" fillId="0" borderId="0" applyAlignment="1" pivotButton="0" quotePrefix="0" xfId="0">
      <alignment horizontal="center" vertical="bottom"/>
    </xf>
    <xf numFmtId="1" fontId="38" fillId="0" borderId="0" applyAlignment="1" pivotButton="0" quotePrefix="0" xfId="0">
      <alignment horizontal="center" vertical="bottom"/>
    </xf>
    <xf numFmtId="1" fontId="38" fillId="0" borderId="6" applyAlignment="1" pivotButton="0" quotePrefix="0" xfId="0">
      <alignment horizontal="general" vertical="bottom"/>
    </xf>
    <xf numFmtId="1" fontId="6" fillId="0" borderId="7" applyAlignment="1" pivotButton="0" quotePrefix="0" xfId="0">
      <alignment horizontal="general" vertical="bottom"/>
    </xf>
    <xf numFmtId="1" fontId="6" fillId="0" borderId="8" applyAlignment="1" pivotButton="0" quotePrefix="0" xfId="0">
      <alignment horizontal="general" vertical="bottom"/>
    </xf>
    <xf numFmtId="1" fontId="38" fillId="0" borderId="9" applyAlignment="1" pivotButton="0" quotePrefix="0" xfId="0">
      <alignment horizontal="general" vertical="bottom"/>
    </xf>
    <xf numFmtId="1" fontId="6" fillId="0" borderId="10" applyAlignment="1" pivotButton="0" quotePrefix="0" xfId="0">
      <alignment horizontal="general" vertical="bottom"/>
    </xf>
    <xf numFmtId="168" fontId="38" fillId="6" borderId="11" applyAlignment="1" pivotButton="0" quotePrefix="0" xfId="15">
      <alignment horizontal="general" vertical="bottom"/>
    </xf>
    <xf numFmtId="1" fontId="6" fillId="0" borderId="12" applyAlignment="1" pivotButton="0" quotePrefix="0" xfId="0">
      <alignment horizontal="general" vertical="bottom"/>
    </xf>
    <xf numFmtId="168" fontId="6" fillId="6" borderId="25" applyAlignment="1" pivotButton="0" quotePrefix="0" xfId="15">
      <alignment horizontal="general" vertical="bottom"/>
    </xf>
    <xf numFmtId="168" fontId="6" fillId="0" borderId="25" applyAlignment="1" pivotButton="0" quotePrefix="0" xfId="15">
      <alignment horizontal="general" vertical="bottom"/>
    </xf>
    <xf numFmtId="1" fontId="6" fillId="0" borderId="18" applyAlignment="1" pivotButton="0" quotePrefix="0" xfId="0">
      <alignment horizontal="general" vertical="bottom"/>
    </xf>
    <xf numFmtId="168" fontId="6" fillId="0" borderId="11" applyAlignment="1" pivotButton="0" quotePrefix="0" xfId="15">
      <alignment horizontal="general" vertical="bottom"/>
    </xf>
    <xf numFmtId="1" fontId="6" fillId="0" borderId="9" applyAlignment="1" pivotButton="0" quotePrefix="0" xfId="0">
      <alignment horizontal="general" vertical="bottom"/>
    </xf>
    <xf numFmtId="1" fontId="6" fillId="0" borderId="37" applyAlignment="1" pivotButton="0" quotePrefix="0" xfId="0">
      <alignment horizontal="general" vertical="bottom"/>
    </xf>
    <xf numFmtId="1" fontId="6" fillId="0" borderId="39" applyAlignment="1" pivotButton="0" quotePrefix="0" xfId="0">
      <alignment horizontal="general" vertical="bottom"/>
    </xf>
    <xf numFmtId="1" fontId="6" fillId="0" borderId="39" applyAlignment="1" pivotButton="0" quotePrefix="0" xfId="17">
      <alignment horizontal="general" vertical="bottom"/>
    </xf>
    <xf numFmtId="168" fontId="6" fillId="0" borderId="39" applyAlignment="1" pivotButton="0" quotePrefix="0" xfId="15">
      <alignment horizontal="general" vertical="bottom"/>
    </xf>
    <xf numFmtId="168" fontId="38" fillId="0" borderId="40" applyAlignment="1" pivotButton="0" quotePrefix="0" xfId="15">
      <alignment horizontal="general" vertical="bottom"/>
    </xf>
    <xf numFmtId="1" fontId="38" fillId="0" borderId="15" applyAlignment="1" pivotButton="0" quotePrefix="0" xfId="0">
      <alignment horizontal="general" vertical="bottom"/>
    </xf>
    <xf numFmtId="1" fontId="6" fillId="0" borderId="48" applyAlignment="1" pivotButton="0" quotePrefix="0" xfId="0">
      <alignment horizontal="general" vertical="bottom"/>
    </xf>
    <xf numFmtId="1" fontId="38" fillId="0" borderId="48" applyAlignment="1" pivotButton="0" quotePrefix="0" xfId="17">
      <alignment horizontal="general" vertical="bottom"/>
    </xf>
    <xf numFmtId="0" fontId="6" fillId="0" borderId="0" applyAlignment="1" pivotButton="0" quotePrefix="0" xfId="119">
      <alignment horizontal="general" vertical="bottom"/>
    </xf>
    <xf numFmtId="0" fontId="6" fillId="0" borderId="0" applyAlignment="1" pivotButton="0" quotePrefix="0" xfId="119">
      <alignment horizontal="center" vertical="bottom"/>
    </xf>
    <xf numFmtId="0" fontId="38" fillId="3" borderId="41" applyAlignment="1" pivotButton="0" quotePrefix="0" xfId="119">
      <alignment horizontal="general" vertical="bottom" wrapText="1"/>
    </xf>
    <xf numFmtId="0" fontId="38" fillId="3" borderId="49" applyAlignment="1" pivotButton="0" quotePrefix="0" xfId="119">
      <alignment horizontal="general" vertical="bottom" wrapText="1"/>
    </xf>
    <xf numFmtId="0" fontId="38" fillId="3" borderId="49" applyAlignment="1" pivotButton="0" quotePrefix="0" xfId="119">
      <alignment horizontal="center" vertical="bottom" wrapText="1"/>
    </xf>
    <xf numFmtId="0" fontId="38" fillId="3" borderId="49" applyAlignment="1" pivotButton="0" quotePrefix="0" xfId="119">
      <alignment horizontal="center" vertical="bottom"/>
    </xf>
    <xf numFmtId="0" fontId="38" fillId="3" borderId="50" applyAlignment="1" pivotButton="0" quotePrefix="0" xfId="119">
      <alignment horizontal="center" vertical="bottom"/>
    </xf>
    <xf numFmtId="0" fontId="38" fillId="0" borderId="0" applyAlignment="1" pivotButton="0" quotePrefix="0" xfId="119">
      <alignment horizontal="general" vertical="bottom"/>
    </xf>
    <xf numFmtId="0" fontId="6" fillId="0" borderId="38" applyAlignment="1" pivotButton="0" quotePrefix="0" xfId="119">
      <alignment horizontal="general" vertical="bottom"/>
    </xf>
    <xf numFmtId="0" fontId="6" fillId="0" borderId="39" applyAlignment="1" pivotButton="0" quotePrefix="0" xfId="119">
      <alignment horizontal="general" vertical="bottom"/>
    </xf>
    <xf numFmtId="0" fontId="38" fillId="0" borderId="39" applyAlignment="1" pivotButton="0" quotePrefix="0" xfId="119">
      <alignment horizontal="general" vertical="bottom"/>
    </xf>
    <xf numFmtId="0" fontId="6" fillId="0" borderId="39" applyAlignment="1" pivotButton="0" quotePrefix="0" xfId="119">
      <alignment horizontal="center" vertical="bottom"/>
    </xf>
    <xf numFmtId="172" fontId="6" fillId="0" borderId="39" applyAlignment="1" pivotButton="0" quotePrefix="0" xfId="72">
      <alignment horizontal="general" vertical="bottom"/>
    </xf>
    <xf numFmtId="172" fontId="6" fillId="0" borderId="40" applyAlignment="1" pivotButton="0" quotePrefix="0" xfId="72">
      <alignment horizontal="general" vertical="bottom"/>
    </xf>
    <xf numFmtId="0" fontId="6" fillId="0" borderId="37" applyAlignment="1" pivotButton="0" quotePrefix="0" xfId="119">
      <alignment horizontal="general" vertical="bottom"/>
    </xf>
    <xf numFmtId="0" fontId="6" fillId="0" borderId="12" applyAlignment="1" pivotButton="0" quotePrefix="0" xfId="119">
      <alignment horizontal="general" vertical="bottom"/>
    </xf>
    <xf numFmtId="0" fontId="6" fillId="0" borderId="12" applyAlignment="1" pivotButton="0" quotePrefix="0" xfId="119">
      <alignment horizontal="center" vertical="bottom"/>
    </xf>
    <xf numFmtId="172" fontId="6" fillId="0" borderId="12" applyAlignment="1" pivotButton="0" quotePrefix="0" xfId="72">
      <alignment horizontal="general" vertical="bottom"/>
    </xf>
    <xf numFmtId="168" fontId="6" fillId="0" borderId="12" applyAlignment="1" pivotButton="0" quotePrefix="0" xfId="15">
      <alignment horizontal="general" vertical="bottom"/>
    </xf>
    <xf numFmtId="172" fontId="6" fillId="0" borderId="25" applyAlignment="1" pivotButton="0" quotePrefix="0" xfId="72">
      <alignment horizontal="general" vertical="bottom"/>
    </xf>
    <xf numFmtId="0" fontId="38" fillId="0" borderId="51" applyAlignment="1" pivotButton="0" quotePrefix="0" xfId="119">
      <alignment horizontal="general" vertical="bottom"/>
    </xf>
    <xf numFmtId="0" fontId="38" fillId="0" borderId="52" applyAlignment="1" pivotButton="0" quotePrefix="0" xfId="119">
      <alignment horizontal="general" vertical="bottom"/>
    </xf>
    <xf numFmtId="0" fontId="38" fillId="0" borderId="52" applyAlignment="1" pivotButton="0" quotePrefix="0" xfId="119">
      <alignment horizontal="center" vertical="bottom"/>
    </xf>
    <xf numFmtId="172" fontId="38" fillId="0" borderId="52" applyAlignment="1" pivotButton="0" quotePrefix="0" xfId="72">
      <alignment horizontal="general" vertical="bottom"/>
    </xf>
    <xf numFmtId="172" fontId="38" fillId="0" borderId="53" applyAlignment="1" pivotButton="0" quotePrefix="0" xfId="72">
      <alignment horizontal="general" vertical="bottom"/>
    </xf>
    <xf numFmtId="0" fontId="6" fillId="0" borderId="25" applyAlignment="1" pivotButton="0" quotePrefix="0" xfId="119">
      <alignment horizontal="general" vertical="bottom"/>
    </xf>
    <xf numFmtId="172" fontId="6" fillId="0" borderId="12" applyAlignment="1" pivotButton="0" quotePrefix="0" xfId="119">
      <alignment horizontal="general" vertical="bottom"/>
    </xf>
    <xf numFmtId="0" fontId="42" fillId="0" borderId="0" applyAlignment="1" pivotButton="0" quotePrefix="0" xfId="0">
      <alignment horizontal="general" vertical="bottom"/>
    </xf>
    <xf numFmtId="0" fontId="6" fillId="0" borderId="0" applyAlignment="1" pivotButton="0" quotePrefix="0" xfId="114">
      <alignment horizontal="left" vertical="bottom"/>
    </xf>
    <xf numFmtId="0" fontId="6" fillId="10" borderId="37" applyAlignment="1" pivotButton="0" quotePrefix="0" xfId="119">
      <alignment horizontal="general" vertical="bottom"/>
    </xf>
    <xf numFmtId="0" fontId="6" fillId="10" borderId="12" applyAlignment="1" pivotButton="0" quotePrefix="0" xfId="119">
      <alignment horizontal="general" vertical="bottom"/>
    </xf>
    <xf numFmtId="0" fontId="6" fillId="10" borderId="12" applyAlignment="1" pivotButton="0" quotePrefix="0" xfId="119">
      <alignment horizontal="center" vertical="bottom"/>
    </xf>
    <xf numFmtId="172" fontId="6" fillId="10" borderId="12" applyAlignment="1" pivotButton="0" quotePrefix="0" xfId="72">
      <alignment horizontal="general" vertical="bottom"/>
    </xf>
    <xf numFmtId="172" fontId="6" fillId="10" borderId="25" applyAlignment="1" pivotButton="0" quotePrefix="0" xfId="72">
      <alignment horizontal="general" vertical="bottom"/>
    </xf>
    <xf numFmtId="0" fontId="6" fillId="0" borderId="54" applyAlignment="1" pivotButton="0" quotePrefix="0" xfId="119">
      <alignment horizontal="general" vertical="bottom"/>
    </xf>
    <xf numFmtId="0" fontId="6" fillId="0" borderId="55" applyAlignment="1" pivotButton="0" quotePrefix="0" xfId="119">
      <alignment horizontal="general" vertical="bottom"/>
    </xf>
    <xf numFmtId="0" fontId="6" fillId="0" borderId="55" applyAlignment="1" pivotButton="0" quotePrefix="0" xfId="119">
      <alignment horizontal="center" vertical="bottom"/>
    </xf>
    <xf numFmtId="173" fontId="6" fillId="0" borderId="55" applyAlignment="1" pivotButton="0" quotePrefix="0" xfId="82">
      <alignment horizontal="general" vertical="bottom"/>
    </xf>
    <xf numFmtId="0" fontId="6" fillId="0" borderId="56" applyAlignment="1" pivotButton="0" quotePrefix="0" xfId="119">
      <alignment horizontal="general" vertical="bottom"/>
    </xf>
    <xf numFmtId="0" fontId="1" fillId="0" borderId="0" applyAlignment="1" pivotButton="0" quotePrefix="0" xfId="118">
      <alignment horizontal="general" vertical="top"/>
    </xf>
    <xf numFmtId="0" fontId="1" fillId="0" borderId="0" applyAlignment="1" pivotButton="0" quotePrefix="0" xfId="118">
      <alignment horizontal="general" vertical="bottom" wrapText="1"/>
    </xf>
    <xf numFmtId="0" fontId="1" fillId="0" borderId="0" applyAlignment="1" pivotButton="0" quotePrefix="0" xfId="118">
      <alignment horizontal="general" vertical="bottom"/>
    </xf>
    <xf numFmtId="0" fontId="15" fillId="0" borderId="0" applyAlignment="1" pivotButton="0" quotePrefix="0" xfId="118">
      <alignment horizontal="general" vertical="top"/>
    </xf>
    <xf numFmtId="0" fontId="52" fillId="0" borderId="10" applyAlignment="1" pivotButton="0" quotePrefix="0" xfId="22">
      <alignment horizontal="general" vertical="bottom"/>
    </xf>
    <xf numFmtId="0" fontId="1" fillId="0" borderId="0" applyAlignment="1" pivotButton="0" quotePrefix="0" xfId="22">
      <alignment horizontal="general" vertical="bottom"/>
    </xf>
    <xf numFmtId="0" fontId="53" fillId="0" borderId="57" applyAlignment="1" pivotButton="0" quotePrefix="0" xfId="22">
      <alignment horizontal="general" vertical="bottom"/>
    </xf>
    <xf numFmtId="0" fontId="53" fillId="0" borderId="58" applyAlignment="1" pivotButton="0" quotePrefix="0" xfId="22">
      <alignment horizontal="right" vertical="bottom"/>
    </xf>
    <xf numFmtId="0" fontId="53" fillId="0" borderId="59" applyAlignment="1" pivotButton="0" quotePrefix="0" xfId="22">
      <alignment horizontal="right" vertical="bottom" wrapText="1"/>
    </xf>
    <xf numFmtId="0" fontId="54" fillId="0" borderId="9" applyAlignment="1" pivotButton="0" quotePrefix="0" xfId="22">
      <alignment horizontal="left" vertical="bottom"/>
    </xf>
    <xf numFmtId="3" fontId="54" fillId="0" borderId="39" applyAlignment="1" pivotButton="0" quotePrefix="0" xfId="22">
      <alignment horizontal="right" vertical="bottom"/>
    </xf>
    <xf numFmtId="3" fontId="54" fillId="0" borderId="0" applyAlignment="1" pivotButton="0" quotePrefix="0" xfId="22">
      <alignment horizontal="right" vertical="bottom"/>
    </xf>
    <xf numFmtId="3" fontId="54" fillId="0" borderId="60" applyAlignment="1" pivotButton="0" quotePrefix="0" xfId="22">
      <alignment horizontal="right" vertical="bottom"/>
    </xf>
    <xf numFmtId="3" fontId="54" fillId="0" borderId="61" applyAlignment="1" pivotButton="0" quotePrefix="0" xfId="22">
      <alignment horizontal="right" vertical="bottom"/>
    </xf>
    <xf numFmtId="3" fontId="54" fillId="0" borderId="13" applyAlignment="1" pivotButton="0" quotePrefix="0" xfId="22">
      <alignment horizontal="right" vertical="bottom"/>
    </xf>
    <xf numFmtId="3" fontId="54" fillId="0" borderId="12" applyAlignment="1" pivotButton="0" quotePrefix="0" xfId="22">
      <alignment horizontal="right" vertical="bottom"/>
    </xf>
    <xf numFmtId="3" fontId="54" fillId="0" borderId="62" applyAlignment="1" pivotButton="0" quotePrefix="0" xfId="22">
      <alignment horizontal="right" vertical="bottom"/>
    </xf>
    <xf numFmtId="3" fontId="54" fillId="0" borderId="63" applyAlignment="1" pivotButton="0" quotePrefix="0" xfId="22">
      <alignment horizontal="right" vertical="bottom"/>
    </xf>
    <xf numFmtId="3" fontId="54" fillId="0" borderId="64" applyAlignment="1" pivotButton="0" quotePrefix="0" xfId="22">
      <alignment horizontal="right" vertical="bottom"/>
    </xf>
    <xf numFmtId="3" fontId="54" fillId="0" borderId="65" applyAlignment="1" pivotButton="0" quotePrefix="0" xfId="22">
      <alignment horizontal="right" vertical="bottom"/>
    </xf>
    <xf numFmtId="0" fontId="55" fillId="0" borderId="66" applyAlignment="1" pivotButton="0" quotePrefix="0" xfId="22">
      <alignment horizontal="left" vertical="bottom"/>
    </xf>
    <xf numFmtId="3" fontId="55" fillId="0" borderId="67" applyAlignment="1" pivotButton="0" quotePrefix="0" xfId="22">
      <alignment horizontal="right" vertical="bottom"/>
    </xf>
    <xf numFmtId="3" fontId="55" fillId="0" borderId="68" applyAlignment="1" pivotButton="0" quotePrefix="0" xfId="22">
      <alignment horizontal="right" vertical="bottom"/>
    </xf>
    <xf numFmtId="3" fontId="55" fillId="0" borderId="69" applyAlignment="1" pivotButton="0" quotePrefix="0" xfId="22">
      <alignment horizontal="right" vertical="bottom"/>
    </xf>
    <xf numFmtId="3" fontId="55" fillId="0" borderId="70" applyAlignment="1" pivotButton="0" quotePrefix="0" xfId="22">
      <alignment horizontal="right" vertical="bottom"/>
    </xf>
    <xf numFmtId="3" fontId="54" fillId="0" borderId="71" applyAlignment="1" pivotButton="0" quotePrefix="0" xfId="22">
      <alignment horizontal="right" vertical="bottom"/>
    </xf>
    <xf numFmtId="0" fontId="1" fillId="0" borderId="9" applyAlignment="1" pivotButton="0" quotePrefix="0" xfId="118">
      <alignment horizontal="general" vertical="top"/>
    </xf>
    <xf numFmtId="0" fontId="1" fillId="0" borderId="65" applyAlignment="1" pivotButton="0" quotePrefix="0" xfId="118">
      <alignment horizontal="general" vertical="bottom"/>
    </xf>
    <xf numFmtId="0" fontId="38" fillId="0" borderId="0" applyAlignment="1" pivotButton="0" quotePrefix="0" xfId="0">
      <alignment horizontal="general" vertical="bottom"/>
    </xf>
    <xf numFmtId="0" fontId="38" fillId="0" borderId="30" applyAlignment="1" pivotButton="0" quotePrefix="0" xfId="0">
      <alignment horizontal="center" vertical="bottom" wrapText="1"/>
    </xf>
    <xf numFmtId="0" fontId="38" fillId="0" borderId="31" applyAlignment="1" pivotButton="0" quotePrefix="0" xfId="0">
      <alignment horizontal="center" vertical="bottom" wrapText="1"/>
    </xf>
    <xf numFmtId="0" fontId="38" fillId="0" borderId="22" applyAlignment="1" pivotButton="0" quotePrefix="0" xfId="0">
      <alignment horizontal="center" vertical="bottom" wrapText="1"/>
    </xf>
    <xf numFmtId="0" fontId="36" fillId="0" borderId="29" applyAlignment="1" pivotButton="0" quotePrefix="0" xfId="0">
      <alignment horizontal="center" vertical="center"/>
    </xf>
    <xf numFmtId="0" fontId="6" fillId="0" borderId="41" applyAlignment="1" pivotButton="0" quotePrefix="0" xfId="114">
      <alignment horizontal="left" vertical="bottom"/>
    </xf>
    <xf numFmtId="174" fontId="6" fillId="0" borderId="49" applyAlignment="1" pivotButton="0" quotePrefix="0" xfId="15">
      <alignment horizontal="general" vertical="bottom"/>
    </xf>
    <xf numFmtId="0" fontId="0" fillId="0" borderId="46" pivotButton="0" quotePrefix="0" xfId="0"/>
    <xf numFmtId="0" fontId="6" fillId="0" borderId="36" applyAlignment="1" pivotButton="0" quotePrefix="0" xfId="114">
      <alignment horizontal="left" vertical="bottom"/>
    </xf>
    <xf numFmtId="174" fontId="6" fillId="0" borderId="10" applyAlignment="1" pivotButton="0" quotePrefix="0" xfId="15">
      <alignment horizontal="general" vertical="bottom"/>
    </xf>
    <xf numFmtId="174" fontId="6" fillId="0" borderId="48" applyAlignment="1" pivotButton="0" quotePrefix="0" xfId="15">
      <alignment horizontal="general" vertical="bottom"/>
    </xf>
    <xf numFmtId="0" fontId="42" fillId="0" borderId="34" applyAlignment="1" pivotButton="0" quotePrefix="0" xfId="0">
      <alignment horizontal="general" vertical="bottom"/>
    </xf>
    <xf numFmtId="0" fontId="0" fillId="0" borderId="45" pivotButton="0" quotePrefix="0" xfId="0"/>
    <xf numFmtId="0" fontId="42" fillId="0" borderId="72" applyAlignment="1" pivotButton="0" quotePrefix="0" xfId="0">
      <alignment horizontal="general" vertical="bottom"/>
    </xf>
    <xf numFmtId="0" fontId="6" fillId="0" borderId="38" applyAlignment="1" pivotButton="0" quotePrefix="0" xfId="114">
      <alignment horizontal="left" vertical="bottom"/>
    </xf>
    <xf numFmtId="174" fontId="6" fillId="0" borderId="39" applyAlignment="1" pivotButton="0" quotePrefix="0" xfId="15">
      <alignment horizontal="general" vertical="bottom"/>
    </xf>
    <xf numFmtId="0" fontId="6" fillId="0" borderId="54" applyAlignment="1" pivotButton="0" quotePrefix="0" xfId="114">
      <alignment horizontal="left" vertical="bottom"/>
    </xf>
    <xf numFmtId="3" fontId="38" fillId="9" borderId="20" applyAlignment="1" pivotButton="0" quotePrefix="0" xfId="0">
      <alignment horizontal="center" vertical="bottom"/>
    </xf>
    <xf numFmtId="3" fontId="38" fillId="9" borderId="1" applyAlignment="1" pivotButton="0" quotePrefix="0" xfId="0">
      <alignment horizontal="right" vertical="bottom"/>
    </xf>
    <xf numFmtId="3" fontId="38" fillId="9" borderId="42" applyAlignment="1" pivotButton="0" quotePrefix="0" xfId="0">
      <alignment horizontal="right" vertical="bottom"/>
    </xf>
    <xf numFmtId="0" fontId="6" fillId="0" borderId="72" applyAlignment="1" pivotButton="0" quotePrefix="0" xfId="0">
      <alignment horizontal="left" vertical="bottom"/>
    </xf>
    <xf numFmtId="3" fontId="6" fillId="0" borderId="48" applyAlignment="1" pivotButton="0" quotePrefix="0" xfId="0">
      <alignment horizontal="right" vertical="bottom"/>
    </xf>
    <xf numFmtId="3" fontId="38" fillId="0" borderId="19" applyAlignment="1" pivotButton="0" quotePrefix="0" xfId="0">
      <alignment horizontal="right" vertical="bottom"/>
    </xf>
    <xf numFmtId="3" fontId="39" fillId="0" borderId="10" applyAlignment="1" pivotButton="0" quotePrefix="0" xfId="0">
      <alignment horizontal="center" vertical="bottom"/>
    </xf>
    <xf numFmtId="3" fontId="39" fillId="0" borderId="48" applyAlignment="1" pivotButton="0" quotePrefix="0" xfId="0">
      <alignment horizontal="center" vertical="bottom"/>
    </xf>
    <xf numFmtId="3" fontId="6" fillId="6" borderId="10" applyAlignment="1" pivotButton="0" quotePrefix="0" xfId="114">
      <alignment horizontal="right" vertical="bottom"/>
    </xf>
    <xf numFmtId="3" fontId="6" fillId="6" borderId="23" applyAlignment="1" pivotButton="0" quotePrefix="0" xfId="114">
      <alignment horizontal="right" vertical="bottom"/>
    </xf>
    <xf numFmtId="3" fontId="6" fillId="6" borderId="27" applyAlignment="1" pivotButton="0" quotePrefix="0" xfId="114">
      <alignment horizontal="right" vertical="bottom"/>
    </xf>
    <xf numFmtId="3" fontId="6" fillId="6" borderId="48" applyAlignment="1" pivotButton="0" quotePrefix="0" xfId="114">
      <alignment horizontal="right" vertical="bottom"/>
    </xf>
    <xf numFmtId="3" fontId="6" fillId="6" borderId="73" applyAlignment="1" pivotButton="0" quotePrefix="0" xfId="114">
      <alignment horizontal="right" vertical="bottom"/>
    </xf>
    <xf numFmtId="3" fontId="6" fillId="6" borderId="74" applyAlignment="1" pivotButton="0" quotePrefix="0" xfId="114">
      <alignment horizontal="right" vertical="bottom"/>
    </xf>
    <xf numFmtId="3" fontId="39" fillId="0" borderId="11" applyAlignment="1" pivotButton="0" quotePrefix="0" xfId="0">
      <alignment horizontal="center" vertical="bottom"/>
    </xf>
    <xf numFmtId="3" fontId="39" fillId="0" borderId="19" applyAlignment="1" pivotButton="0" quotePrefix="0" xfId="0">
      <alignment horizontal="center" vertical="bottom"/>
    </xf>
  </cellXfs>
  <cellStyles count="158">
    <cellStyle name="Normal" xfId="0" builtinId="0"/>
    <cellStyle name="Comma" xfId="1" builtinId="3"/>
    <cellStyle name="Comma [0]" xfId="2" builtinId="6"/>
    <cellStyle name="Currency" xfId="3" builtinId="4"/>
    <cellStyle name="Currency [0]" xfId="4" builtinId="7"/>
    <cellStyle name="Percent" xfId="5" builtinId="5"/>
    <cellStyle name="&#13;&#10;JournalTemplate=C:\COMFO\CTALK\JOURSTD.TPL&#13;&#10;LbStateAddress=3 3 0 251 1 89 2 311&#13;&#10;LbStateJou" xfId="6"/>
    <cellStyle name="$1000s (0)" xfId="7"/>
    <cellStyle name="%??O%??P%??Q%??R%??S%??T%??U%??V%??W%??X%??Y%??Z%??[%??\%??]%??^%??_%??`%??a%?" xfId="8"/>
    <cellStyle name="%??O%??P%??Q%??R%??S%??T%??U%??V%??W%??X%??Y%??Z%??[%??\%??]%??^%??_%??`%??a%?_Master DD Questionnaire 2IM" xfId="9"/>
    <cellStyle name="1000s (0)" xfId="10"/>
    <cellStyle name="_DT HW" xfId="11"/>
    <cellStyle name="_DTHW pricing BAFO v0.93" xfId="12"/>
    <cellStyle name="_Elev CMT AsiaPac Helpdesk 20060310C" xfId="13"/>
    <cellStyle name="_FTE Costs by Country 2006 10 08 v2" xfId="14"/>
    <cellStyle name="_Op Model - Till Financials 20061010_TPI 2006 10 12 v3" xfId="15"/>
    <cellStyle name="_Summary Fees" xfId="16"/>
    <cellStyle name="_Towers Perrin Base Case Model_HR Services_2006 09 28 v1" xfId="17"/>
    <cellStyle name="_Towers Perrin Base Case Model_HR Services_2006 10 02 v1" xfId="18"/>
    <cellStyle name="_Towers Perrin Base Case Model_HR Services_2006 10 05 v1" xfId="19"/>
    <cellStyle name="_Towers Perrin Base Case Model_HR Services_2006 10 05 v2" xfId="20"/>
    <cellStyle name="_Towers Perrin Base Case Model_HR Services_2006 10 09 v2 jrl" xfId="21"/>
    <cellStyle name="_TRI Pricing Forms v15" xfId="22"/>
    <cellStyle name="_Trimaran Attachment 4-A Pricing Forms - 14.0 - BAFP Nov 28" xfId="23"/>
    <cellStyle name="_Trimaran Overview Pass Through" xfId="24"/>
    <cellStyle name="_Trimaran Voice Rates V0-2--KPN-v09-20060208" xfId="25"/>
    <cellStyle name="ARC-RRC" xfId="26"/>
    <cellStyle name="ARC-RRC 2" xfId="27"/>
    <cellStyle name="ARC-RRC 4" xfId="28"/>
    <cellStyle name="ARC-RRC Input" xfId="29"/>
    <cellStyle name="Billing" xfId="30"/>
    <cellStyle name="Border" xfId="31"/>
    <cellStyle name="Bullet" xfId="32"/>
    <cellStyle name="Center" xfId="33"/>
    <cellStyle name="CMTCur" xfId="34"/>
    <cellStyle name="Code 2" xfId="35"/>
    <cellStyle name="Code 6" xfId="36"/>
    <cellStyle name="ColBlue" xfId="37"/>
    <cellStyle name="ColGreen" xfId="38"/>
    <cellStyle name="ColRed"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1)" xfId="48"/>
    <cellStyle name="Comma (2)" xfId="49"/>
    <cellStyle name="Comma 0" xfId="50"/>
    <cellStyle name="Comma 1" xfId="51"/>
    <cellStyle name="Comma 2" xfId="52"/>
    <cellStyle name="Comma 4" xfId="53"/>
    <cellStyle name="Comma 6" xfId="54"/>
    <cellStyle name="Comma0" xfId="55"/>
    <cellStyle name="Comma0.0" xfId="56"/>
    <cellStyle name="Comma0.00" xfId="57"/>
    <cellStyle name="Comma_Trimaran Overview Pass Through" xfId="58"/>
    <cellStyle name="Currency (0)" xfId="59"/>
    <cellStyle name="Currency (1)" xfId="60"/>
    <cellStyle name="Currency (2)" xfId="61"/>
    <cellStyle name="Currency 0" xfId="62"/>
    <cellStyle name="Currency 2" xfId="63"/>
    <cellStyle name="Currency 4" xfId="64"/>
    <cellStyle name="Currency0" xfId="65"/>
    <cellStyle name="Currency0.0" xfId="66"/>
    <cellStyle name="Currency0.00" xfId="67"/>
    <cellStyle name="Currency_Trimaran Overview Pass Through" xfId="68"/>
    <cellStyle name="Data Entry" xfId="69"/>
    <cellStyle name="Date" xfId="70"/>
    <cellStyle name="Day" xfId="71"/>
    <cellStyle name="DecBold" xfId="72"/>
    <cellStyle name="EPS" xfId="73"/>
    <cellStyle name="Euro" xfId="74"/>
    <cellStyle name="Fixed" xfId="75"/>
    <cellStyle name="FMVNumber" xfId="76"/>
    <cellStyle name="Grey" xfId="77"/>
    <cellStyle name="Header Column" xfId="78"/>
    <cellStyle name="Header Row" xfId="79"/>
    <cellStyle name="Header1" xfId="80"/>
    <cellStyle name="Header2" xfId="81"/>
    <cellStyle name="Input" xfId="82"/>
    <cellStyle name="Input 11" xfId="83"/>
    <cellStyle name="Input 11 Bold" xfId="84"/>
    <cellStyle name="Input [yellow]" xfId="85"/>
    <cellStyle name="Input_Redsky Termination Cost" xfId="86"/>
    <cellStyle name="InputPercent" xfId="87"/>
    <cellStyle name="InputValue" xfId="88"/>
    <cellStyle name="Komma_MOU CD Attachment 4-A Pricing forms" xfId="89"/>
    <cellStyle name="Milliers [0]_EDYAN" xfId="90"/>
    <cellStyle name="Milliers_EDYAN" xfId="91"/>
    <cellStyle name="Month" xfId="92"/>
    <cellStyle name="Month2" xfId="93"/>
    <cellStyle name="Monétaire [0]_EDYAN" xfId="94"/>
    <cellStyle name="Monétaire_EDYAN" xfId="95"/>
    <cellStyle name="Normal - Style1" xfId="96"/>
    <cellStyle name="Normal 11" xfId="97"/>
    <cellStyle name="Normal_Attachment 4-A Supplier Pricing Forms" xfId="98"/>
    <cellStyle name="Normal_Copy of Trimaran Number of FTE on ING facilities- SHORT NAME" xfId="99"/>
    <cellStyle name="Normal_ING RFP Attachment 4-A Supplier Pricing Forms 20050506" xfId="100"/>
    <cellStyle name="Normal_LR TRI Attachment 4-A Pricing Forms v16 update transition jvb (2)" xfId="101"/>
    <cellStyle name="Normal_nieuwe abonnemten fixed tabbladen 271105" xfId="102"/>
    <cellStyle name="Normal_Query2" xfId="103"/>
    <cellStyle name="Normal_Trimaran contract list 15 Dec" xfId="104"/>
    <cellStyle name="Normal_Trimaran Overview Pass Through" xfId="105"/>
    <cellStyle name="Not_Excession" xfId="106"/>
    <cellStyle name="Number 0" xfId="107"/>
    <cellStyle name="Number 2" xfId="108"/>
    <cellStyle name="Number 3" xfId="109"/>
    <cellStyle name="Number 6" xfId="110"/>
    <cellStyle name="NumberBold" xfId="111"/>
    <cellStyle name="NumberNoDec" xfId="112"/>
    <cellStyle name="NumberPercent" xfId="113"/>
    <cellStyle name="NumberVarDec" xfId="114"/>
    <cellStyle name="Percent (1)" xfId="115"/>
    <cellStyle name="Percent (2)" xfId="116"/>
    <cellStyle name="Percent 0" xfId="117"/>
    <cellStyle name="Percent 1" xfId="118"/>
    <cellStyle name="Percent 2" xfId="119"/>
    <cellStyle name="Percent [2]" xfId="120"/>
    <cellStyle name="Percent0" xfId="121"/>
    <cellStyle name="Percent0.0" xfId="122"/>
    <cellStyle name="Percent0.00" xfId="123"/>
    <cellStyle name="percentage" xfId="124"/>
    <cellStyle name="Small" xfId="125"/>
    <cellStyle name="Standaard_Blad1" xfId="126"/>
    <cellStyle name="Style 21" xfId="127"/>
    <cellStyle name="Style 22" xfId="128"/>
    <cellStyle name="Style 23" xfId="129"/>
    <cellStyle name="Style 24" xfId="130"/>
    <cellStyle name="Style 34" xfId="131"/>
    <cellStyle name="Style 35" xfId="132"/>
    <cellStyle name="Style 36" xfId="133"/>
    <cellStyle name="Style 37" xfId="134"/>
    <cellStyle name="Sum" xfId="135"/>
    <cellStyle name="Sum %of HV" xfId="136"/>
    <cellStyle name="Sum EPS" xfId="137"/>
    <cellStyle name="Sum IRR" xfId="138"/>
    <cellStyle name="Sum Margin" xfId="139"/>
    <cellStyle name="Sum Payback" xfId="140"/>
    <cellStyle name="Sum Title 1" xfId="141"/>
    <cellStyle name="Sum Title 2" xfId="142"/>
    <cellStyle name="Sum Title 3" xfId="143"/>
    <cellStyle name="Sum Title 4" xfId="144"/>
    <cellStyle name="Sum_Op Model - Till Financials 20061010_TPI 2006 10 12 v3" xfId="145"/>
    <cellStyle name="Text 1" xfId="146"/>
    <cellStyle name="Title" xfId="147"/>
    <cellStyle name="Title 2" xfId="148"/>
    <cellStyle name="Title 3" xfId="149"/>
    <cellStyle name="Title Input" xfId="150"/>
    <cellStyle name="Title_Pricing-Utilities" xfId="151"/>
    <cellStyle name="Totals" xfId="152"/>
    <cellStyle name="Underline" xfId="153"/>
    <cellStyle name="Underline 2" xfId="154"/>
    <cellStyle name="Valuta_MOU CD Attachment 4-A Pricing forms" xfId="155"/>
    <cellStyle name="Year" xfId="156"/>
    <cellStyle name="Years" xfId="157"/>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externalLink" Target="/xl/externalLinks/externalLink2.xml" Id="rId17"/><Relationship Type="http://schemas.openxmlformats.org/officeDocument/2006/relationships/externalLink" Target="/xl/externalLinks/externalLink3.xml" Id="rId18"/><Relationship Type="http://schemas.openxmlformats.org/officeDocument/2006/relationships/externalLink" Target="/xl/externalLinks/externalLink4.xml" Id="rId19"/><Relationship Type="http://schemas.openxmlformats.org/officeDocument/2006/relationships/externalLink" Target="/xl/externalLinks/externalLink5.xml" Id="rId20"/><Relationship Type="http://schemas.openxmlformats.org/officeDocument/2006/relationships/externalLink" Target="/xl/externalLinks/externalLink6.xml" Id="rId21"/><Relationship Type="http://schemas.openxmlformats.org/officeDocument/2006/relationships/externalLink" Target="/xl/externalLinks/externalLink7.xml" Id="rId22"/><Relationship Type="http://schemas.openxmlformats.org/officeDocument/2006/relationships/externalLink" Target="/xl/externalLinks/externalLink8.xml" Id="rId23"/><Relationship Type="http://schemas.openxmlformats.org/officeDocument/2006/relationships/externalLink" Target="/xl/externalLinks/externalLink9.xml" Id="rId24"/><Relationship Type="http://schemas.openxmlformats.org/officeDocument/2006/relationships/externalLink" Target="/xl/externalLinks/externalLink10.xml" Id="rId25"/><Relationship Type="http://schemas.openxmlformats.org/officeDocument/2006/relationships/externalLink" Target="/xl/externalLinks/externalLink11.xml" Id="rId26"/><Relationship Type="http://schemas.openxmlformats.org/officeDocument/2006/relationships/externalLink" Target="/xl/externalLinks/externalLink12.xml" Id="rId27"/><Relationship Type="http://schemas.openxmlformats.org/officeDocument/2006/relationships/externalLink" Target="/xl/externalLinks/externalLink13.xml" Id="rId28"/><Relationship Type="http://schemas.openxmlformats.org/officeDocument/2006/relationships/externalLink" Target="/xl/externalLinks/externalLink14.xml" Id="rId29"/><Relationship Type="http://schemas.openxmlformats.org/officeDocument/2006/relationships/externalLink" Target="/xl/externalLinks/externalLink15.xml" Id="rId30"/><Relationship Type="http://schemas.openxmlformats.org/officeDocument/2006/relationships/externalLink" Target="/xl/externalLinks/externalLink16.xml" Id="rId31"/><Relationship Type="http://schemas.openxmlformats.org/officeDocument/2006/relationships/externalLink" Target="/xl/externalLinks/externalLink17.xml" Id="rId32"/><Relationship Type="http://schemas.openxmlformats.org/officeDocument/2006/relationships/externalLink" Target="/xl/externalLinks/externalLink18.xml" Id="rId33"/><Relationship Type="http://schemas.openxmlformats.org/officeDocument/2006/relationships/externalLink" Target="/xl/externalLinks/externalLink19.xml" Id="rId34"/><Relationship Type="http://schemas.openxmlformats.org/officeDocument/2006/relationships/externalLink" Target="/xl/externalLinks/externalLink20.xml" Id="rId35"/><Relationship Type="http://schemas.openxmlformats.org/officeDocument/2006/relationships/externalLink" Target="/xl/externalLinks/externalLink21.xml" Id="rId36"/><Relationship Type="http://schemas.openxmlformats.org/officeDocument/2006/relationships/externalLink" Target="/xl/externalLinks/externalLink22.xml" Id="rId37"/><Relationship Type="http://schemas.openxmlformats.org/officeDocument/2006/relationships/externalLink" Target="/xl/externalLinks/externalLink23.xml" Id="rId38"/><Relationship Type="http://schemas.openxmlformats.org/officeDocument/2006/relationships/externalLink" Target="/xl/externalLinks/externalLink24.xml" Id="rId39"/><Relationship Type="http://schemas.openxmlformats.org/officeDocument/2006/relationships/externalLink" Target="/xl/externalLinks/externalLink25.xml" Id="rId40"/><Relationship Type="http://schemas.openxmlformats.org/officeDocument/2006/relationships/externalLink" Target="/xl/externalLinks/externalLink26.xml" Id="rId41"/><Relationship Type="http://schemas.openxmlformats.org/officeDocument/2006/relationships/externalLink" Target="/xl/externalLinks/externalLink27.xml" Id="rId42"/><Relationship Type="http://schemas.openxmlformats.org/officeDocument/2006/relationships/externalLink" Target="/xl/externalLinks/externalLink28.xml" Id="rId43"/><Relationship Type="http://schemas.openxmlformats.org/officeDocument/2006/relationships/externalLink" Target="/xl/externalLinks/externalLink29.xml" Id="rId44"/><Relationship Type="http://schemas.openxmlformats.org/officeDocument/2006/relationships/externalLink" Target="/xl/externalLinks/externalLink30.xml" Id="rId45"/><Relationship Type="http://schemas.openxmlformats.org/officeDocument/2006/relationships/externalLink" Target="/xl/externalLinks/externalLink31.xml" Id="rId46"/><Relationship Type="http://schemas.openxmlformats.org/officeDocument/2006/relationships/externalLink" Target="/xl/externalLinks/externalLink32.xml" Id="rId47"/><Relationship Type="http://schemas.openxmlformats.org/officeDocument/2006/relationships/externalLink" Target="/xl/externalLinks/externalLink33.xml" Id="rId48"/><Relationship Type="http://schemas.openxmlformats.org/officeDocument/2006/relationships/externalLink" Target="/xl/externalLinks/externalLink34.xml" Id="rId49"/><Relationship Type="http://schemas.openxmlformats.org/officeDocument/2006/relationships/externalLink" Target="/xl/externalLinks/externalLink35.xml" Id="rId50"/><Relationship Type="http://schemas.openxmlformats.org/officeDocument/2006/relationships/styles" Target="styles.xml" Id="rId51"/><Relationship Type="http://schemas.openxmlformats.org/officeDocument/2006/relationships/theme" Target="theme/theme1.xml" Id="rId52"/></Relationships>
</file>

<file path=xl/externalLinks/_rels/externalLink1.xml.rels><Relationships xmlns="http://schemas.openxmlformats.org/package/2006/relationships"><Relationship Type="http://schemas.openxmlformats.org/officeDocument/2006/relationships/externalLinkPath" Target="../../../../../../../../../S:/M&amp;DF/PROJECTS/Bombardier/Book3.xls" TargetMode="External" Id="rId1"/></Relationships>
</file>

<file path=xl/externalLinks/_rels/externalLink2.xml.rels><Relationships xmlns="http://schemas.openxmlformats.org/package/2006/relationships"><Relationship Type="http://schemas.openxmlformats.org/officeDocument/2006/relationships/externalLinkPath" Target="../../../../../../../../../F:/Documents%20and%20Settings/keadr20/Local%20Settings/Temp/20050214_GIS@Total_OPEX%20(@%20Official%20Rates).xls" TargetMode="External" Id="rId1"/></Relationships>
</file>

<file path=xl/externalLinks/_rels/externalLink3.xml.rels><Relationships xmlns="http://schemas.openxmlformats.org/package/2006/relationships"><Relationship Type="http://schemas.openxmlformats.org/officeDocument/2006/relationships/externalLinkPath" Target="../../../../../../../../../S:/WINDOWS/TEMP/11-24-vrbbase.xls" TargetMode="External" Id="rId1"/></Relationships>
</file>

<file path=xl/externalLinks/_rels/externalLink4.xml.rels><Relationships xmlns="http://schemas.openxmlformats.org/package/2006/relationships"><Relationship Type="http://schemas.openxmlformats.org/officeDocument/2006/relationships/externalLinkPath" Target="../../ing/%06Clients/MCIW%20(post-k%20signing)/Base%20Case%20True-Up/Status%20Matrix%20(0418).xls" TargetMode="External" Id="rId1"/></Relationships>
</file>

<file path=xl/externalLinks/_rels/externalLink5.xml.rels><Relationships xmlns="http://schemas.openxmlformats.org/package/2006/relationships"><Relationship Type="http://schemas.openxmlformats.org/officeDocument/2006/relationships/externalLinkPath" Target="../../../../../../../../../A:/_PACIFCO/_960513/DT_RECOV.XLS" TargetMode="External" Id="rId1"/></Relationships>
</file>

<file path=xl/externalLinks/_rels/externalLink6.xml.rels><Relationships xmlns="http://schemas.openxmlformats.org/package/2006/relationships"><Relationship Type="http://schemas.openxmlformats.org/officeDocument/2006/relationships/externalLinkPath" Target="../../../../../../../../../Work/Documents%20and%20Settings/pzbr7s/Local%20Settings/Temporary%20Internet%20Files/OLK5/Solution%20Centers/Rates/Rates%20DB%20v7.xls" TargetMode="External" Id="rId1"/></Relationships>
</file>

<file path=xl/externalLinks/_rels/externalLink7.xml.rels><Relationships xmlns="http://schemas.openxmlformats.org/package/2006/relationships"><Relationship Type="http://schemas.openxmlformats.org/officeDocument/2006/relationships/externalLinkPath" Target="../../../../../../../../../F:/Documents%20and%20Settings/tzq9sh/My%20Documents/Transferred%20Documents_032003/NBA/__Elevation/BAFO_Oct%2031st/COLA/Book1.xls" TargetMode="External" Id="rId1"/></Relationships>
</file>

<file path=xl/externalLinks/_rels/externalLink8.xml.rels><Relationships xmlns="http://schemas.openxmlformats.org/package/2006/relationships"><Relationship Type="http://schemas.openxmlformats.org/officeDocument/2006/relationships/externalLinkPath" Target="../../../../../../../../../F:/Documents%20and%20Settings/wzjjgv/Local%20Settings/Temporary%20Internet%20Files/OLK9/NBA%20Lite_4.1.1.EAS.8-21.xls" TargetMode="External" Id="rId1"/></Relationships>
</file>

<file path=xl/externalLinks/_rels/externalLink9.xml.rels><Relationships xmlns="http://schemas.openxmlformats.org/package/2006/relationships"><Relationship Type="http://schemas.openxmlformats.org/officeDocument/2006/relationships/externalLinkPath" Target="https://eroom.extranet.altria.com/eRoom/ALCSExtraNet/TECWorksRyeBrookDataCenterOutsourcing/06%2520RFP%2520Final%2520Master/03%2520-%2520Exhibits/Exhibit%25204%2520-%2520Pricing%2520and%2520Financial%2520Provisions/Servr%20Stor%20Asset%20Plan%20BD%2010%2011%2004.xls" TargetMode="External" Id="rId1"/></Relationships>
</file>

<file path=xl/externalLinks/_rels/externalLink10.xml.rels><Relationships xmlns="http://schemas.openxmlformats.org/package/2006/relationships"><Relationship Type="http://schemas.openxmlformats.org/officeDocument/2006/relationships/externalLinkPath" Target="../../ing/%06Clients/JPM-Chase/Financials/JPM%20TI%20-%20$%20&amp;%20vols/JPMTI%20excerpt%20for%20Gerard.xls" TargetMode="External" Id="rId1"/></Relationships>
</file>

<file path=xl/externalLinks/_rels/externalLink11.xml.rels><Relationships xmlns="http://schemas.openxmlformats.org/package/2006/relationships"><Relationship Type="http://schemas.openxmlformats.org/officeDocument/2006/relationships/externalLinkPath" Target="../../../../../../../../../A:/MSOFFICE/EXCEL/OUTLOOK/NOV/MURRAY/OTLKMUR.XLW" TargetMode="External" Id="rId1"/></Relationships>
</file>

<file path=xl/externalLinks/_rels/externalLink12.xml.rels><Relationships xmlns="http://schemas.openxmlformats.org/package/2006/relationships"><Relationship Type="http://schemas.openxmlformats.org/officeDocument/2006/relationships/externalLinkPath" Target="../../ing/%06Clients/JPM-Chase/Financials/Etech%20-%20$%20&amp;%20vols/Financial%20Details/2000%20Ted's%20files%20051501.xls" TargetMode="External" Id="rId1"/></Relationships>
</file>

<file path=xl/externalLinks/_rels/externalLink13.xml.rels><Relationships xmlns="http://schemas.openxmlformats.org/package/2006/relationships"><Relationship Type="http://schemas.openxmlformats.org/officeDocument/2006/relationships/externalLinkPath" Target="../../ing/%06Clients/JPM-Chase/Business%20Case/Business%20Case%20073101.xls" TargetMode="External" Id="rId1"/></Relationships>
</file>

<file path=xl/externalLinks/_rels/externalLink14.xml.rels><Relationships xmlns="http://schemas.openxmlformats.org/package/2006/relationships"><Relationship Type="http://schemas.openxmlformats.org/officeDocument/2006/relationships/externalLinkPath" Target="../../../../../../../../../Documents%20and%20Settings/paragn/Desktop/Towers%20Perrin/Financial/Towers%20Perrin%20Base%20Case%20Model_HR%20Services_2006%2009%2019%20v1.xls" TargetMode="External" Id="rId1"/></Relationships>
</file>

<file path=xl/externalLinks/_rels/externalLink15.xml.rels><Relationships xmlns="http://schemas.openxmlformats.org/package/2006/relationships"><Relationship Type="http://schemas.openxmlformats.org/officeDocument/2006/relationships/externalLinkPath" Target="../../../../../../../../../Documents%20and%20Settings/paragn/Desktop/Towers%20Perrin/Financial/Copy%20of%20MainFrame%20Costing%20Calculator1.xls" TargetMode="External" Id="rId1"/></Relationships>
</file>

<file path=xl/externalLinks/_rels/externalLink16.xml.rels><Relationships xmlns="http://schemas.openxmlformats.org/package/2006/relationships"><Relationship Type="http://schemas.openxmlformats.org/officeDocument/2006/relationships/externalLinkPath" Target="../../../../../../../../../Documents%20and%20Settings/paragn/Desktop/Towers%20Perrin/Financial/Elev%20CMT%20AsiaPac%20Helpdesk%2020060310C.xls" TargetMode="External" Id="rId1"/></Relationships>
</file>

<file path=xl/externalLinks/_rels/externalLink17.xml.rels><Relationships xmlns="http://schemas.openxmlformats.org/package/2006/relationships"><Relationship Type="http://schemas.openxmlformats.org/officeDocument/2006/relationships/externalLinkPath" Target="../../../../../../../../../Work/MIP%20Costing%20Model%20Template%20-%20v4.3b2.xls" TargetMode="External" Id="rId1"/></Relationships>
</file>

<file path=xl/externalLinks/_rels/externalLink18.xml.rels><Relationships xmlns="http://schemas.openxmlformats.org/package/2006/relationships"><Relationship Type="http://schemas.openxmlformats.org/officeDocument/2006/relationships/externalLinkPath" Target="../../../../../../../../../Documents%20and%20Settings/tz45cw/Local%20Settings/Temp/Project%20BOCHK%20CONSOLIDATED%20CMT/HONG%20KONG%20SOLUTION/CMT%20BOCHK%20SED%2020050914a.xls" TargetMode="External" Id="rId1"/></Relationships>
</file>

<file path=xl/externalLinks/_rels/externalLink19.xml.rels><Relationships xmlns="http://schemas.openxmlformats.org/package/2006/relationships"><Relationship Type="http://schemas.openxmlformats.org/officeDocument/2006/relationships/externalLinkPath" Target="../../../../../../../../../Documents%20and%20Settings/Johnsons/Local%20Settings/Temporary%20Internet%20Files/OLK66C/REVISED%20MOU%20CD%20Attachment%204-A%20Pricing%20Forms.xls" TargetMode="External" Id="rId1"/></Relationships>
</file>

<file path=xl/externalLinks/_rels/externalLink20.xml.rels><Relationships xmlns="http://schemas.openxmlformats.org/package/2006/relationships"><Relationship Type="http://schemas.openxmlformats.org/officeDocument/2006/relationships/externalLinkPath" Target="file://spnlfap00102/userdata/Documents%20and%20Settings/jzcrzr/Local%20Settings/Temp/Liberty_EUC%20Pricing_Tool_2003_1118_v1_Final_REWORK%20.xls" TargetMode="External" Id="rId1"/></Relationships>
</file>

<file path=xl/externalLinks/_rels/externalLink21.xml.rels><Relationships xmlns="http://schemas.openxmlformats.org/package/2006/relationships"><Relationship Type="http://schemas.openxmlformats.org/officeDocument/2006/relationships/externalLinkPath" Target="../../../../../../../../../Documents%20and%20Settings/paragn/Desktop/Towers%20Perrin/Financial/Budget_Build_Toolkit_20031.xls" TargetMode="External" Id="rId1"/></Relationships>
</file>

<file path=xl/externalLinks/_rels/externalLink22.xml.rels><Relationships xmlns="http://schemas.openxmlformats.org/package/2006/relationships"><Relationship Type="http://schemas.openxmlformats.org/officeDocument/2006/relationships/externalLinkPath" Target="../../../../../../../../../Documents%20and%20Settings/paragn/Desktop/Mark's%20General%20Assumptions.xls" TargetMode="External" Id="rId1"/></Relationships>
</file>

<file path=xl/externalLinks/_rels/externalLink23.xml.rels><Relationships xmlns="http://schemas.openxmlformats.org/package/2006/relationships"><Relationship Type="http://schemas.openxmlformats.org/officeDocument/2006/relationships/externalLinkPath" Target="https://eroom.extranet.altria.com/Documents%20and%20Settings%5Cbotzumt%5CLocal%20Settings%5CTemp%5CNW%20111402%20NA%20VOICE.xls" TargetMode="External" Id="rId1"/></Relationships>
</file>

<file path=xl/externalLinks/_rels/externalLink24.xml.rels><Relationships xmlns="http://schemas.openxmlformats.org/package/2006/relationships"><Relationship Type="http://schemas.openxmlformats.org/officeDocument/2006/relationships/externalLinkPath" Target="../../../../../../../../../A:/AFILE/OUTLOOK/3_95/TBBOTLK.XLS" TargetMode="External" Id="rId1"/></Relationships>
</file>

<file path=xl/externalLinks/_rels/externalLink25.xml.rels><Relationships xmlns="http://schemas.openxmlformats.org/package/2006/relationships"><Relationship Type="http://schemas.openxmlformats.org/officeDocument/2006/relationships/externalLinkPath" Target="../../../../../../../../../A:/AFILE/OUTLOOK/3_95/MIDOTLK.XLS" TargetMode="External" Id="rId1"/></Relationships>
</file>

<file path=xl/externalLinks/_rels/externalLink26.xml.rels><Relationships xmlns="http://schemas.openxmlformats.org/package/2006/relationships"><Relationship Type="http://schemas.openxmlformats.org/officeDocument/2006/relationships/externalLinkPath" Target="../../../../../../../../../A:/DEALS/HTDSS/COSTMODL/HTDSS.XLS" TargetMode="External" Id="rId1"/></Relationships>
</file>

<file path=xl/externalLinks/_rels/externalLink27.xml.rels><Relationships xmlns="http://schemas.openxmlformats.org/package/2006/relationships"><Relationship Type="http://schemas.openxmlformats.org/officeDocument/2006/relationships/externalLinkPath" Target="../../../../../../../../../Documents%20and%20Settings/tz45cw/Local%20Settings/Temp/Conversion/MALAYSIA%20SOLUTION/CMT%20BOCHK%20Network%20256K%20CMT%20-%20v4.4a%2020050916A.xls" TargetMode="External" Id="rId1"/></Relationships>
</file>

<file path=xl/externalLinks/_rels/externalLink28.xml.rels><Relationships xmlns="http://schemas.openxmlformats.org/package/2006/relationships"><Relationship Type="http://schemas.openxmlformats.org/officeDocument/2006/relationships/externalLinkPath" Target="../../../../../../../../../F:/Documents%20and%20Settings/hz6xvl/My%20Documents/ZJEFF/US_New_Business_Analysis/Lobster/Financial/Pricing/Files_for_Review/BCBSRI_Pricing_Tool_2002_0909_v1_Applications_NO_INFLATION.xls" TargetMode="External" Id="rId1"/></Relationships>
</file>

<file path=xl/externalLinks/_rels/externalLink29.xml.rels><Relationships xmlns="http://schemas.openxmlformats.org/package/2006/relationships"><Relationship Type="http://schemas.openxmlformats.org/officeDocument/2006/relationships/externalLinkPath" Target="../../ing/%06CFFC/IBFC%20Expense%20Information/Nov99/MIDAS/OU_ib_na.xls" TargetMode="External" Id="rId1"/></Relationships>
</file>

<file path=xl/externalLinks/_rels/externalLink30.xml.rels><Relationships xmlns="http://schemas.openxmlformats.org/package/2006/relationships"><Relationship Type="http://schemas.openxmlformats.org/officeDocument/2006/relationships/externalLinkPath" Target="../../../../../../../../../R:/SHARED/Product%20Analysis/Mike%20Colby/EUROPE%202001.xls" TargetMode="External" Id="rId1"/></Relationships>
</file>

<file path=xl/externalLinks/_rels/externalLink31.xml.rels><Relationships xmlns="http://schemas.openxmlformats.org/package/2006/relationships"><Relationship Type="http://schemas.openxmlformats.org/officeDocument/2006/relationships/externalLinkPath" Target="../../../../../../../../../S:/M&amp;DF/BIANCA/OUTLOOKS/OTLKper.xls" TargetMode="External" Id="rId1"/></Relationships>
</file>

<file path=xl/externalLinks/_rels/externalLink32.xml.rels><Relationships xmlns="http://schemas.openxmlformats.org/package/2006/relationships"><Relationship Type="http://schemas.openxmlformats.org/officeDocument/2006/relationships/externalLinkPath" Target="../../ing/%06Clients/JPM-Chase/Financials/TS&amp;S%20-%20$%20&amp;%20vols/Treasury%20Services%20-%202000%20%202001~Financials1.xls" TargetMode="External" Id="rId1"/></Relationships>
</file>

<file path=xl/externalLinks/_rels/externalLink33.xml.rels><Relationships xmlns="http://schemas.openxmlformats.org/package/2006/relationships"><Relationship Type="http://schemas.openxmlformats.org/officeDocument/2006/relationships/externalLinkPath" Target="../../ing/%06windows/TEMP/Base%20Year%20Data%202000%20Suman%20REV.xls" TargetMode="External" Id="rId1"/></Relationships>
</file>

<file path=xl/externalLinks/_rels/externalLink34.xml.rels><Relationships xmlns="http://schemas.openxmlformats.org/package/2006/relationships"><Relationship Type="http://schemas.openxmlformats.org/officeDocument/2006/relationships/externalLinkPath" Target="../../../../../../../../../Documents%20and%20Settings/paragn/My%20Documents/TPI/Towers%20Perrin/Financial/_2006_10_12/Op%20Model%20-%20HR%20Financials%2020061010_TPI%202006%2010%2012%20v3.xls" TargetMode="External" Id="rId1"/></Relationships>
</file>

<file path=xl/externalLinks/_rels/externalLink35.xml.rels><Relationships xmlns="http://schemas.openxmlformats.org/package/2006/relationships"><Relationship Type="http://schemas.openxmlformats.org/officeDocument/2006/relationships/externalLinkPath" Target="../../../../../../../../../Documents%20and%20Settings/paragn/My%20Documents/TPI/Towers%20Perrin/Financial/_2006_09_28/Elev%20CMT%20AsiaPac%20Helpdesk%2020060310C.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lient Platform"/>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verview by Geography"/>
      <sheetName val="Overview by Account"/>
      <sheetName val="Data"/>
      <sheetName val="Official Fx Rate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GMLG-Staffing Plan"/>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alendar"/>
      <sheetName val="Status"/>
    </sheetNames>
    <sheetDataSet>
      <sheetData sheetId="0"/>
      <sheetData sheetId="1"/>
    </sheetDataSet>
  </externalBook>
</externalLink>
</file>

<file path=xl/externalLinks/externalLink5.xml><?xml version="1.0" encoding="utf-8"?>
<externalLink xmlns="http://schemas.openxmlformats.org/spreadsheetml/2006/main">
  <externalBook xmlns:r="http://schemas.openxmlformats.org/officeDocument/2006/relationships" r:id="rId1"/>
</externalLink>
</file>

<file path=xl/externalLinks/externalLink6.xml><?xml version="1.0" encoding="utf-8"?>
<externalLink xmlns="http://schemas.openxmlformats.org/spreadsheetml/2006/main">
  <externalBook xmlns:r="http://schemas.openxmlformats.org/officeDocument/2006/relationships" r:id="rId1">
    <sheetNames>
      <sheetName val="Domain_Bands"/>
      <sheetName val="Rates (EURO or USD)"/>
      <sheetName val="Target Productivity"/>
      <sheetName val="Domain"/>
      <sheetName val="Salary"/>
      <sheetName val="Headcount"/>
      <sheetName val="Social_Taxes (%)"/>
      <sheetName val="Pension (%)"/>
      <sheetName val="Bonus (%)"/>
      <sheetName val="Morale (%)"/>
      <sheetName val="Health (%)"/>
      <sheetName val="Other (%)"/>
      <sheetName val="Total Burden (%)"/>
      <sheetName val="Space"/>
      <sheetName val="Other Payments"/>
      <sheetName val="Coun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LA Sensitivity Factors"/>
    </sheetNames>
    <sheetDataSet>
      <sheetData sheetId="0"/>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OS"/>
      <sheetName val="NavigatorDlg"/>
      <sheetName val="Tables"/>
      <sheetName val="Input"/>
      <sheetName val="Assumptions"/>
      <sheetName val="Input e.FW Template"/>
      <sheetName val="Summary P&amp;L"/>
      <sheetName val="Contract P&amp;L"/>
      <sheetName val="Calendar P&amp;L"/>
      <sheetName val="AR Detail"/>
      <sheetName val="NewCurrDlg"/>
      <sheetName val="DlgAddRows"/>
      <sheetName val="Module1"/>
      <sheetName val="P&amp;L Summary"/>
      <sheetName val="P&amp;L Qtr Summary"/>
      <sheetName val="CF and Perf. Metrics"/>
      <sheetName val="Pricing Structure"/>
      <sheetName val="Approval Control Sheet"/>
      <sheetName val="Reporting"/>
      <sheetName val="NSR Upload"/>
      <sheetName val="Drop-Down Lists"/>
      <sheetName val="Historical Info - Obsol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erver Storage Asset Plan - PM "/>
    </sheetNames>
    <sheetDataSet>
      <sheetData sheetId="0"/>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Detailed Summary (2)"/>
    </sheetNames>
    <sheetDataSet>
      <sheetData sheetId="0"/>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OLEX"/>
    </sheetNames>
    <sheetDataSet>
      <sheetData sheetId="0"/>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Mapping"/>
      <sheetName val="ETECH TOTAL 2000 "/>
      <sheetName val="ASIA 2000"/>
      <sheetName val="UK 2000"/>
      <sheetName val="US 2000"/>
      <sheetName val="UK - MF CPU"/>
      <sheetName val="US - MF CPU"/>
      <sheetName val="Global - MF Storage"/>
      <sheetName val="UK - Output"/>
      <sheetName val="US - Output"/>
      <sheetName val="UK - Apps Svr"/>
      <sheetName val="US - Apps Svr"/>
      <sheetName val="UK - DEC"/>
      <sheetName val="USl - DEC"/>
      <sheetName val="Global - AS400"/>
      <sheetName val="Global - Tandem"/>
      <sheetName val="US - web hosting"/>
      <sheetName val="UK - Utility"/>
      <sheetName val="US - Utility"/>
      <sheetName val="UK - EUC"/>
      <sheetName val="US -EUC"/>
      <sheetName val="UK - Help Desk"/>
      <sheetName val="US - Help Desk"/>
      <sheetName val="UK -voice telecomm"/>
      <sheetName val="US - voice telecom"/>
      <sheetName val="UK - data telecom"/>
      <sheetName val="US - data telecom"/>
      <sheetName val="US - Customer Dedicated"/>
      <sheetName val="US - Projects"/>
      <sheetName val="UK - Projects"/>
      <sheetName val="Global - eSpace"/>
      <sheetName val="Asia"/>
      <sheetName val="UK - ABB &amp; TS -no HD"/>
      <sheetName val="US - ABB &amp; TS -no H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Graph"/>
      <sheetName val="NPV Summary"/>
      <sheetName val="Business Case"/>
      <sheetName val="Quick Totals"/>
      <sheetName val="Cheat Sheet"/>
      <sheetName val="Region Scenario Compare"/>
      <sheetName val="BC Cost by Tower"/>
      <sheetName val="BC Cost by BU"/>
      <sheetName val="Tower FTE"/>
      <sheetName val="BU  FTE"/>
      <sheetName val=" BC Cost by subtower"/>
      <sheetName val=" BC Staffing by BU"/>
      <sheetName val=" Staffing - Emp &amp; Cont"/>
      <sheetName val=" BC Staffing by subtower"/>
      <sheetName val="MF Sum"/>
      <sheetName val="Server Sum - Org"/>
      <sheetName val="Server Sum - Type"/>
      <sheetName val="Apps Server Sum"/>
      <sheetName val="Utility Svr Sum"/>
      <sheetName val="Web Host Sum"/>
      <sheetName val="EUC Sum"/>
      <sheetName val="Trad Tech Sum"/>
      <sheetName val="NW-Voice Sum"/>
      <sheetName val="NW - Data Sum"/>
      <sheetName val="Project Sum"/>
      <sheetName val="HD Sum"/>
      <sheetName val="Other Sum"/>
      <sheetName val="IT Mgt Summary"/>
      <sheetName val="BU Server Proxy"/>
      <sheetName val="PC Proxy"/>
      <sheetName val="2001 TS"/>
      <sheetName val="2001 CBS"/>
      <sheetName val="2001 JPMP"/>
      <sheetName val="EUR - P&amp;S "/>
      <sheetName val="EUR - GMI"/>
      <sheetName val="EUR - Flemings"/>
      <sheetName val="EUR - WITS"/>
      <sheetName val="EUR 2000'01 M&amp;A"/>
      <sheetName val="EUR - hJPM Branches"/>
      <sheetName val="Broder Sum 0710"/>
      <sheetName val="NA - M&amp;A Coverage"/>
      <sheetName val="NA - Other Branch"/>
      <sheetName val="NA - GMI"/>
      <sheetName val="NA - WITS"/>
      <sheetName val="NA - WaEC"/>
      <sheetName val="NA - P&amp;S"/>
      <sheetName val="NA - H&amp;Q"/>
      <sheetName val="NA - H&amp;Q 0730"/>
      <sheetName val="NA -Type C"/>
      <sheetName val="2001 IMPB"/>
      <sheetName val="2000'01 M&amp;A  US"/>
      <sheetName val="2001 TS&amp;S IS"/>
      <sheetName val="Etech US 2000"/>
      <sheetName val="Etech UK 2000"/>
      <sheetName val="Etech US 2001"/>
      <sheetName val="Etech UK 2001"/>
      <sheetName val="Etech AP 2001"/>
      <sheetName val="PA 2001 US"/>
      <sheetName val="PA 2001 UK"/>
      <sheetName val="2000 RETAIL"/>
      <sheetName val="2001 RETAIL"/>
      <sheetName val="2000 AP"/>
      <sheetName val="2001 AP"/>
      <sheetName val="2000  LA"/>
      <sheetName val="2001 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0 - Roadmap"/>
      <sheetName val="1.Head Count"/>
      <sheetName val="2. Hourly Rates"/>
      <sheetName val="3. Sample Clients L,M,S"/>
      <sheetName val="4. Large Client"/>
      <sheetName val="5. Medium Client"/>
      <sheetName val="6. Small Client"/>
      <sheetName val="7. Time&amp;$-Actual '05 Avg Clien"/>
      <sheetName val="8. Time&amp;$-Fee Est Avg Client"/>
      <sheetName val="9. Time&amp;$-1 Plan Estimate"/>
      <sheetName val="10. Hypothetical Rates"/>
      <sheetName val="11. FTE Hours - Large Client"/>
      <sheetName val="12. Scenario 1_Draft"/>
      <sheetName val="12. Scenario 1"/>
      <sheetName val="12.  5 Year Financials"/>
      <sheetName val="12. Factors"/>
      <sheetName val="12. HW"/>
      <sheetName val="12. SW"/>
      <sheetName val="12. Other Analysis"/>
      <sheetName val="13. Scenario 2"/>
      <sheetName val="14. Scenario 3"/>
      <sheetName val="15. Business Case"/>
      <sheetName val="Currency Table"/>
      <sheetName val="Tables"/>
      <sheetName val="Job Cost Table"/>
      <sheetName val="Job Code Map"/>
      <sheetName val="16."/>
      <sheetName val="17. General Assumptions"/>
      <sheetName val="Mix of Clients"/>
      <sheetName val="HR"/>
      <sheetName val="Pivo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parameters.h"/>
      <sheetName val="interface.h"/>
      <sheetName val="mainframe rate calculator.h"/>
      <sheetName val="Cost Detail-MF"/>
      <sheetName val="h.Cost Detail-MR.h"/>
    </sheetNames>
    <sheetDataSet>
      <sheetData sheetId="0"/>
      <sheetData sheetId="1"/>
      <sheetData sheetId="2"/>
      <sheetData sheetId="3"/>
      <sheetData sheetId="4"/>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CU"/>
      <sheetName val="Summary By P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R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RU"/>
      <sheetName val="FTE Summary"/>
      <sheetName val="Calcs"/>
      <sheetName val="Assumptions"/>
      <sheetName val="Floor Rates (2)"/>
      <sheetName val="Note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hange Log"/>
      <sheetName val="Cover Page"/>
      <sheetName val="1 Charges Summary"/>
      <sheetName val="2 One Time Charges"/>
      <sheetName val="3 Detailed Base Charges-TOTAL"/>
      <sheetName val="3 Detailed Base Charges-NL"/>
      <sheetName val="3 Detailed Base Charges-BE"/>
      <sheetName val="4 Unit Rates (ARCs &amp; RRCs) NL"/>
      <sheetName val="4 Unit Rates (ARCs &amp; RRCs)  BE"/>
      <sheetName val="5 Acquisition of Asset "/>
      <sheetName val="6 PST Investments"/>
      <sheetName val="7 Pass Through - Total"/>
      <sheetName val="7 Pass Through - NL"/>
      <sheetName val="7 Pass Through - BE "/>
      <sheetName val="8 Man Time Rates "/>
      <sheetName val="9 Storage"/>
      <sheetName val="REVISED MOU CD Attachment 4-A P"/>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Title"/>
      <sheetName val="Month_Array"/>
      <sheetName val="Pricing_Summary"/>
      <sheetName val="Price_Unit_01"/>
      <sheetName val="Price_Unit_02"/>
      <sheetName val="Price_Unit_03"/>
      <sheetName val="Price_Unit_04"/>
      <sheetName val="Price_Unit_05"/>
      <sheetName val="Price_Unit_06"/>
      <sheetName val="Price_Unit_07"/>
      <sheetName val="Price_Unit_08"/>
      <sheetName val="Price_Unit_09"/>
      <sheetName val="Price_Unit_10"/>
      <sheetName val="Price_Unit_11"/>
      <sheetName val="Price_Unit_12"/>
      <sheetName val="Price_Unit_13"/>
      <sheetName val="Cost_Check"/>
      <sheetName val="Cost_Model_by_Month"/>
      <sheetName val="RFP"/>
      <sheetName val="Venture_Convert_Cont_Yr"/>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troduction"/>
      <sheetName val="Financial Questions"/>
      <sheetName val="Client Questions"/>
      <sheetName val="Consider"/>
      <sheetName val="Template 1"/>
      <sheetName val="Template 2"/>
      <sheetName val="Example 1"/>
      <sheetName val="A1"/>
      <sheetName val="A2"/>
      <sheetName val="A3"/>
      <sheetName val="A4"/>
      <sheetName val="B1"/>
      <sheetName val="C1"/>
      <sheetName val="C2"/>
      <sheetName val="C3"/>
      <sheetName val="D1"/>
      <sheetName val="D2"/>
      <sheetName val="E1"/>
      <sheetName val="E2"/>
      <sheetName val="E3"/>
      <sheetName val="E4"/>
      <sheetName val="E5"/>
      <sheetName val="E6"/>
      <sheetName val="E7"/>
      <sheetName val="E8"/>
      <sheetName val="E9"/>
      <sheetName val="E10"/>
      <sheetName val="E11"/>
      <sheetName val="E12"/>
      <sheetName val="F1"/>
      <sheetName val="F2"/>
      <sheetName val="F3"/>
      <sheetName val="F4 Model Assumptions"/>
      <sheetName val="F5 P&amp;L"/>
      <sheetName val="F6 Fin"/>
      <sheetName val="F7 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Assumptions"/>
    </sheetNames>
    <sheetDataSet>
      <sheetData sheetId="0"/>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Instructions"/>
      <sheetName val="Global - Sum Base Charges"/>
      <sheetName val="US - Sum Base Charges"/>
      <sheetName val="Other NA - Sum Base Charges"/>
      <sheetName val="UK - Sum Base Charges"/>
      <sheetName val="Other EMEA - Sum Base Charges"/>
      <sheetName val="HK - Sum Base Charges"/>
      <sheetName val="Other AP - Sum Base Charges"/>
      <sheetName val="LA - Sum Base Charges"/>
      <sheetName val="Global-X'tion Chgs"/>
      <sheetName val="US-X'tion Chgs"/>
      <sheetName val="Other NA-X'tion Chgs"/>
      <sheetName val="UK-X'tion Charges"/>
      <sheetName val="Other EMEA-X'tion Charges"/>
      <sheetName val="HK-X'tion Chgs"/>
      <sheetName val="Other AP-X'tion Charges"/>
      <sheetName val="LA-X'tion Charges"/>
      <sheetName val="Global-X'form Chgs"/>
      <sheetName val="US-X'form Chgs"/>
      <sheetName val="Other NA-X'form Chgs"/>
      <sheetName val="UK-X'form. Chgs"/>
      <sheetName val="Other EMEA-X'form Chgs"/>
      <sheetName val="HK-X'form Chgs"/>
      <sheetName val="Other AP-X'form Chgs"/>
      <sheetName val="LA-X'form Chgs"/>
      <sheetName val="Global-Detail Base Chgs"/>
      <sheetName val="US-Detail Base Chgs"/>
      <sheetName val="Other NA-Detail Base Chgs"/>
      <sheetName val="UK-Detail Base Chgs"/>
      <sheetName val="Other EMEA-Detail Base Chgs"/>
      <sheetName val="HK-Detail Base Chgs"/>
      <sheetName val="Other AP-Detail Base Chgs"/>
      <sheetName val="LA-Detail Base Chgs"/>
      <sheetName val="US - ARC&amp;RRC"/>
      <sheetName val="Other NA - ARC&amp;RRC"/>
      <sheetName val="UK -  ARC&amp;RRC "/>
      <sheetName val="Other - EMEA ARC&amp;RRC"/>
      <sheetName val="HK - ARC&amp;RRC "/>
      <sheetName val="Other AP - ARC&amp;RRC "/>
      <sheetName val="LA -  ARC&amp;RRC"/>
      <sheetName val="US - Consult Rates"/>
      <sheetName val="Other NA - Consult Rates"/>
      <sheetName val="UK - Consult Rates"/>
      <sheetName val="Other EMEA - Consult Rates"/>
      <sheetName val="HK - Consult Rates"/>
      <sheetName val="Other AP - Consult Rates"/>
      <sheetName val="LA - Consult Rates"/>
      <sheetName val="Global - PPM"/>
      <sheetName val="NA - IBM"/>
      <sheetName val="EMEA - PPM"/>
      <sheetName val="AP - PPM"/>
      <sheetName val="LA - PPM"/>
      <sheetName val="Global - Supplier Capital Plan"/>
      <sheetName val="NA - Supplier Capital Plan"/>
      <sheetName val="EMEA - Supplier Capital Plan"/>
      <sheetName val="AP - Supplier Capital Plan"/>
      <sheetName val="LA - Supplier Capital Plan"/>
      <sheetName val="Global-Supplier Variance--Data"/>
      <sheetName val="NA-Supplier Variance--Data"/>
      <sheetName val="EMEA-Supplier Variance--Data"/>
      <sheetName val="AP-Supplier Variance--Data"/>
      <sheetName val="LA-Supplier Variance--Data"/>
      <sheetName val="Global-Supplier Variance--Voice"/>
      <sheetName val="NA-Supplier Variance--Voice"/>
      <sheetName val="EMEA-Supplier Variance--Voice"/>
      <sheetName val="AP-Supplier Variance--Voice"/>
      <sheetName val="LA-Supplier Variance--Voice"/>
      <sheetName val="Global-Supp Var--Trader"/>
      <sheetName val="NA-Supp Var--Trader"/>
      <sheetName val="EMEA-Supp Var--Trader"/>
      <sheetName val="AP-Supp Var--Trader"/>
      <sheetName val="LA-Supp Var--Trader"/>
      <sheetName val="Global-Supplier Variance--Conf"/>
      <sheetName val="NA-Supplier Variance--Conf"/>
      <sheetName val="EMEA-Supplier Variance--Conf"/>
      <sheetName val="AP-Supplier Variance--Conf"/>
      <sheetName val="LA-Supplier Variance--Conf"/>
      <sheetName val="Global - Supplier Variance--LAN"/>
      <sheetName val="NA - Supplier Variance--LAN"/>
      <sheetName val="EMEA - Supplier Variance--LAN"/>
      <sheetName val="AP - Supplier Variance--LAN"/>
      <sheetName val="LA - Supplier Variance--LAN"/>
      <sheetName val="Global - Termination Fees"/>
      <sheetName val="Explanatory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LEX"/>
    </sheetNames>
    <sheetDataSet>
      <sheetData sheetId="0"/>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OLEX"/>
    </sheetNames>
    <sheetDataSet>
      <sheetData sheetId="0"/>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lient Platform"/>
    </sheetNames>
    <sheetDataSet>
      <sheetData sheetId="0"/>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R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Title"/>
      <sheetName val="Month_Array"/>
      <sheetName val="Pricing_Summary"/>
      <sheetName val="Price_Unit_01"/>
      <sheetName val="Price_Unit_02"/>
      <sheetName val="Price_Unit_03"/>
      <sheetName val="Price_Unit_04"/>
      <sheetName val="Price_Unit_05"/>
      <sheetName val="Price_Unit_06"/>
      <sheetName val="Price_Unit_07"/>
      <sheetName val="Price_Unit_08"/>
      <sheetName val="Cost_Check"/>
      <sheetName val="Cost_Model_by_Month"/>
      <sheetName val="Venture_Convert_Cont_Yr"/>
      <sheetName val="Adjust_Inf"/>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over"/>
      <sheetName val="flash"/>
      <sheetName val="report"/>
      <sheetName val="glamr"/>
      <sheetName val="plan data"/>
      <sheetName val="extract_glamr"/>
      <sheetName val="plan_extract"/>
      <sheetName val="head_extract"/>
      <sheetName val="Macro1"/>
      <sheetName val="transactions"/>
      <sheetName val="headcount"/>
      <sheetName val="Sheet1"/>
      <sheetName val="ibis"/>
      <sheetName val="production"/>
      <sheetName val="help"/>
      <sheetName val="front"/>
      <sheetName val="contents"/>
      <sheetName val="set"/>
      <sheetName val="Dialog1"/>
      <sheetName val="Dialog2"/>
      <sheetName val="Dialog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Forecast graphs"/>
      <sheetName val="Summary"/>
      <sheetName val="P&amp;S Results"/>
      <sheetName val="Sheet1"/>
      <sheetName val="Europe All"/>
      <sheetName val="London All"/>
      <sheetName val="274"/>
      <sheetName val="936"/>
      <sheetName val="1099"/>
      <sheetName val="1275"/>
      <sheetName val="1772"/>
      <sheetName val="2179"/>
      <sheetName val="2719"/>
      <sheetName val="2721"/>
      <sheetName val="3097"/>
      <sheetName val="3121"/>
      <sheetName val="3129"/>
      <sheetName val="3401"/>
      <sheetName val="3552"/>
      <sheetName val="3816"/>
      <sheetName val="4077"/>
      <sheetName val="5921"/>
      <sheetName val="6067"/>
      <sheetName val="6068"/>
      <sheetName val="6091"/>
      <sheetName val="9901"/>
      <sheetName val="Branches"/>
      <sheetName val="Paris"/>
      <sheetName val="Brussels"/>
      <sheetName val="Milan"/>
      <sheetName val="Milan CIRG"/>
      <sheetName val="Madrid"/>
      <sheetName val="Jburg"/>
      <sheetName val="Zurich"/>
      <sheetName val="Frankfurt"/>
      <sheetName val="Istanbul"/>
      <sheetName val="Moscow"/>
      <sheetName val="Fac procedure"/>
      <sheetName val="London data"/>
      <sheetName val="Europe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1.xml><?xml version="1.0" encoding="utf-8"?>
<externalLink xmlns="http://schemas.openxmlformats.org/spreadsheetml/2006/main">
  <externalBook xmlns:r="http://schemas.openxmlformats.org/officeDocument/2006/relationships" r:id="rId1"/>
</externalLink>
</file>

<file path=xl/externalLinks/externalLink32.xml><?xml version="1.0" encoding="utf-8"?>
<externalLink xmlns="http://schemas.openxmlformats.org/spreadsheetml/2006/main">
  <externalBook xmlns:r="http://schemas.openxmlformats.org/officeDocument/2006/relationships" r:id="rId1">
    <sheetNames>
      <sheetName val="Fiserv 2000"/>
      <sheetName val="Fiserv 2001"/>
      <sheetName val="ACH 2000"/>
      <sheetName val="ACH 2001"/>
      <sheetName val="Technology Suman - 2000"/>
      <sheetName val="Technology Suman 2001"/>
      <sheetName val="Total TS 2000"/>
      <sheetName val="Total TS 2001"/>
      <sheetName val="Total TS 2001 (2)"/>
    </sheetNames>
    <sheetDataSet>
      <sheetData sheetId="0"/>
      <sheetData sheetId="1"/>
      <sheetData sheetId="2"/>
      <sheetData sheetId="3"/>
      <sheetData sheetId="4"/>
      <sheetData sheetId="5"/>
      <sheetData sheetId="6"/>
      <sheetData sheetId="7"/>
      <sheetData sheetId="8"/>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2000"/>
      <sheetName val="2001 Forecast"/>
      <sheetName val="2000 Actuals"/>
    </sheetNames>
    <sheetDataSet>
      <sheetData sheetId="0"/>
      <sheetData sheetId="1"/>
      <sheetData sheetId="2"/>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0 - Tab Index_Read Me"/>
      <sheetName val="1.Head Count"/>
      <sheetName val="2. Hourly Rates"/>
      <sheetName val="3. Sample Clients L,M,S"/>
      <sheetName val="4. Large Client"/>
      <sheetName val="5. Medium Client"/>
      <sheetName val="6. Small Client"/>
      <sheetName val="7. Time&amp;$-Actual '05 Avg Clien"/>
      <sheetName val="8. Time&amp;$-Fee Est Avg Client"/>
      <sheetName val="9. Time&amp;$-1 Plan Estimate"/>
      <sheetName val="10. Hypothetical Rates"/>
      <sheetName val="11. FTE Hours - Large Client"/>
      <sheetName val="12. Scenario 1_Draft"/>
      <sheetName val="12. Scenario 1"/>
      <sheetName val="Slides 4,5"/>
      <sheetName val="SUMMARY_New"/>
      <sheetName val="HR Summary_New"/>
      <sheetName val="HR Projections_New"/>
      <sheetName val="Till Summary_New"/>
      <sheetName val="Till Projections_New"/>
      <sheetName val="2. HR Centralization_Non Cent_N"/>
      <sheetName val="SUMMARY"/>
      <sheetName val="HR Summary"/>
      <sheetName val="HR Projections"/>
      <sheetName val="Till Summary"/>
      <sheetName val="Till Projections"/>
      <sheetName val="PPT Slides"/>
      <sheetName val="2. HR Centralization_Non Cent"/>
      <sheetName val="12B. Factors"/>
      <sheetName val="1B. HR Business Case"/>
      <sheetName val="2. US_Change Staff Mix"/>
      <sheetName val="12A.  5 Year Financials"/>
      <sheetName val="2B. Vals_Centralized vs Local"/>
      <sheetName val="3. US_RPRJ"/>
      <sheetName val="3B. Valuation_Centralized_RPRJ"/>
      <sheetName val="4.  Brazil"/>
      <sheetName val="5. India"/>
      <sheetName val="6. Canada"/>
      <sheetName val="12. HW"/>
      <sheetName val="12. SW"/>
      <sheetName val="12. Other Analysis"/>
      <sheetName val="14. Centralized Task Factors"/>
      <sheetName val="14 HR_Decentralized Cost Model"/>
      <sheetName val="14b HR_Centralized CM_US"/>
      <sheetName val="14b HR_Centralized CM_Brazil"/>
      <sheetName val="14b HR_Centralized CM_India"/>
      <sheetName val="14b HR_Centralized CM_Canada"/>
      <sheetName val="Currency Table"/>
      <sheetName val="Tables"/>
      <sheetName val="Job Cost Table"/>
      <sheetName val="Job Code Map"/>
      <sheetName val="16. Mix of Clients_Staff Costs"/>
      <sheetName val="17. Centralization_Costs "/>
      <sheetName val="Centralized Added Sept 28"/>
      <sheetName val="17. General Assumptions"/>
      <sheetName val="17. Pivot"/>
      <sheetName val="18. Data"/>
      <sheetName val="13. HR_Current Costs"/>
      <sheetName val="19. FTE Cost By Country"/>
      <sheetName val="20. FRINGE RATES"/>
      <sheetName val="21. Salary Input"/>
      <sheetName val="22. Real Estate"/>
      <sheetName val="1A. Consolid Business Cas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CU"/>
      <sheetName val="Summary By P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15625" defaultRowHeight="13.2" customHeight="1" zeroHeight="0" outlineLevelRow="0"/>
  <cols>
    <col width="39.93" customWidth="1" style="585" min="2" max="2"/>
    <col width="18.01" customWidth="1" style="585" min="3" max="3"/>
  </cols>
  <sheetData>
    <row r="1"/>
    <row r="2"/>
    <row r="3"/>
    <row r="4"/>
    <row r="5"/>
    <row r="6"/>
    <row r="7"/>
    <row r="8"/>
    <row r="9"/>
    <row r="10" ht="13.2" customHeight="1" s="586">
      <c r="C10" s="587" t="n"/>
    </row>
    <row r="11" ht="20.4" customHeight="1" s="586">
      <c r="C11" s="588" t="inlineStr">
        <is>
          <t>EuroBank</t>
        </is>
      </c>
    </row>
    <row r="12"/>
    <row r="13" ht="20.4" customHeight="1" s="586">
      <c r="C13" s="588" t="n"/>
    </row>
    <row r="14" ht="20.4" customHeight="1" s="586">
      <c r="C14" s="588" t="n"/>
    </row>
    <row r="15" ht="20.4" customHeight="1" s="586">
      <c r="C15" s="588" t="n"/>
    </row>
    <row r="16" ht="20.4" customHeight="1" s="586">
      <c r="C16" s="588" t="inlineStr">
        <is>
          <t>ATTACHMENT 4-A</t>
        </is>
      </c>
    </row>
    <row r="17" ht="20.4" customHeight="1" s="586">
      <c r="C17" s="588" t="n"/>
    </row>
    <row r="18" ht="20.4" customHeight="1" s="586">
      <c r="C18" s="588" t="inlineStr">
        <is>
          <t>PST PRICING FORMS</t>
        </is>
      </c>
    </row>
    <row r="19" ht="20.4" customHeight="1" s="586">
      <c r="C19" s="588" t="inlineStr">
        <is>
          <t>Attachment to Exhibit 4 (Pricing and Financial Provisions)</t>
        </is>
      </c>
    </row>
    <row r="20" ht="20.4" customHeight="1" s="586">
      <c r="C20" s="588" t="n"/>
    </row>
    <row r="21" ht="20.4" customHeight="1" s="586">
      <c r="C21" s="588" t="n"/>
    </row>
    <row r="22"/>
    <row r="23" ht="26.25" customHeight="1" s="586">
      <c r="C23" s="589" t="n"/>
    </row>
  </sheetData>
  <printOptions horizontalCentered="1" verticalCentered="0" headings="0" gridLines="0" gridLinesSet="1"/>
  <pageMargins left="1" right="1" top="0.25" bottom="0.520138888888889" header="0.25" footer="0.25"/>
  <pageSetup orientation="landscape" paperSize="9"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&amp;R&amp;"Times New Roman,Regular"&amp;8 &amp;Kffffff&amp;D</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K144"/>
  <sheetViews>
    <sheetView showFormulas="0" showGridLines="1" showRowColHeaders="1" showZeros="1" rightToLeft="0" tabSelected="1"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29.21" customWidth="1" style="590" min="1" max="1"/>
    <col width="20.81" customWidth="1" style="590" min="2" max="2"/>
    <col width="13.6" customWidth="1" style="590" min="3" max="7"/>
    <col width="13.8" customWidth="1" style="591" min="8" max="8"/>
    <col width="9.1" customWidth="1" style="590" min="9" max="9"/>
    <col width="11.8" customWidth="1" style="590" min="10" max="10"/>
    <col width="18.11" customWidth="1" style="590" min="11" max="11"/>
    <col width="8.4" customWidth="1" style="590" min="12" max="257"/>
  </cols>
  <sheetData>
    <row r="1" ht="19.5" customHeight="1" s="586">
      <c r="A1" s="592" t="inlineStr">
        <is>
          <t>TOTAL</t>
        </is>
      </c>
      <c r="B1" s="592" t="inlineStr">
        <is>
          <t>Category of Services</t>
        </is>
      </c>
      <c r="C1" s="593" t="inlineStr">
        <is>
          <t>Year 1</t>
        </is>
      </c>
      <c r="D1" s="593" t="inlineStr">
        <is>
          <t>Year 2</t>
        </is>
      </c>
      <c r="E1" s="593" t="inlineStr">
        <is>
          <t>Year 3</t>
        </is>
      </c>
      <c r="F1" s="593" t="inlineStr">
        <is>
          <t>Year 4</t>
        </is>
      </c>
      <c r="G1" s="593" t="inlineStr">
        <is>
          <t>Year 5</t>
        </is>
      </c>
      <c r="H1" s="594" t="inlineStr">
        <is>
          <t>Total 5 Yr</t>
        </is>
      </c>
    </row>
    <row r="2" ht="13.2" customHeight="1" s="586">
      <c r="A2" s="595" t="inlineStr">
        <is>
          <t>BASE CHARGES</t>
        </is>
      </c>
      <c r="B2" s="596" t="n"/>
      <c r="C2" s="596" t="n"/>
      <c r="D2" s="596" t="n"/>
      <c r="E2" s="596" t="n"/>
      <c r="F2" s="596" t="n"/>
      <c r="G2" s="596" t="n"/>
      <c r="H2" s="597" t="n"/>
    </row>
    <row r="3" ht="13.2" customHeight="1" s="586">
      <c r="A3" s="598" t="n"/>
      <c r="B3" s="599" t="inlineStr">
        <is>
          <t>EUC</t>
        </is>
      </c>
      <c r="C3" s="599">
        <f>+C49+C95</f>
        <v/>
      </c>
      <c r="D3" s="599">
        <f>+D49+D95</f>
        <v/>
      </c>
      <c r="E3" s="599">
        <f>+E49+E95</f>
        <v/>
      </c>
      <c r="F3" s="599">
        <f>+F49+F95</f>
        <v/>
      </c>
      <c r="G3" s="599">
        <f>+G49+G95</f>
        <v/>
      </c>
      <c r="H3" s="600">
        <f>SUM(C3:G3)</f>
        <v/>
      </c>
    </row>
    <row r="4" ht="13.8" customHeight="1" s="586">
      <c r="A4" s="601" t="n"/>
      <c r="B4" s="602" t="n"/>
      <c r="C4" s="599" t="n"/>
      <c r="D4" s="599" t="n"/>
      <c r="E4" s="599" t="n"/>
      <c r="F4" s="599" t="n"/>
      <c r="G4" s="599" t="n"/>
      <c r="H4" s="603" t="n"/>
    </row>
    <row r="5" ht="13.2" customHeight="1" s="586">
      <c r="A5" s="598" t="n"/>
      <c r="B5" s="599" t="inlineStr">
        <is>
          <t>Service Desk</t>
        </is>
      </c>
      <c r="C5" s="599">
        <f>+C51+C97</f>
        <v/>
      </c>
      <c r="D5" s="599">
        <f>+D51+D97</f>
        <v/>
      </c>
      <c r="E5" s="599">
        <f>+E51+E97</f>
        <v/>
      </c>
      <c r="F5" s="599">
        <f>+F51+F97</f>
        <v/>
      </c>
      <c r="G5" s="599">
        <f>+G51+G97</f>
        <v/>
      </c>
      <c r="H5" s="600">
        <f>SUM(C5:G5)</f>
        <v/>
      </c>
    </row>
    <row r="6" ht="13.8" customHeight="1" s="586">
      <c r="A6" s="601" t="n"/>
      <c r="B6" s="602" t="n"/>
      <c r="C6" s="599" t="n"/>
      <c r="D6" s="599" t="n"/>
      <c r="E6" s="599" t="n"/>
      <c r="F6" s="599" t="n"/>
      <c r="G6" s="599" t="n"/>
      <c r="H6" s="603" t="n"/>
    </row>
    <row r="7" ht="13.2" customHeight="1" s="586">
      <c r="A7" s="598" t="n"/>
      <c r="B7" s="599" t="inlineStr">
        <is>
          <t>LAN Services</t>
        </is>
      </c>
      <c r="C7" s="599">
        <f>+C53+C99</f>
        <v/>
      </c>
      <c r="D7" s="599">
        <f>+D53+D99</f>
        <v/>
      </c>
      <c r="E7" s="599">
        <f>+E53+E99</f>
        <v/>
      </c>
      <c r="F7" s="599">
        <f>+F53+F99</f>
        <v/>
      </c>
      <c r="G7" s="599">
        <f>+G53+G99</f>
        <v/>
      </c>
      <c r="H7" s="600">
        <f>SUM(C7:G7)</f>
        <v/>
      </c>
    </row>
    <row r="8" ht="13.8" customHeight="1" s="586">
      <c r="A8" s="601" t="n"/>
      <c r="B8" s="602" t="n"/>
      <c r="C8" s="599" t="n"/>
      <c r="D8" s="599" t="n"/>
      <c r="E8" s="599" t="n"/>
      <c r="F8" s="599" t="n"/>
      <c r="G8" s="599" t="n"/>
      <c r="H8" s="603" t="n"/>
    </row>
    <row r="9" ht="13.2" customHeight="1" s="586">
      <c r="A9" s="598" t="n"/>
      <c r="B9" s="599" t="inlineStr">
        <is>
          <t>Voice Services</t>
        </is>
      </c>
      <c r="C9" s="599">
        <f>+C55+C101</f>
        <v/>
      </c>
      <c r="D9" s="599">
        <f>+D55+D101</f>
        <v/>
      </c>
      <c r="E9" s="599">
        <f>+E55+E101</f>
        <v/>
      </c>
      <c r="F9" s="599">
        <f>+F55+F101</f>
        <v/>
      </c>
      <c r="G9" s="599">
        <f>+G55+G101</f>
        <v/>
      </c>
      <c r="H9" s="600">
        <f>SUM(C9:G9)</f>
        <v/>
      </c>
    </row>
    <row r="10" ht="13.2" customHeight="1" s="586">
      <c r="A10" s="598" t="n"/>
      <c r="B10" s="599" t="n"/>
      <c r="C10" s="599" t="n"/>
      <c r="D10" s="599" t="n"/>
      <c r="E10" s="599" t="n"/>
      <c r="F10" s="599" t="n"/>
      <c r="G10" s="599" t="n"/>
      <c r="H10" s="600" t="n"/>
    </row>
    <row r="11" ht="13.2" customHeight="1" s="586">
      <c r="A11" s="598" t="n"/>
      <c r="B11" s="599" t="inlineStr">
        <is>
          <t>Desktop Hardware</t>
        </is>
      </c>
      <c r="C11" s="599">
        <f>+C57+C103</f>
        <v/>
      </c>
      <c r="D11" s="599">
        <f>+D57+D103</f>
        <v/>
      </c>
      <c r="E11" s="599">
        <f>+E57+E103</f>
        <v/>
      </c>
      <c r="F11" s="599">
        <f>+F57+F103</f>
        <v/>
      </c>
      <c r="G11" s="599">
        <f>+G57+G103</f>
        <v/>
      </c>
      <c r="H11" s="600">
        <f>SUM(C11:G11)</f>
        <v/>
      </c>
    </row>
    <row r="12" ht="13.2" customHeight="1" s="586">
      <c r="A12" s="598" t="n"/>
      <c r="B12" s="604" t="n"/>
      <c r="C12" s="599" t="n"/>
      <c r="D12" s="599" t="n"/>
      <c r="E12" s="599" t="n"/>
      <c r="F12" s="599" t="n"/>
      <c r="G12" s="599" t="n"/>
      <c r="H12" s="600" t="n"/>
    </row>
    <row r="13" ht="13.2" customHeight="1" s="586">
      <c r="A13" s="598" t="n"/>
      <c r="B13" s="599" t="inlineStr">
        <is>
          <t>Server Management</t>
        </is>
      </c>
      <c r="C13" s="599">
        <f>+C59+C105</f>
        <v/>
      </c>
      <c r="D13" s="599">
        <f>+D59+D105</f>
        <v/>
      </c>
      <c r="E13" s="599">
        <f>+E59+E105</f>
        <v/>
      </c>
      <c r="F13" s="599">
        <f>+F59+F105</f>
        <v/>
      </c>
      <c r="G13" s="599">
        <f>+G59+G105</f>
        <v/>
      </c>
      <c r="H13" s="600">
        <f>SUM(C13:G13)</f>
        <v/>
      </c>
    </row>
    <row r="14" ht="13.2" customHeight="1" s="586">
      <c r="A14" s="598" t="n"/>
      <c r="B14" s="599" t="n"/>
      <c r="C14" s="599" t="n"/>
      <c r="D14" s="599" t="n"/>
      <c r="E14" s="599" t="n"/>
      <c r="F14" s="599" t="n"/>
      <c r="G14" s="599" t="n"/>
      <c r="H14" s="600" t="n"/>
    </row>
    <row r="15" ht="13.2" customHeight="1" s="586">
      <c r="A15" s="598" t="n"/>
      <c r="B15" s="599" t="inlineStr">
        <is>
          <t>2IM</t>
        </is>
      </c>
      <c r="C15" s="599">
        <f>+C61+C107</f>
        <v/>
      </c>
      <c r="D15" s="599">
        <f>+D61+D107</f>
        <v/>
      </c>
      <c r="E15" s="599">
        <f>+E61+E107</f>
        <v/>
      </c>
      <c r="F15" s="599">
        <f>+F61+F107</f>
        <v/>
      </c>
      <c r="G15" s="599">
        <f>+G61+G107</f>
        <v/>
      </c>
      <c r="H15" s="600">
        <f>SUM(C15:G15)</f>
        <v/>
      </c>
    </row>
    <row r="16" ht="13.2" customHeight="1" s="586">
      <c r="A16" s="598" t="n"/>
      <c r="B16" s="590" t="n"/>
      <c r="C16" s="591" t="n"/>
      <c r="D16" s="591" t="n"/>
      <c r="E16" s="591" t="n"/>
      <c r="F16" s="591" t="n"/>
      <c r="G16" s="591" t="n"/>
      <c r="H16" s="605" t="n"/>
    </row>
    <row r="17" ht="13.8" customHeight="1" s="586">
      <c r="A17" s="606" t="inlineStr">
        <is>
          <t>TOTAL BASE CHARGES</t>
        </is>
      </c>
      <c r="B17" s="607" t="n"/>
      <c r="C17" s="608">
        <f>SUM(C3:C15)</f>
        <v/>
      </c>
      <c r="D17" s="608">
        <f>SUM(D3:D15)</f>
        <v/>
      </c>
      <c r="E17" s="608">
        <f>SUM(E3:E15)</f>
        <v/>
      </c>
      <c r="F17" s="608">
        <f>SUM(F3:F15)</f>
        <v/>
      </c>
      <c r="G17" s="608">
        <f>SUM(G3:G15)</f>
        <v/>
      </c>
      <c r="H17" s="609">
        <f>SUM(C17:G17)</f>
        <v/>
      </c>
    </row>
    <row r="18" ht="13.2" customHeight="1" s="586">
      <c r="H18" s="590" t="n"/>
    </row>
    <row r="19" ht="13.8" customHeight="1" s="586"/>
    <row r="20" ht="13.2" customHeight="1" s="586">
      <c r="A20" s="595" t="inlineStr">
        <is>
          <t>PASS  THROUGH COSTS</t>
        </is>
      </c>
      <c r="B20" s="596" t="n"/>
      <c r="C20" s="596" t="n"/>
      <c r="D20" s="596" t="n"/>
      <c r="E20" s="596" t="n"/>
      <c r="F20" s="596" t="n"/>
      <c r="G20" s="596" t="n"/>
      <c r="H20" s="597" t="n"/>
    </row>
    <row r="21" ht="13.2" customHeight="1" s="586">
      <c r="A21" s="598" t="n"/>
      <c r="B21" s="599" t="inlineStr">
        <is>
          <t>EUC</t>
        </is>
      </c>
      <c r="C21" s="599">
        <f>+C67+C113</f>
        <v/>
      </c>
      <c r="D21" s="599">
        <f>+D67+D113</f>
        <v/>
      </c>
      <c r="E21" s="599">
        <f>+E67+E113</f>
        <v/>
      </c>
      <c r="F21" s="599">
        <f>+F67+F113</f>
        <v/>
      </c>
      <c r="G21" s="599">
        <f>+G67+G113</f>
        <v/>
      </c>
      <c r="H21" s="600">
        <f>SUM(C21:G21)</f>
        <v/>
      </c>
    </row>
    <row r="22" ht="13.8" customHeight="1" s="586">
      <c r="A22" s="601" t="n"/>
      <c r="B22" s="602" t="n"/>
      <c r="C22" s="599" t="n"/>
      <c r="D22" s="599" t="n"/>
      <c r="E22" s="599" t="n"/>
      <c r="F22" s="599" t="n"/>
      <c r="G22" s="599" t="n"/>
      <c r="H22" s="603" t="n"/>
    </row>
    <row r="23" ht="13.2" customHeight="1" s="586">
      <c r="A23" s="598" t="n"/>
      <c r="B23" s="599" t="inlineStr">
        <is>
          <t>Service Desk</t>
        </is>
      </c>
      <c r="C23" s="599">
        <f>+C69+C115</f>
        <v/>
      </c>
      <c r="D23" s="599">
        <f>+D69+D115</f>
        <v/>
      </c>
      <c r="E23" s="599">
        <f>+E69+E115</f>
        <v/>
      </c>
      <c r="F23" s="599">
        <f>+F69+F115</f>
        <v/>
      </c>
      <c r="G23" s="599">
        <f>+G69+G115</f>
        <v/>
      </c>
      <c r="H23" s="600">
        <f>SUM(C23:G23)</f>
        <v/>
      </c>
    </row>
    <row r="24" ht="13.8" customHeight="1" s="586">
      <c r="A24" s="601" t="n"/>
      <c r="B24" s="602" t="n"/>
      <c r="C24" s="599" t="n"/>
      <c r="D24" s="599" t="n"/>
      <c r="E24" s="599" t="n"/>
      <c r="F24" s="599" t="n"/>
      <c r="G24" s="599" t="n"/>
      <c r="H24" s="603" t="n"/>
    </row>
    <row r="25" ht="13.2" customHeight="1" s="586">
      <c r="A25" s="598" t="n"/>
      <c r="B25" s="599" t="inlineStr">
        <is>
          <t>LAN Services</t>
        </is>
      </c>
      <c r="C25" s="599">
        <f>+C71+C117</f>
        <v/>
      </c>
      <c r="D25" s="599">
        <f>+D71+D117</f>
        <v/>
      </c>
      <c r="E25" s="599">
        <f>+E71+E117</f>
        <v/>
      </c>
      <c r="F25" s="599">
        <f>+F71+F117</f>
        <v/>
      </c>
      <c r="G25" s="599">
        <f>+G71+G117</f>
        <v/>
      </c>
      <c r="H25" s="600">
        <f>SUM(C25:G25)</f>
        <v/>
      </c>
    </row>
    <row r="26" ht="13.8" customHeight="1" s="586">
      <c r="A26" s="601" t="n"/>
      <c r="B26" s="610" t="n"/>
      <c r="C26" s="599" t="n"/>
      <c r="D26" s="599" t="n"/>
      <c r="E26" s="599" t="n"/>
      <c r="F26" s="599" t="n"/>
      <c r="G26" s="599" t="n"/>
      <c r="H26" s="603" t="n"/>
    </row>
    <row r="27" ht="13.2" customHeight="1" s="586">
      <c r="A27" s="598" t="n"/>
      <c r="B27" s="599" t="inlineStr">
        <is>
          <t>Voice Services</t>
        </is>
      </c>
      <c r="C27" s="599">
        <f>+C73+C119</f>
        <v/>
      </c>
      <c r="D27" s="599">
        <f>+D73+D119</f>
        <v/>
      </c>
      <c r="E27" s="599">
        <f>+E73+E119</f>
        <v/>
      </c>
      <c r="F27" s="599">
        <f>+F73+F119</f>
        <v/>
      </c>
      <c r="G27" s="599">
        <f>+G73+G119</f>
        <v/>
      </c>
      <c r="H27" s="600">
        <f>SUM(C27:G27)</f>
        <v/>
      </c>
    </row>
    <row r="28" ht="13.2" customHeight="1" s="586">
      <c r="A28" s="598" t="n"/>
      <c r="B28" s="599" t="n"/>
      <c r="C28" s="599" t="n"/>
      <c r="D28" s="599" t="n"/>
      <c r="E28" s="599" t="n"/>
      <c r="F28" s="599" t="n"/>
      <c r="G28" s="599" t="n"/>
      <c r="H28" s="600" t="n"/>
    </row>
    <row r="29" ht="13.2" customHeight="1" s="586">
      <c r="A29" s="598" t="n"/>
      <c r="B29" s="599" t="inlineStr">
        <is>
          <t>Desktop Hardware</t>
        </is>
      </c>
      <c r="C29" s="599">
        <f>+C75+C121</f>
        <v/>
      </c>
      <c r="D29" s="599">
        <f>+D75+D121</f>
        <v/>
      </c>
      <c r="E29" s="599">
        <f>+E75+E121</f>
        <v/>
      </c>
      <c r="F29" s="599">
        <f>+F75+F121</f>
        <v/>
      </c>
      <c r="G29" s="599">
        <f>+G75+G121</f>
        <v/>
      </c>
      <c r="H29" s="600">
        <f>SUM(C29:G29)</f>
        <v/>
      </c>
    </row>
    <row r="30" ht="13.2" customHeight="1" s="586">
      <c r="A30" s="598" t="n"/>
      <c r="B30" s="599" t="n"/>
      <c r="C30" s="599" t="n"/>
      <c r="D30" s="599" t="n"/>
      <c r="E30" s="599" t="n"/>
      <c r="F30" s="599" t="n"/>
      <c r="G30" s="599" t="n"/>
      <c r="H30" s="600" t="n"/>
    </row>
    <row r="31" ht="13.2" customHeight="1" s="586">
      <c r="A31" s="598" t="n"/>
      <c r="B31" s="599" t="inlineStr">
        <is>
          <t>Server Management</t>
        </is>
      </c>
      <c r="C31" s="599">
        <f>+C77+C123</f>
        <v/>
      </c>
      <c r="D31" s="599">
        <f>+D77+D123</f>
        <v/>
      </c>
      <c r="E31" s="599">
        <f>+E77+E123</f>
        <v/>
      </c>
      <c r="F31" s="599">
        <f>+F77+F123</f>
        <v/>
      </c>
      <c r="G31" s="599">
        <f>+G77+G123</f>
        <v/>
      </c>
      <c r="H31" s="600">
        <f>SUM(C31:G31)</f>
        <v/>
      </c>
    </row>
    <row r="32" ht="13.2" customHeight="1" s="586">
      <c r="A32" s="598" t="n"/>
      <c r="B32" s="599" t="n"/>
      <c r="C32" s="599" t="n"/>
      <c r="D32" s="599" t="n"/>
      <c r="E32" s="599" t="n"/>
      <c r="F32" s="599" t="n"/>
      <c r="G32" s="599" t="n"/>
      <c r="H32" s="600" t="n"/>
    </row>
    <row r="33" ht="13.2" customHeight="1" s="586">
      <c r="A33" s="598" t="n"/>
      <c r="B33" s="599" t="inlineStr">
        <is>
          <t>2IM</t>
        </is>
      </c>
      <c r="C33" s="599">
        <f>+C79+C125</f>
        <v/>
      </c>
      <c r="D33" s="599">
        <f>+D79+D125</f>
        <v/>
      </c>
      <c r="E33" s="599">
        <f>+E79+E125</f>
        <v/>
      </c>
      <c r="F33" s="599">
        <f>+F79+F125</f>
        <v/>
      </c>
      <c r="G33" s="599">
        <f>+G79+G125</f>
        <v/>
      </c>
      <c r="H33" s="600">
        <f>SUM(C33:G33)</f>
        <v/>
      </c>
    </row>
    <row r="34" ht="13.2" customHeight="1" s="586">
      <c r="A34" s="598" t="n"/>
      <c r="B34" s="590" t="inlineStr">
        <is>
          <t xml:space="preserve"> </t>
        </is>
      </c>
      <c r="C34" s="590" t="n"/>
      <c r="D34" s="590" t="n"/>
      <c r="E34" s="590" t="n"/>
      <c r="F34" s="590" t="n"/>
      <c r="G34" s="590" t="n"/>
      <c r="H34" s="605" t="n"/>
    </row>
    <row r="35" ht="13.8" customHeight="1" s="586">
      <c r="A35" s="606" t="inlineStr">
        <is>
          <t>TOTAL  PASS THROUGH</t>
        </is>
      </c>
      <c r="B35" s="607" t="n"/>
      <c r="C35" s="608">
        <f>SUM(C21:C33)</f>
        <v/>
      </c>
      <c r="D35" s="608">
        <f>SUM(D21:D33)</f>
        <v/>
      </c>
      <c r="E35" s="608">
        <f>SUM(E21:E33)</f>
        <v/>
      </c>
      <c r="F35" s="608">
        <f>SUM(F21:F33)</f>
        <v/>
      </c>
      <c r="G35" s="608">
        <f>SUM(G21:G33)</f>
        <v/>
      </c>
      <c r="H35" s="609">
        <f>SUM(C35:G35)</f>
        <v/>
      </c>
    </row>
    <row r="36"/>
    <row r="37" ht="13.8" customHeight="1" s="586"/>
    <row r="38" ht="13.2" customHeight="1" s="586">
      <c r="A38" s="595" t="inlineStr">
        <is>
          <t>ONE-TIME CHARGES</t>
        </is>
      </c>
      <c r="B38" s="611" t="n"/>
      <c r="C38" s="596" t="n"/>
      <c r="D38" s="596" t="n"/>
      <c r="E38" s="596" t="n"/>
      <c r="F38" s="596" t="n"/>
      <c r="G38" s="596" t="n"/>
      <c r="H38" s="597" t="n"/>
    </row>
    <row r="39" ht="13.2" customHeight="1" s="586">
      <c r="A39" s="598" t="n"/>
      <c r="B39" s="599" t="inlineStr">
        <is>
          <t>Transition</t>
        </is>
      </c>
      <c r="C39" s="599">
        <f>+C85+C131</f>
        <v/>
      </c>
      <c r="D39" s="599">
        <f>+D85+D131</f>
        <v/>
      </c>
      <c r="E39" s="599">
        <f>+E85+E131</f>
        <v/>
      </c>
      <c r="F39" s="599">
        <f>+F85+F131</f>
        <v/>
      </c>
      <c r="G39" s="599">
        <f>+G85+G131</f>
        <v/>
      </c>
      <c r="H39" s="600">
        <f>SUM(C39:G39)</f>
        <v/>
      </c>
    </row>
    <row r="40" ht="13.2" customHeight="1" s="586">
      <c r="A40" s="598" t="n"/>
      <c r="B40" s="612" t="inlineStr">
        <is>
          <t>Transformation</t>
        </is>
      </c>
      <c r="C40" s="599">
        <f>+C86+C132</f>
        <v/>
      </c>
      <c r="D40" s="599">
        <f>+D86+D132</f>
        <v/>
      </c>
      <c r="E40" s="599">
        <f>+E86+E132</f>
        <v/>
      </c>
      <c r="F40" s="599">
        <f>+F86+F132</f>
        <v/>
      </c>
      <c r="G40" s="599">
        <f>+G86+G132</f>
        <v/>
      </c>
      <c r="H40" s="600">
        <f>SUM(C40:G40)</f>
        <v/>
      </c>
    </row>
    <row r="41" ht="13.2" customHeight="1" s="586">
      <c r="A41" s="598" t="n"/>
      <c r="B41" s="599" t="inlineStr">
        <is>
          <t>BCP/ Sercurity (fixed)</t>
        </is>
      </c>
      <c r="C41" s="599">
        <f>+C87+C133</f>
        <v/>
      </c>
      <c r="D41" s="599">
        <f>+D87+D133</f>
        <v/>
      </c>
      <c r="E41" s="599">
        <f>+E87+E133</f>
        <v/>
      </c>
      <c r="F41" s="599">
        <f>+F87+F133</f>
        <v/>
      </c>
      <c r="G41" s="599">
        <f>+G87+G133</f>
        <v/>
      </c>
      <c r="H41" s="600">
        <f>SUM(C41:G41)</f>
        <v/>
      </c>
    </row>
    <row r="42" ht="13.2" customHeight="1" s="586">
      <c r="A42" s="598" t="n"/>
      <c r="B42" s="599" t="inlineStr">
        <is>
          <t>extra one time charges</t>
        </is>
      </c>
      <c r="C42" s="599">
        <f>+C88+C134</f>
        <v/>
      </c>
      <c r="D42" s="599">
        <f>+D88+D134</f>
        <v/>
      </c>
      <c r="E42" s="599">
        <f>+E88+E134</f>
        <v/>
      </c>
      <c r="F42" s="599">
        <f>+F88+F134</f>
        <v/>
      </c>
      <c r="G42" s="599">
        <f>+G88+G134</f>
        <v/>
      </c>
      <c r="H42" s="600">
        <f>SUM(C42:G42)</f>
        <v/>
      </c>
    </row>
    <row r="43" ht="13.8" customHeight="1" s="586">
      <c r="A43" s="606" t="inlineStr">
        <is>
          <t>TOTAL ONE-TIME CHARGES</t>
        </is>
      </c>
      <c r="B43" s="607" t="n"/>
      <c r="C43" s="607">
        <f>SUM(C39:C42)</f>
        <v/>
      </c>
      <c r="D43" s="607">
        <f>SUM(D39:D42)</f>
        <v/>
      </c>
      <c r="E43" s="607">
        <f>SUM(E39:E42)</f>
        <v/>
      </c>
      <c r="F43" s="607">
        <f>SUM(F39:F42)</f>
        <v/>
      </c>
      <c r="G43" s="607">
        <f>SUM(G39:G42)</f>
        <v/>
      </c>
      <c r="H43" s="613">
        <f>SUM(C43:G43)</f>
        <v/>
      </c>
    </row>
    <row r="44" ht="13.8" customHeight="1" s="586"/>
    <row r="45" ht="13.8" customHeight="1" s="586">
      <c r="A45" s="614" t="inlineStr">
        <is>
          <t>GRAND TOTAL FEES</t>
        </is>
      </c>
      <c r="B45" s="615" t="n"/>
      <c r="C45" s="616">
        <f>SUM(C17,C35,C43)</f>
        <v/>
      </c>
      <c r="D45" s="616">
        <f>SUM(D17,D35,D43)</f>
        <v/>
      </c>
      <c r="E45" s="616">
        <f>SUM(E17,E35,E43)</f>
        <v/>
      </c>
      <c r="F45" s="616">
        <f>SUM(F17,F35,F43)</f>
        <v/>
      </c>
      <c r="G45" s="616">
        <f>SUM(G17,G35,G43)</f>
        <v/>
      </c>
      <c r="H45" s="617">
        <f>SUM(H17,H35,H43)</f>
        <v/>
      </c>
    </row>
    <row r="46" ht="21" customHeight="1" s="586">
      <c r="H46" s="590" t="n"/>
    </row>
    <row r="47" ht="18.75" customHeight="1" s="586">
      <c r="A47" s="592" t="inlineStr">
        <is>
          <t>NETHERLANDS</t>
        </is>
      </c>
      <c r="B47" s="592" t="inlineStr">
        <is>
          <t>Category of Services</t>
        </is>
      </c>
      <c r="C47" s="593" t="inlineStr">
        <is>
          <t>Year 1</t>
        </is>
      </c>
      <c r="D47" s="593" t="inlineStr">
        <is>
          <t>Year 2</t>
        </is>
      </c>
      <c r="E47" s="593" t="inlineStr">
        <is>
          <t>Year 3</t>
        </is>
      </c>
      <c r="F47" s="593" t="inlineStr">
        <is>
          <t>Year 4</t>
        </is>
      </c>
      <c r="G47" s="593" t="inlineStr">
        <is>
          <t>Year 5</t>
        </is>
      </c>
      <c r="H47" s="594" t="inlineStr">
        <is>
          <t>Total 5 Yr</t>
        </is>
      </c>
    </row>
    <row r="48" ht="13.2" customHeight="1" s="586">
      <c r="A48" s="595" t="inlineStr">
        <is>
          <t>BASE CHARGES</t>
        </is>
      </c>
      <c r="B48" s="596" t="n"/>
      <c r="C48" s="596" t="n"/>
      <c r="D48" s="596" t="n"/>
      <c r="E48" s="596" t="n"/>
      <c r="F48" s="596" t="n"/>
      <c r="G48" s="596" t="n"/>
      <c r="H48" s="597" t="n"/>
    </row>
    <row r="49" ht="13.2" customHeight="1" s="586">
      <c r="A49" s="598" t="n"/>
      <c r="B49" s="599" t="inlineStr">
        <is>
          <t>EUC</t>
        </is>
      </c>
      <c r="C49" s="618">
        <f>+'Detailed Base Charges NL'!B36</f>
        <v/>
      </c>
      <c r="D49" s="618">
        <f>+'Detailed Base Charges NL'!C36</f>
        <v/>
      </c>
      <c r="E49" s="618">
        <f>+'Detailed Base Charges NL'!D36</f>
        <v/>
      </c>
      <c r="F49" s="618">
        <f>+'Detailed Base Charges NL'!E36</f>
        <v/>
      </c>
      <c r="G49" s="618">
        <f>+'Detailed Base Charges NL'!F36</f>
        <v/>
      </c>
      <c r="H49" s="600">
        <f>SUM(C49:G49)</f>
        <v/>
      </c>
    </row>
    <row r="50" ht="13.8" customHeight="1" s="586">
      <c r="A50" s="601" t="n"/>
      <c r="B50" s="602" t="n"/>
      <c r="C50" s="619" t="n"/>
      <c r="D50" s="619" t="n"/>
      <c r="E50" s="619" t="n"/>
      <c r="F50" s="619" t="n"/>
      <c r="G50" s="619" t="n"/>
      <c r="H50" s="620" t="n"/>
    </row>
    <row r="51" ht="13.2" customHeight="1" s="586">
      <c r="A51" s="598" t="n"/>
      <c r="B51" s="599" t="inlineStr">
        <is>
          <t>Service Desk</t>
        </is>
      </c>
      <c r="C51" s="618">
        <f>+'Detailed Base Charges NL'!B46</f>
        <v/>
      </c>
      <c r="D51" s="618">
        <f>+'Detailed Base Charges NL'!C46</f>
        <v/>
      </c>
      <c r="E51" s="618">
        <f>+'Detailed Base Charges NL'!D46</f>
        <v/>
      </c>
      <c r="F51" s="618">
        <f>+'Detailed Base Charges NL'!E46</f>
        <v/>
      </c>
      <c r="G51" s="618">
        <f>+'Detailed Base Charges NL'!F46</f>
        <v/>
      </c>
      <c r="H51" s="600">
        <f>SUM(C51:G51)</f>
        <v/>
      </c>
    </row>
    <row r="52" ht="13.8" customHeight="1" s="586">
      <c r="A52" s="601" t="n"/>
      <c r="B52" s="602" t="n"/>
      <c r="C52" s="619" t="n"/>
      <c r="D52" s="619" t="n"/>
      <c r="E52" s="619" t="n"/>
      <c r="F52" s="619" t="n"/>
      <c r="G52" s="619" t="n"/>
      <c r="H52" s="620" t="n"/>
    </row>
    <row r="53" ht="13.2" customHeight="1" s="586">
      <c r="A53" s="598" t="n"/>
      <c r="B53" s="599" t="inlineStr">
        <is>
          <t>LAN Services</t>
        </is>
      </c>
      <c r="C53" s="618">
        <f>+'Detailed Base Charges NL'!B53</f>
        <v/>
      </c>
      <c r="D53" s="618">
        <f>+'Detailed Base Charges NL'!C53</f>
        <v/>
      </c>
      <c r="E53" s="618">
        <f>+'Detailed Base Charges NL'!D53</f>
        <v/>
      </c>
      <c r="F53" s="618">
        <f>+'Detailed Base Charges NL'!E53</f>
        <v/>
      </c>
      <c r="G53" s="618">
        <f>+'Detailed Base Charges NL'!F53</f>
        <v/>
      </c>
      <c r="H53" s="600">
        <f>SUM(C53:G53)</f>
        <v/>
      </c>
    </row>
    <row r="54" ht="13.8" customHeight="1" s="586">
      <c r="A54" s="601" t="n"/>
      <c r="B54" s="610" t="n"/>
      <c r="C54" s="619" t="n"/>
      <c r="D54" s="619" t="n"/>
      <c r="E54" s="619" t="n"/>
      <c r="F54" s="619" t="n"/>
      <c r="G54" s="619" t="n"/>
      <c r="H54" s="621" t="n"/>
    </row>
    <row r="55" ht="13.2" customHeight="1" s="586">
      <c r="A55" s="598" t="n"/>
      <c r="B55" s="599" t="inlineStr">
        <is>
          <t>Voice Services</t>
        </is>
      </c>
      <c r="C55" s="618">
        <f>+'Detailed Base Charges NL'!B113</f>
        <v/>
      </c>
      <c r="D55" s="618">
        <f>+'Detailed Base Charges NL'!C113</f>
        <v/>
      </c>
      <c r="E55" s="618">
        <f>+'Detailed Base Charges NL'!D113</f>
        <v/>
      </c>
      <c r="F55" s="618">
        <f>+'Detailed Base Charges NL'!E113</f>
        <v/>
      </c>
      <c r="G55" s="618">
        <f>+'Detailed Base Charges NL'!F113</f>
        <v/>
      </c>
      <c r="H55" s="622">
        <f>SUM(C55:G55)</f>
        <v/>
      </c>
      <c r="K55" s="591" t="n"/>
    </row>
    <row r="56" ht="13.2" customHeight="1" s="586">
      <c r="A56" s="598" t="n"/>
      <c r="B56" s="599" t="n"/>
      <c r="C56" s="599" t="n"/>
      <c r="D56" s="599" t="n"/>
      <c r="E56" s="599" t="n"/>
      <c r="F56" s="599" t="n"/>
      <c r="G56" s="599" t="n"/>
      <c r="H56" s="600" t="n"/>
    </row>
    <row r="57" ht="13.2" customHeight="1" s="586">
      <c r="A57" s="598" t="n"/>
      <c r="B57" s="599" t="inlineStr">
        <is>
          <t>Desktop Hardware</t>
        </is>
      </c>
      <c r="C57" s="599">
        <f>+'Detailed Base Charges NL'!B117</f>
        <v/>
      </c>
      <c r="D57" s="599">
        <f>+'Detailed Base Charges NL'!C117</f>
        <v/>
      </c>
      <c r="E57" s="599">
        <f>+'Detailed Base Charges NL'!D117</f>
        <v/>
      </c>
      <c r="F57" s="599">
        <f>+'Detailed Base Charges NL'!E117</f>
        <v/>
      </c>
      <c r="G57" s="599">
        <f>+'Detailed Base Charges NL'!F117</f>
        <v/>
      </c>
      <c r="H57" s="600">
        <f>SUM(C57:G57)</f>
        <v/>
      </c>
    </row>
    <row r="58" ht="13.2" customHeight="1" s="586">
      <c r="A58" s="598" t="n"/>
      <c r="B58" s="604" t="n"/>
      <c r="C58" s="599" t="n"/>
      <c r="D58" s="599" t="n"/>
      <c r="E58" s="599" t="n"/>
      <c r="F58" s="599" t="n"/>
      <c r="G58" s="599" t="n"/>
      <c r="H58" s="600" t="n"/>
    </row>
    <row r="59" ht="13.2" customHeight="1" s="586">
      <c r="A59" s="598" t="n"/>
      <c r="B59" s="599" t="inlineStr">
        <is>
          <t>Server Management</t>
        </is>
      </c>
      <c r="C59" s="599">
        <f>+'Detailed Base Charges NL'!B133</f>
        <v/>
      </c>
      <c r="D59" s="599">
        <f>+'Detailed Base Charges NL'!C133</f>
        <v/>
      </c>
      <c r="E59" s="599">
        <f>+'Detailed Base Charges NL'!D133</f>
        <v/>
      </c>
      <c r="F59" s="599">
        <f>+'Detailed Base Charges NL'!E133</f>
        <v/>
      </c>
      <c r="G59" s="599">
        <f>+'Detailed Base Charges NL'!F133</f>
        <v/>
      </c>
      <c r="H59" s="600">
        <f>SUM(C59:G59)</f>
        <v/>
      </c>
    </row>
    <row r="60" ht="13.2" customHeight="1" s="586">
      <c r="A60" s="598" t="n"/>
      <c r="B60" s="599" t="n"/>
      <c r="C60" s="599" t="n"/>
      <c r="D60" s="599" t="n"/>
      <c r="E60" s="599" t="n"/>
      <c r="F60" s="599" t="n"/>
      <c r="G60" s="599" t="n"/>
      <c r="H60" s="600" t="n"/>
    </row>
    <row r="61" ht="13.2" customHeight="1" s="586">
      <c r="A61" s="598" t="n"/>
      <c r="B61" s="599" t="inlineStr">
        <is>
          <t>2IM</t>
        </is>
      </c>
      <c r="C61" s="599">
        <f>+'Detailed Base Charges NL'!B137</f>
        <v/>
      </c>
      <c r="D61" s="599">
        <f>+'Detailed Base Charges NL'!C137</f>
        <v/>
      </c>
      <c r="E61" s="599">
        <f>+'Detailed Base Charges NL'!D137</f>
        <v/>
      </c>
      <c r="F61" s="599">
        <f>+'Detailed Base Charges NL'!E137</f>
        <v/>
      </c>
      <c r="G61" s="599">
        <f>+'Detailed Base Charges NL'!F137</f>
        <v/>
      </c>
      <c r="H61" s="600">
        <f>SUM(C61:G61)</f>
        <v/>
      </c>
    </row>
    <row r="62" ht="13.2" customHeight="1" s="586">
      <c r="A62" s="598" t="n"/>
      <c r="B62" s="590" t="n"/>
      <c r="C62" s="591" t="n"/>
      <c r="D62" s="591" t="n"/>
      <c r="E62" s="591" t="n"/>
      <c r="F62" s="591" t="n"/>
      <c r="G62" s="591" t="n"/>
      <c r="H62" s="605" t="n"/>
    </row>
    <row r="63" ht="13.8" customHeight="1" s="586">
      <c r="A63" s="606" t="inlineStr">
        <is>
          <t>TOTAL BASE CHARGES</t>
        </is>
      </c>
      <c r="B63" s="607" t="n"/>
      <c r="C63" s="608">
        <f>SUM(C49:C61)</f>
        <v/>
      </c>
      <c r="D63" s="608">
        <f>SUM(D49:D61)</f>
        <v/>
      </c>
      <c r="E63" s="608">
        <f>SUM(E49:E61)</f>
        <v/>
      </c>
      <c r="F63" s="608">
        <f>SUM(F49:F61)</f>
        <v/>
      </c>
      <c r="G63" s="608">
        <f>SUM(G49:G61)</f>
        <v/>
      </c>
      <c r="H63" s="609">
        <f>SUM(C63:G63)</f>
        <v/>
      </c>
    </row>
    <row r="64"/>
    <row r="65" ht="13.8" customHeight="1" s="586"/>
    <row r="66" ht="13.2" customHeight="1" s="586">
      <c r="A66" s="595" t="inlineStr">
        <is>
          <t>PASS  THROUGH COSTS</t>
        </is>
      </c>
      <c r="B66" s="596" t="n"/>
      <c r="C66" s="596" t="n"/>
      <c r="D66" s="596" t="n"/>
      <c r="E66" s="596" t="n"/>
      <c r="F66" s="596" t="n"/>
      <c r="G66" s="596" t="n"/>
      <c r="H66" s="597" t="n"/>
    </row>
    <row r="67" ht="13.2" customHeight="1" s="586">
      <c r="A67" s="598" t="n"/>
      <c r="B67" s="599" t="inlineStr">
        <is>
          <t>EUC</t>
        </is>
      </c>
      <c r="C67" s="618" t="n"/>
      <c r="D67" s="599" t="n"/>
      <c r="E67" s="599" t="n"/>
      <c r="F67" s="599" t="n"/>
      <c r="G67" s="599" t="n"/>
      <c r="H67" s="600">
        <f>SUM(C67:G67)</f>
        <v/>
      </c>
    </row>
    <row r="68" ht="13.8" customHeight="1" s="586">
      <c r="A68" s="601" t="n"/>
      <c r="B68" s="602" t="n"/>
      <c r="C68" s="619" t="n"/>
      <c r="D68" s="602" t="n"/>
      <c r="E68" s="602" t="n"/>
      <c r="F68" s="602" t="n"/>
      <c r="G68" s="602" t="n"/>
      <c r="H68" s="620" t="n"/>
    </row>
    <row r="69" ht="13.2" customHeight="1" s="586">
      <c r="A69" s="598" t="n"/>
      <c r="B69" s="599" t="inlineStr">
        <is>
          <t>Service Desk</t>
        </is>
      </c>
      <c r="C69" s="618" t="n"/>
      <c r="D69" s="599" t="n"/>
      <c r="E69" s="599" t="n"/>
      <c r="F69" s="599" t="n"/>
      <c r="G69" s="599" t="n"/>
      <c r="H69" s="600">
        <f>SUM(C69:G69)</f>
        <v/>
      </c>
    </row>
    <row r="70" ht="13.8" customHeight="1" s="586">
      <c r="A70" s="601" t="n"/>
      <c r="B70" s="602" t="n"/>
      <c r="C70" s="599" t="n"/>
      <c r="D70" s="599" t="n"/>
      <c r="E70" s="599" t="n"/>
      <c r="F70" s="599" t="n"/>
      <c r="G70" s="599" t="n"/>
      <c r="H70" s="620" t="n"/>
    </row>
    <row r="71" ht="13.2" customHeight="1" s="586">
      <c r="A71" s="598" t="n"/>
      <c r="B71" s="599" t="inlineStr">
        <is>
          <t>LAN Services</t>
        </is>
      </c>
      <c r="C71" s="599">
        <f>'Pass Through overview'!H3</f>
        <v/>
      </c>
      <c r="D71" s="599">
        <f>'Pass Through overview'!I3</f>
        <v/>
      </c>
      <c r="E71" s="599">
        <f>'Pass Through overview'!J3</f>
        <v/>
      </c>
      <c r="F71" s="599">
        <f>'Pass Through overview'!K3</f>
        <v/>
      </c>
      <c r="G71" s="599">
        <f>'Pass Through overview'!L3</f>
        <v/>
      </c>
      <c r="H71" s="600">
        <f>SUM(C71:G71)</f>
        <v/>
      </c>
    </row>
    <row r="72" ht="13.8" customHeight="1" s="586">
      <c r="A72" s="601" t="n"/>
      <c r="B72" s="610" t="n"/>
      <c r="C72" s="599" t="n"/>
      <c r="D72" s="599" t="n"/>
      <c r="E72" s="599" t="n"/>
      <c r="F72" s="599" t="n"/>
      <c r="G72" s="599" t="n"/>
      <c r="H72" s="621" t="n"/>
    </row>
    <row r="73" ht="13.2" customHeight="1" s="586">
      <c r="A73" s="598" t="n"/>
      <c r="B73" s="599" t="inlineStr">
        <is>
          <t>Voice Services</t>
        </is>
      </c>
      <c r="C73" s="599">
        <f>SUM('Pass Through overview'!H17:H24)</f>
        <v/>
      </c>
      <c r="D73" s="599">
        <f>SUM('Pass Through overview'!I17:I24)</f>
        <v/>
      </c>
      <c r="E73" s="599">
        <f>SUM('Pass Through overview'!J17:J24)</f>
        <v/>
      </c>
      <c r="F73" s="599">
        <f>SUM('Pass Through overview'!K17:K24)</f>
        <v/>
      </c>
      <c r="G73" s="599">
        <f>SUM('Pass Through overview'!L17:L24)</f>
        <v/>
      </c>
      <c r="H73" s="600">
        <f>SUM(C73:G73)</f>
        <v/>
      </c>
    </row>
    <row r="74" ht="13.2" customHeight="1" s="586">
      <c r="A74" s="598" t="n"/>
      <c r="B74" s="599" t="n"/>
      <c r="C74" s="599" t="n"/>
      <c r="D74" s="618" t="n"/>
      <c r="E74" s="599" t="n"/>
      <c r="F74" s="599" t="n"/>
      <c r="G74" s="599" t="n"/>
      <c r="H74" s="600" t="n"/>
    </row>
    <row r="75" ht="13.2" customHeight="1" s="586">
      <c r="A75" s="598" t="n"/>
      <c r="B75" s="599" t="inlineStr">
        <is>
          <t>Desktop Hardware</t>
        </is>
      </c>
      <c r="C75" s="599">
        <f>SUM('Pass Through overview'!H36:H92)</f>
        <v/>
      </c>
      <c r="D75" s="599">
        <f>SUM('Pass Through overview'!I36:I92)</f>
        <v/>
      </c>
      <c r="E75" s="599">
        <f>SUM('Pass Through overview'!J36:J92)</f>
        <v/>
      </c>
      <c r="F75" s="599">
        <f>SUM('Pass Through overview'!K36:K92)</f>
        <v/>
      </c>
      <c r="G75" s="599">
        <f>SUM('Pass Through overview'!L36:L92)</f>
        <v/>
      </c>
      <c r="H75" s="600">
        <f>SUM(C75:G75)</f>
        <v/>
      </c>
    </row>
    <row r="76" ht="13.2" customHeight="1" s="586">
      <c r="A76" s="598" t="n"/>
      <c r="B76" s="599" t="n"/>
      <c r="C76" s="599" t="n"/>
      <c r="D76" s="599" t="n"/>
      <c r="E76" s="599" t="n"/>
      <c r="F76" s="599" t="n"/>
      <c r="G76" s="599" t="n"/>
      <c r="H76" s="600" t="n"/>
    </row>
    <row r="77" ht="13.2" customHeight="1" s="586">
      <c r="A77" s="598" t="n"/>
      <c r="B77" s="599" t="inlineStr">
        <is>
          <t>Server Management</t>
        </is>
      </c>
      <c r="C77" s="599">
        <f>SUM('Pass Through overview'!H151:H175)</f>
        <v/>
      </c>
      <c r="D77" s="599">
        <f>SUM('Pass Through overview'!I151:I175)</f>
        <v/>
      </c>
      <c r="E77" s="599">
        <f>SUM('Pass Through overview'!J151:J175)</f>
        <v/>
      </c>
      <c r="F77" s="599">
        <f>SUM('Pass Through overview'!K151:K175)</f>
        <v/>
      </c>
      <c r="G77" s="599">
        <f>SUM('Pass Through overview'!L151:L175)</f>
        <v/>
      </c>
      <c r="H77" s="600">
        <f>SUM(C77:G77)</f>
        <v/>
      </c>
    </row>
    <row r="78" ht="13.2" customHeight="1" s="586">
      <c r="A78" s="598" t="n"/>
      <c r="B78" s="599" t="n"/>
      <c r="C78" s="599" t="n"/>
      <c r="D78" s="599" t="n"/>
      <c r="E78" s="599" t="n"/>
      <c r="F78" s="599" t="n"/>
      <c r="G78" s="599" t="n"/>
      <c r="H78" s="600" t="n"/>
    </row>
    <row r="79" ht="13.2" customHeight="1" s="586">
      <c r="A79" s="598" t="n"/>
      <c r="B79" s="599" t="inlineStr">
        <is>
          <t>2IM</t>
        </is>
      </c>
      <c r="C79" s="599" t="n">
        <v>329876</v>
      </c>
      <c r="D79" s="599" t="n">
        <v>67549</v>
      </c>
      <c r="E79" s="599" t="n">
        <v>42218</v>
      </c>
      <c r="F79" s="599" t="n">
        <v>16887</v>
      </c>
      <c r="G79" s="599" t="n">
        <v>0</v>
      </c>
      <c r="H79" s="600">
        <f>SUM(C79:G79)</f>
        <v/>
      </c>
    </row>
    <row r="80" ht="13.2" customHeight="1" s="586">
      <c r="A80" s="598" t="n"/>
      <c r="B80" s="590" t="inlineStr">
        <is>
          <t xml:space="preserve"> </t>
        </is>
      </c>
      <c r="C80" s="590" t="n"/>
      <c r="D80" s="590" t="n"/>
      <c r="E80" s="590" t="n"/>
      <c r="F80" s="590" t="n"/>
      <c r="G80" s="590" t="n"/>
      <c r="H80" s="605" t="n"/>
    </row>
    <row r="81" ht="13.8" customHeight="1" s="586">
      <c r="A81" s="606" t="inlineStr">
        <is>
          <t>TOTAL  PASS THROUGH</t>
        </is>
      </c>
      <c r="B81" s="607" t="n"/>
      <c r="C81" s="608">
        <f>SUM(C67:C79)</f>
        <v/>
      </c>
      <c r="D81" s="608">
        <f>SUM(D67:D79)</f>
        <v/>
      </c>
      <c r="E81" s="608">
        <f>SUM(E67:E79)</f>
        <v/>
      </c>
      <c r="F81" s="608">
        <f>SUM(F67:F79)</f>
        <v/>
      </c>
      <c r="G81" s="608">
        <f>SUM(G67:G79)</f>
        <v/>
      </c>
      <c r="H81" s="609">
        <f>SUM(C81:G81)</f>
        <v/>
      </c>
    </row>
    <row r="82"/>
    <row r="83" ht="13.8" customHeight="1" s="586"/>
    <row r="84" ht="13.2" customHeight="1" s="586">
      <c r="A84" s="595" t="inlineStr">
        <is>
          <t>ONE-TIME CHARGES</t>
        </is>
      </c>
      <c r="B84" s="611" t="n"/>
      <c r="C84" s="596" t="n"/>
      <c r="D84" s="596" t="n"/>
      <c r="E84" s="596" t="n"/>
      <c r="F84" s="596" t="n"/>
      <c r="G84" s="596" t="n"/>
      <c r="H84" s="597" t="n"/>
    </row>
    <row r="85" ht="13.2" customHeight="1" s="586">
      <c r="A85" s="598" t="n"/>
      <c r="B85" s="599" t="inlineStr">
        <is>
          <t>Transition</t>
        </is>
      </c>
      <c r="C85" s="599">
        <f>'One Time Charges'!S245</f>
        <v/>
      </c>
      <c r="D85" s="599">
        <f>'One Time Charges'!T245</f>
        <v/>
      </c>
      <c r="E85" s="599">
        <f>'One Time Charges'!U245</f>
        <v/>
      </c>
      <c r="F85" s="599">
        <f>'One Time Charges'!V245</f>
        <v/>
      </c>
      <c r="G85" s="599" t="n"/>
      <c r="H85" s="600">
        <f>SUM(C85:G85)</f>
        <v/>
      </c>
    </row>
    <row r="86" ht="13.2" customHeight="1" s="586">
      <c r="A86" s="598" t="n"/>
      <c r="B86" s="612" t="inlineStr">
        <is>
          <t>Transformation</t>
        </is>
      </c>
      <c r="C86" s="599">
        <f>'One Time Charges'!S246</f>
        <v/>
      </c>
      <c r="D86" s="599">
        <f>'One Time Charges'!AF246</f>
        <v/>
      </c>
      <c r="E86" s="599">
        <f>'One Time Charges'!AS246</f>
        <v/>
      </c>
      <c r="F86" s="599">
        <f>'One Time Charges'!BF246</f>
        <v/>
      </c>
      <c r="G86" s="599" t="n"/>
      <c r="H86" s="600">
        <f>SUM(C86:G86)</f>
        <v/>
      </c>
    </row>
    <row r="87" ht="13.2" customHeight="1" s="586">
      <c r="A87" s="598" t="n"/>
      <c r="B87" s="599" t="inlineStr">
        <is>
          <t>BCP/ Sercurity (fixed)</t>
        </is>
      </c>
      <c r="C87" s="599">
        <f>'One Time Charges'!S247</f>
        <v/>
      </c>
      <c r="D87" s="599" t="n"/>
      <c r="E87" s="599" t="n"/>
      <c r="F87" s="599" t="n"/>
      <c r="G87" s="599" t="n"/>
      <c r="H87" s="600">
        <f>SUM(C87:G87)</f>
        <v/>
      </c>
    </row>
    <row r="88" ht="13.2" customHeight="1" s="586">
      <c r="A88" s="598" t="n"/>
      <c r="B88" s="599" t="inlineStr">
        <is>
          <t>extra one time charges</t>
        </is>
      </c>
      <c r="C88" s="599">
        <f>'One Time Charges'!AF292</f>
        <v/>
      </c>
      <c r="D88" s="599">
        <f>+'One Time Charges'!BF292</f>
        <v/>
      </c>
      <c r="E88" s="599" t="n"/>
      <c r="F88" s="599" t="n"/>
      <c r="G88" s="599" t="n"/>
      <c r="H88" s="600">
        <f>SUM(C88:G88)</f>
        <v/>
      </c>
    </row>
    <row r="89" ht="13.8" customHeight="1" s="586">
      <c r="A89" s="606" t="inlineStr">
        <is>
          <t>TOTAL ONE-TIME CHARGES</t>
        </is>
      </c>
      <c r="B89" s="607" t="n"/>
      <c r="C89" s="607">
        <f>SUM(C85:C88)</f>
        <v/>
      </c>
      <c r="D89" s="607">
        <f>SUM(D85:D88)</f>
        <v/>
      </c>
      <c r="E89" s="607">
        <f>SUM(E85:E88)</f>
        <v/>
      </c>
      <c r="F89" s="607">
        <f>SUM(F85:F88)</f>
        <v/>
      </c>
      <c r="G89" s="607">
        <f>SUM(G85:G88)</f>
        <v/>
      </c>
      <c r="H89" s="613">
        <f>SUM(C89:G89)</f>
        <v/>
      </c>
    </row>
    <row r="90" ht="13.8" customHeight="1" s="586"/>
    <row r="91" ht="13.8" customHeight="1" s="586">
      <c r="A91" s="614" t="inlineStr">
        <is>
          <t>GRAND TOTAL FEES</t>
        </is>
      </c>
      <c r="B91" s="615" t="n"/>
      <c r="C91" s="616">
        <f>SUM(C63,C81,C89)</f>
        <v/>
      </c>
      <c r="D91" s="616">
        <f>SUM(D63,D81,D89)</f>
        <v/>
      </c>
      <c r="E91" s="616">
        <f>SUM(E63,E81,E89)</f>
        <v/>
      </c>
      <c r="F91" s="616">
        <f>SUM(F63,F81,F89)</f>
        <v/>
      </c>
      <c r="G91" s="616">
        <f>SUM(G63,G81,G89)</f>
        <v/>
      </c>
      <c r="H91" s="617">
        <f>SUM(H63,H81,H89)</f>
        <v/>
      </c>
    </row>
    <row r="92"/>
    <row r="93" ht="16.5" customHeight="1" s="586">
      <c r="A93" s="592" t="inlineStr">
        <is>
          <t>BELGIUM</t>
        </is>
      </c>
      <c r="B93" s="592" t="inlineStr">
        <is>
          <t>Category of Services</t>
        </is>
      </c>
      <c r="C93" s="593" t="inlineStr">
        <is>
          <t>Year 1</t>
        </is>
      </c>
      <c r="D93" s="593" t="inlineStr">
        <is>
          <t>Year 2</t>
        </is>
      </c>
      <c r="E93" s="593" t="inlineStr">
        <is>
          <t>Year 3</t>
        </is>
      </c>
      <c r="F93" s="593" t="inlineStr">
        <is>
          <t>Year 4</t>
        </is>
      </c>
      <c r="G93" s="593" t="inlineStr">
        <is>
          <t>Year 5</t>
        </is>
      </c>
      <c r="H93" s="594" t="inlineStr">
        <is>
          <t>Total 5 Yr</t>
        </is>
      </c>
    </row>
    <row r="94" ht="13.2" customHeight="1" s="586">
      <c r="A94" s="595" t="inlineStr">
        <is>
          <t>BASE CHARGES</t>
        </is>
      </c>
      <c r="B94" s="596" t="n"/>
      <c r="C94" s="596" t="n"/>
      <c r="D94" s="596" t="n"/>
      <c r="E94" s="596" t="n"/>
      <c r="F94" s="596" t="n"/>
      <c r="G94" s="596" t="n"/>
      <c r="H94" s="597" t="n"/>
    </row>
    <row r="95" ht="13.2" customHeight="1" s="586">
      <c r="A95" s="598" t="n"/>
      <c r="B95" s="599" t="inlineStr">
        <is>
          <t>EUC</t>
        </is>
      </c>
      <c r="C95" s="618">
        <f>+'Detailed Base Charges BE'!B36</f>
        <v/>
      </c>
      <c r="D95" s="618">
        <f>+'Detailed Base Charges BE'!C36</f>
        <v/>
      </c>
      <c r="E95" s="618">
        <f>+'Detailed Base Charges BE'!D36</f>
        <v/>
      </c>
      <c r="F95" s="618">
        <f>+'Detailed Base Charges BE'!E36</f>
        <v/>
      </c>
      <c r="G95" s="618">
        <f>+'Detailed Base Charges BE'!F36</f>
        <v/>
      </c>
      <c r="H95" s="600">
        <f>SUM(C95:G95)</f>
        <v/>
      </c>
    </row>
    <row r="96" ht="13.8" customHeight="1" s="586">
      <c r="A96" s="601" t="n"/>
      <c r="B96" s="602" t="n"/>
      <c r="C96" s="619" t="n"/>
      <c r="D96" s="619" t="n"/>
      <c r="E96" s="619" t="n"/>
      <c r="F96" s="619" t="n"/>
      <c r="G96" s="619" t="n"/>
      <c r="H96" s="620" t="n"/>
    </row>
    <row r="97" ht="13.2" customHeight="1" s="586">
      <c r="A97" s="598" t="n"/>
      <c r="B97" s="599" t="inlineStr">
        <is>
          <t>Service Desk</t>
        </is>
      </c>
      <c r="C97" s="618">
        <f>+'Detailed Base Charges BE'!B46</f>
        <v/>
      </c>
      <c r="D97" s="618">
        <f>+'Detailed Base Charges BE'!C46</f>
        <v/>
      </c>
      <c r="E97" s="618">
        <f>+'Detailed Base Charges BE'!D46</f>
        <v/>
      </c>
      <c r="F97" s="618">
        <f>+'Detailed Base Charges BE'!E46</f>
        <v/>
      </c>
      <c r="G97" s="618">
        <f>+'Detailed Base Charges BE'!F46</f>
        <v/>
      </c>
      <c r="H97" s="600">
        <f>SUM(C97:G97)</f>
        <v/>
      </c>
    </row>
    <row r="98" ht="13.8" customHeight="1" s="586">
      <c r="A98" s="601" t="n"/>
      <c r="B98" s="602" t="n"/>
      <c r="C98" s="619" t="n"/>
      <c r="D98" s="619" t="n"/>
      <c r="E98" s="619" t="n"/>
      <c r="F98" s="619" t="n"/>
      <c r="G98" s="619" t="n"/>
      <c r="H98" s="620" t="n"/>
    </row>
    <row r="99" ht="13.2" customHeight="1" s="586">
      <c r="A99" s="598" t="n"/>
      <c r="B99" s="599" t="inlineStr">
        <is>
          <t>LAN Services</t>
        </is>
      </c>
      <c r="C99" s="618">
        <f>+'Detailed Base Charges BE'!B53</f>
        <v/>
      </c>
      <c r="D99" s="618">
        <f>+'Detailed Base Charges BE'!C53</f>
        <v/>
      </c>
      <c r="E99" s="618">
        <f>+'Detailed Base Charges BE'!D53</f>
        <v/>
      </c>
      <c r="F99" s="618">
        <f>+'Detailed Base Charges BE'!E53</f>
        <v/>
      </c>
      <c r="G99" s="618">
        <f>+'Detailed Base Charges BE'!F53</f>
        <v/>
      </c>
      <c r="H99" s="600">
        <f>SUM(C99:G99)</f>
        <v/>
      </c>
    </row>
    <row r="100" ht="13.8" customHeight="1" s="586">
      <c r="A100" s="601" t="n"/>
      <c r="B100" s="610" t="n"/>
      <c r="C100" s="619" t="n"/>
      <c r="D100" s="619" t="n"/>
      <c r="E100" s="619" t="n"/>
      <c r="F100" s="619" t="n"/>
      <c r="G100" s="619" t="n"/>
      <c r="H100" s="621" t="n"/>
    </row>
    <row r="101" ht="13.2" customHeight="1" s="586">
      <c r="A101" s="598" t="n"/>
      <c r="B101" s="599" t="inlineStr">
        <is>
          <t>Voice Services</t>
        </is>
      </c>
      <c r="C101" s="618">
        <f>+'Detailed Base Charges BE'!B113</f>
        <v/>
      </c>
      <c r="D101" s="618">
        <f>+'Detailed Base Charges BE'!C113</f>
        <v/>
      </c>
      <c r="E101" s="618">
        <f>+'Detailed Base Charges BE'!D113</f>
        <v/>
      </c>
      <c r="F101" s="618">
        <f>+'Detailed Base Charges BE'!E113</f>
        <v/>
      </c>
      <c r="G101" s="618">
        <f>+'Detailed Base Charges BE'!F113</f>
        <v/>
      </c>
      <c r="H101" s="600">
        <f>SUM(C101:G101)</f>
        <v/>
      </c>
      <c r="K101" s="591" t="n"/>
    </row>
    <row r="102" ht="13.2" customHeight="1" s="586">
      <c r="A102" s="598" t="n"/>
      <c r="B102" s="599" t="n"/>
      <c r="C102" s="599" t="n"/>
      <c r="D102" s="599" t="n"/>
      <c r="E102" s="599" t="n"/>
      <c r="F102" s="599" t="n"/>
      <c r="G102" s="599" t="n"/>
      <c r="H102" s="600" t="n"/>
    </row>
    <row r="103" ht="13.2" customHeight="1" s="586">
      <c r="A103" s="598" t="n"/>
      <c r="B103" s="599" t="inlineStr">
        <is>
          <t>Desktop Hardware</t>
        </is>
      </c>
      <c r="C103" s="618">
        <f>+'Detailed Base Charges BE'!B117</f>
        <v/>
      </c>
      <c r="D103" s="618">
        <f>+'Detailed Base Charges BE'!C117</f>
        <v/>
      </c>
      <c r="E103" s="618">
        <f>+'Detailed Base Charges BE'!D117</f>
        <v/>
      </c>
      <c r="F103" s="618">
        <f>+'Detailed Base Charges BE'!E117</f>
        <v/>
      </c>
      <c r="G103" s="618">
        <f>+'Detailed Base Charges BE'!F117</f>
        <v/>
      </c>
      <c r="H103" s="600">
        <f>SUM(C103:G103)</f>
        <v/>
      </c>
    </row>
    <row r="104" ht="13.2" customHeight="1" s="586">
      <c r="A104" s="598" t="n"/>
      <c r="B104" s="604" t="n"/>
      <c r="C104" s="599" t="n"/>
      <c r="D104" s="599" t="n"/>
      <c r="E104" s="599" t="n"/>
      <c r="F104" s="599" t="n"/>
      <c r="G104" s="599" t="n"/>
      <c r="H104" s="600" t="n"/>
    </row>
    <row r="105" ht="13.2" customHeight="1" s="586">
      <c r="A105" s="598" t="n"/>
      <c r="B105" s="599" t="inlineStr">
        <is>
          <t>Server Management</t>
        </is>
      </c>
      <c r="C105" s="618">
        <f>+'Detailed Base Charges BE'!B133</f>
        <v/>
      </c>
      <c r="D105" s="618">
        <f>+'Detailed Base Charges BE'!C133</f>
        <v/>
      </c>
      <c r="E105" s="618">
        <f>+'Detailed Base Charges BE'!D133</f>
        <v/>
      </c>
      <c r="F105" s="618">
        <f>+'Detailed Base Charges BE'!E133</f>
        <v/>
      </c>
      <c r="G105" s="618">
        <f>+'Detailed Base Charges BE'!F133</f>
        <v/>
      </c>
      <c r="H105" s="600">
        <f>SUM(C105:G105)</f>
        <v/>
      </c>
    </row>
    <row r="106" ht="13.2" customHeight="1" s="586">
      <c r="A106" s="598" t="n"/>
      <c r="B106" s="599" t="n"/>
      <c r="C106" s="599" t="n"/>
      <c r="D106" s="599" t="n"/>
      <c r="E106" s="599" t="n"/>
      <c r="F106" s="599" t="n"/>
      <c r="G106" s="599" t="n"/>
      <c r="H106" s="600" t="n"/>
    </row>
    <row r="107" ht="13.2" customHeight="1" s="586">
      <c r="A107" s="598" t="n"/>
      <c r="B107" s="599" t="inlineStr">
        <is>
          <t>2IM</t>
        </is>
      </c>
      <c r="C107" s="599">
        <f>+'Detailed Base Charges BE'!B137</f>
        <v/>
      </c>
      <c r="D107" s="599">
        <f>+'Detailed Base Charges BE'!C137</f>
        <v/>
      </c>
      <c r="E107" s="599">
        <f>+'Detailed Base Charges BE'!D137</f>
        <v/>
      </c>
      <c r="F107" s="599">
        <f>+'Detailed Base Charges BE'!E137</f>
        <v/>
      </c>
      <c r="G107" s="599">
        <f>+'Detailed Base Charges BE'!F137</f>
        <v/>
      </c>
      <c r="H107" s="600">
        <f>SUM(C107:G107)</f>
        <v/>
      </c>
    </row>
    <row r="108" ht="13.2" customHeight="1" s="586">
      <c r="A108" s="598" t="n"/>
      <c r="B108" s="590" t="n"/>
      <c r="C108" s="591" t="n"/>
      <c r="D108" s="591" t="n"/>
      <c r="E108" s="591" t="n"/>
      <c r="F108" s="591" t="n"/>
      <c r="G108" s="591" t="n"/>
      <c r="H108" s="605" t="n"/>
    </row>
    <row r="109" ht="13.8" customHeight="1" s="586">
      <c r="A109" s="606" t="inlineStr">
        <is>
          <t>TOTAL BASE CHARGES</t>
        </is>
      </c>
      <c r="B109" s="607" t="n"/>
      <c r="C109" s="608">
        <f>SUM(C95:C107)</f>
        <v/>
      </c>
      <c r="D109" s="608">
        <f>SUM(D95:D107)</f>
        <v/>
      </c>
      <c r="E109" s="608">
        <f>SUM(E95:E107)</f>
        <v/>
      </c>
      <c r="F109" s="608">
        <f>SUM(F95:F107)</f>
        <v/>
      </c>
      <c r="G109" s="608">
        <f>SUM(G95:G107)</f>
        <v/>
      </c>
      <c r="H109" s="609">
        <f>SUM(C109:G109)</f>
        <v/>
      </c>
    </row>
    <row r="110"/>
    <row r="111" ht="13.8" customHeight="1" s="586"/>
    <row r="112" ht="13.2" customHeight="1" s="586">
      <c r="A112" s="595" t="inlineStr">
        <is>
          <t>PASS  THROUGH COSTS</t>
        </is>
      </c>
      <c r="B112" s="596" t="n"/>
      <c r="C112" s="596" t="n"/>
      <c r="D112" s="596" t="n"/>
      <c r="E112" s="596" t="n"/>
      <c r="F112" s="596" t="n"/>
      <c r="G112" s="596" t="n"/>
      <c r="H112" s="597" t="n"/>
    </row>
    <row r="113" ht="13.2" customHeight="1" s="586">
      <c r="A113" s="598" t="n"/>
      <c r="B113" s="599" t="inlineStr">
        <is>
          <t>EUC</t>
        </is>
      </c>
      <c r="C113" s="618" t="n"/>
      <c r="D113" s="599" t="n"/>
      <c r="E113" s="599" t="n"/>
      <c r="F113" s="599" t="n"/>
      <c r="G113" s="599" t="n"/>
      <c r="H113" s="600">
        <f>SUM(C113:G113)</f>
        <v/>
      </c>
    </row>
    <row r="114" ht="13.8" customHeight="1" s="586">
      <c r="A114" s="601" t="n"/>
      <c r="B114" s="602" t="n"/>
      <c r="C114" s="619" t="n"/>
      <c r="D114" s="602" t="n"/>
      <c r="E114" s="602" t="n"/>
      <c r="F114" s="602" t="n"/>
      <c r="G114" s="602" t="n"/>
      <c r="H114" s="620" t="n"/>
    </row>
    <row r="115" ht="13.2" customHeight="1" s="586">
      <c r="A115" s="598" t="n"/>
      <c r="B115" s="599" t="inlineStr">
        <is>
          <t>Service Desk</t>
        </is>
      </c>
      <c r="C115" s="618" t="n"/>
      <c r="D115" s="599" t="n"/>
      <c r="E115" s="599" t="n"/>
      <c r="F115" s="599" t="n"/>
      <c r="G115" s="599" t="n"/>
      <c r="H115" s="600">
        <f>SUM(C115:G115)</f>
        <v/>
      </c>
    </row>
    <row r="116" ht="13.8" customHeight="1" s="586">
      <c r="A116" s="601" t="n"/>
      <c r="B116" s="602" t="n"/>
      <c r="C116" s="619" t="n"/>
      <c r="D116" s="602" t="n"/>
      <c r="E116" s="602" t="n"/>
      <c r="F116" s="602" t="n"/>
      <c r="G116" s="602" t="n"/>
      <c r="H116" s="620" t="n"/>
    </row>
    <row r="117" ht="13.2" customHeight="1" s="586">
      <c r="A117" s="598" t="n"/>
      <c r="B117" s="599" t="inlineStr">
        <is>
          <t>LAN Services</t>
        </is>
      </c>
      <c r="C117" s="599">
        <f>'Pass Through overview'!H13</f>
        <v/>
      </c>
      <c r="D117" s="599">
        <f>'Pass Through overview'!I13</f>
        <v/>
      </c>
      <c r="E117" s="599">
        <f>'Pass Through overview'!J13</f>
        <v/>
      </c>
      <c r="F117" s="599">
        <f>'Pass Through overview'!K13</f>
        <v/>
      </c>
      <c r="G117" s="599">
        <f>'Pass Through overview'!L13</f>
        <v/>
      </c>
      <c r="H117" s="600">
        <f>SUM(C117:G117)</f>
        <v/>
      </c>
    </row>
    <row r="118" ht="13.8" customHeight="1" s="586">
      <c r="A118" s="601" t="n"/>
      <c r="B118" s="610" t="n"/>
      <c r="C118" s="599" t="n"/>
      <c r="D118" s="599" t="n"/>
      <c r="E118" s="599" t="n"/>
      <c r="F118" s="599" t="n"/>
      <c r="G118" s="599" t="n"/>
      <c r="H118" s="621" t="n"/>
    </row>
    <row r="119" ht="13.2" customHeight="1" s="586">
      <c r="A119" s="598" t="n"/>
      <c r="B119" s="599" t="inlineStr">
        <is>
          <t>Voice Services</t>
        </is>
      </c>
      <c r="C119" s="599">
        <f>SUM('Pass Through overview'!H27:H34)</f>
        <v/>
      </c>
      <c r="D119" s="599">
        <f>SUM('Pass Through overview'!I27:I34)</f>
        <v/>
      </c>
      <c r="E119" s="599">
        <f>SUM('Pass Through overview'!J27:J34)</f>
        <v/>
      </c>
      <c r="F119" s="599">
        <f>SUM('Pass Through overview'!K27:K34)</f>
        <v/>
      </c>
      <c r="G119" s="599">
        <f>SUM('Pass Through overview'!L27:L34)</f>
        <v/>
      </c>
      <c r="H119" s="600">
        <f>SUM(C119:G119)</f>
        <v/>
      </c>
    </row>
    <row r="120" ht="13.2" customHeight="1" s="586">
      <c r="A120" s="598" t="n"/>
      <c r="B120" s="599" t="n"/>
      <c r="C120" s="599" t="n"/>
      <c r="D120" s="618" t="n"/>
      <c r="E120" s="599" t="n"/>
      <c r="F120" s="599" t="n"/>
      <c r="G120" s="599" t="n"/>
      <c r="H120" s="600" t="n"/>
    </row>
    <row r="121" ht="13.2" customHeight="1" s="586">
      <c r="A121" s="598" t="n"/>
      <c r="B121" s="599" t="inlineStr">
        <is>
          <t>Desktop Hardware</t>
        </is>
      </c>
      <c r="C121" s="599">
        <f>SUM('Pass Through overview'!H93:H149)</f>
        <v/>
      </c>
      <c r="D121" s="599">
        <f>SUM('Pass Through overview'!I93:I149)</f>
        <v/>
      </c>
      <c r="E121" s="599">
        <f>SUM('Pass Through overview'!J93:J149)</f>
        <v/>
      </c>
      <c r="F121" s="599">
        <f>SUM('Pass Through overview'!K93:K149)</f>
        <v/>
      </c>
      <c r="G121" s="599">
        <f>SUM('Pass Through overview'!L93:L149)</f>
        <v/>
      </c>
      <c r="H121" s="600">
        <f>SUM(C121:G121)</f>
        <v/>
      </c>
    </row>
    <row r="122" ht="13.2" customHeight="1" s="586">
      <c r="A122" s="598" t="n"/>
      <c r="B122" s="599" t="n"/>
      <c r="C122" s="599" t="n"/>
      <c r="D122" s="599" t="n"/>
      <c r="E122" s="599" t="n"/>
      <c r="F122" s="599" t="n"/>
      <c r="G122" s="599" t="n"/>
      <c r="H122" s="600" t="n"/>
    </row>
    <row r="123" ht="13.2" customHeight="1" s="586">
      <c r="A123" s="598" t="n"/>
      <c r="B123" s="599" t="inlineStr">
        <is>
          <t>Server Management</t>
        </is>
      </c>
      <c r="C123" s="599">
        <f>SUM('Pass Through overview'!H176:H201)</f>
        <v/>
      </c>
      <c r="D123" s="599">
        <f>SUM('Pass Through overview'!I176:I201)</f>
        <v/>
      </c>
      <c r="E123" s="599">
        <f>SUM('Pass Through overview'!J176:J201)</f>
        <v/>
      </c>
      <c r="F123" s="599">
        <f>SUM('Pass Through overview'!K176:K201)</f>
        <v/>
      </c>
      <c r="G123" s="599">
        <f>SUM('Pass Through overview'!L176:L201)</f>
        <v/>
      </c>
      <c r="H123" s="600">
        <f>SUM(C123:G123)</f>
        <v/>
      </c>
    </row>
    <row r="124" ht="13.2" customHeight="1" s="586">
      <c r="A124" s="598" t="n"/>
      <c r="B124" s="599" t="n"/>
      <c r="C124" s="599" t="n"/>
      <c r="D124" s="599" t="n"/>
      <c r="E124" s="599" t="n"/>
      <c r="F124" s="599" t="n"/>
      <c r="G124" s="599" t="n"/>
      <c r="H124" s="600" t="n"/>
    </row>
    <row r="125" ht="13.2" customHeight="1" s="586">
      <c r="A125" s="598" t="n"/>
      <c r="B125" s="599" t="inlineStr">
        <is>
          <t>2IM</t>
        </is>
      </c>
      <c r="C125" s="599" t="n"/>
      <c r="D125" s="599" t="n"/>
      <c r="E125" s="599" t="n"/>
      <c r="F125" s="599" t="n"/>
      <c r="G125" s="599" t="n"/>
      <c r="H125" s="600">
        <f>SUM(C125:G125)</f>
        <v/>
      </c>
    </row>
    <row r="126" ht="13.2" customHeight="1" s="586">
      <c r="A126" s="598" t="n"/>
      <c r="B126" s="590" t="inlineStr">
        <is>
          <t xml:space="preserve"> </t>
        </is>
      </c>
      <c r="C126" s="590" t="n"/>
      <c r="D126" s="590" t="n"/>
      <c r="E126" s="590" t="n"/>
      <c r="F126" s="590" t="n"/>
      <c r="G126" s="590" t="n"/>
      <c r="H126" s="605" t="n"/>
    </row>
    <row r="127" ht="13.8" customHeight="1" s="586">
      <c r="A127" s="606" t="inlineStr">
        <is>
          <t>TOTAL  PASS THROUGH</t>
        </is>
      </c>
      <c r="B127" s="607" t="n"/>
      <c r="C127" s="608">
        <f>SUM(C113:C125)</f>
        <v/>
      </c>
      <c r="D127" s="608">
        <f>SUM(D113:D125)</f>
        <v/>
      </c>
      <c r="E127" s="608">
        <f>SUM(E113:E125)</f>
        <v/>
      </c>
      <c r="F127" s="608">
        <f>SUM(F113:F125)</f>
        <v/>
      </c>
      <c r="G127" s="608">
        <f>SUM(G113:G125)</f>
        <v/>
      </c>
      <c r="H127" s="609">
        <f>SUM(C127:G127)</f>
        <v/>
      </c>
    </row>
    <row r="128"/>
    <row r="129" ht="13.8" customHeight="1" s="586"/>
    <row r="130" ht="13.2" customHeight="1" s="586">
      <c r="A130" s="595" t="inlineStr">
        <is>
          <t>ONE-TIME CHARGES</t>
        </is>
      </c>
      <c r="B130" s="611" t="n"/>
      <c r="C130" s="596" t="n"/>
      <c r="D130" s="596" t="n"/>
      <c r="E130" s="596" t="n"/>
      <c r="F130" s="596" t="n"/>
      <c r="G130" s="596" t="n"/>
      <c r="H130" s="597" t="n"/>
    </row>
    <row r="131" ht="13.2" customHeight="1" s="586">
      <c r="A131" s="598" t="n"/>
      <c r="B131" s="599" t="inlineStr">
        <is>
          <t>Transition</t>
        </is>
      </c>
      <c r="C131" s="599">
        <f>'One Time Charges'!S250</f>
        <v/>
      </c>
      <c r="D131" s="599">
        <f>'One Time Charges'!T250</f>
        <v/>
      </c>
      <c r="E131" s="599">
        <f>'One Time Charges'!U250</f>
        <v/>
      </c>
      <c r="F131" s="599">
        <f>'One Time Charges'!V250</f>
        <v/>
      </c>
      <c r="G131" s="599" t="n"/>
      <c r="H131" s="600">
        <f>SUM(C131:G131)</f>
        <v/>
      </c>
    </row>
    <row r="132" ht="13.2" customHeight="1" s="586">
      <c r="A132" s="598" t="n"/>
      <c r="B132" s="599" t="inlineStr">
        <is>
          <t>Transformation</t>
        </is>
      </c>
      <c r="C132" s="599">
        <f>'One Time Charges'!S251</f>
        <v/>
      </c>
      <c r="D132" s="599">
        <f>'One Time Charges'!AF251</f>
        <v/>
      </c>
      <c r="E132" s="599">
        <f>'One Time Charges'!AS251</f>
        <v/>
      </c>
      <c r="F132" s="599">
        <f>'One Time Charges'!BF251</f>
        <v/>
      </c>
      <c r="G132" s="599" t="n"/>
      <c r="H132" s="600">
        <f>SUM(C132:G132)</f>
        <v/>
      </c>
    </row>
    <row r="133" ht="13.2" customHeight="1" s="586">
      <c r="A133" s="598" t="n"/>
      <c r="B133" s="599" t="inlineStr">
        <is>
          <t>BCP/ Sercurity (fixed)</t>
        </is>
      </c>
      <c r="C133" s="599">
        <f>'One Time Charges'!S252</f>
        <v/>
      </c>
      <c r="D133" s="599" t="n"/>
      <c r="E133" s="599" t="n"/>
      <c r="F133" s="599" t="n"/>
      <c r="G133" s="599" t="n"/>
      <c r="H133" s="600">
        <f>SUM(C133:G133)</f>
        <v/>
      </c>
    </row>
    <row r="134" ht="13.2" customHeight="1" s="586">
      <c r="A134" s="598" t="n"/>
      <c r="B134" s="599" t="inlineStr">
        <is>
          <t>extra one time charges</t>
        </is>
      </c>
      <c r="C134" s="599">
        <f>'One Time Charges'!AS292</f>
        <v/>
      </c>
      <c r="D134" s="599">
        <f>+'One Time Charges'!BG292</f>
        <v/>
      </c>
      <c r="E134" s="599" t="n"/>
      <c r="F134" s="599" t="n"/>
      <c r="G134" s="599" t="n"/>
      <c r="H134" s="600">
        <f>SUM(C134:G134)</f>
        <v/>
      </c>
    </row>
    <row r="135" ht="13.2" customHeight="1" s="586">
      <c r="A135" s="598" t="n"/>
      <c r="B135" s="590" t="n"/>
      <c r="C135" s="590" t="n"/>
      <c r="D135" s="590" t="n"/>
      <c r="E135" s="590" t="n"/>
      <c r="F135" s="590" t="n"/>
      <c r="G135" s="623" t="n"/>
      <c r="H135" s="605" t="n"/>
    </row>
    <row r="136" ht="13.8" customHeight="1" s="586">
      <c r="A136" s="606" t="inlineStr">
        <is>
          <t>TOTAL ONE-TIME CHARGES</t>
        </is>
      </c>
      <c r="B136" s="607" t="n"/>
      <c r="C136" s="608">
        <f>SUM(C131:C134)</f>
        <v/>
      </c>
      <c r="D136" s="608">
        <f>SUM(D131:D134)</f>
        <v/>
      </c>
      <c r="E136" s="608">
        <f>SUM(E131:E134)</f>
        <v/>
      </c>
      <c r="F136" s="608">
        <f>SUM(F131:F134)</f>
        <v/>
      </c>
      <c r="G136" s="608">
        <f>SUM(G131:G134)</f>
        <v/>
      </c>
      <c r="H136" s="609">
        <f>SUM(C136:G136)</f>
        <v/>
      </c>
    </row>
    <row r="137" ht="13.8" customHeight="1" s="586">
      <c r="C137" s="591" t="n"/>
      <c r="D137" s="591" t="n"/>
      <c r="E137" s="591" t="n"/>
      <c r="F137" s="591" t="n"/>
      <c r="G137" s="591" t="n"/>
    </row>
    <row r="138" ht="13.8" customHeight="1" s="586">
      <c r="A138" s="614" t="inlineStr">
        <is>
          <t>GRAND TOTAL FEES</t>
        </is>
      </c>
      <c r="B138" s="615" t="n"/>
      <c r="C138" s="616">
        <f>SUM(C109,C127,C136)</f>
        <v/>
      </c>
      <c r="D138" s="616">
        <f>SUM(D109,D127,D136)</f>
        <v/>
      </c>
      <c r="E138" s="616">
        <f>SUM(E109,E127,E136)</f>
        <v/>
      </c>
      <c r="F138" s="616">
        <f>SUM(F109,F127,F136)</f>
        <v/>
      </c>
      <c r="G138" s="616">
        <f>SUM(G109,G127,G136)</f>
        <v/>
      </c>
      <c r="H138" s="617">
        <f>SUM(H109,H127,H136)</f>
        <v/>
      </c>
    </row>
    <row r="139"/>
    <row r="140" ht="13.8" customHeight="1" s="586"/>
    <row r="141" ht="78.75" customHeight="1" s="586">
      <c r="A141" s="624" t="inlineStr">
        <is>
          <t>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c r="B141" s="625" t="n"/>
      <c r="C141" s="625" t="n"/>
      <c r="D141" s="625" t="n"/>
      <c r="E141" s="625" t="n"/>
      <c r="F141" s="625" t="n"/>
      <c r="G141" s="625" t="n"/>
      <c r="H141" s="626" t="n"/>
    </row>
    <row r="142"/>
    <row r="143"/>
    <row r="144" ht="13.2" customHeight="1" s="586">
      <c r="G144" s="627" t="n"/>
    </row>
  </sheetData>
  <mergeCells count="1">
    <mergeCell ref="A141:H141"/>
  </mergeCells>
  <printOptions horizontalCentered="1" verticalCentered="0" headings="0" gridLines="0" gridLinesSet="1"/>
  <pageMargins left="0.520138888888889" right="0.6097222222222221" top="0.740277777777778" bottom="0.459722222222222" header="0.25" footer="0.25"/>
  <pageSetup orientation="landscape" paperSize="9" scale="77"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rowBreaks count="2" manualBreakCount="2">
    <brk id="45" min="0" max="16383" man="1"/>
    <brk id="91" min="0" max="16383" man="1"/>
  </rowBreaks>
</worksheet>
</file>

<file path=xl/worksheets/sheet3.xml><?xml version="1.0" encoding="utf-8"?>
<worksheet xmlns="http://schemas.openxmlformats.org/spreadsheetml/2006/main">
  <sheetPr filterMode="0">
    <outlinePr summaryBelow="1" summaryRight="1"/>
    <pageSetUpPr fitToPage="0"/>
  </sheetPr>
  <dimension ref="A1:I137"/>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B3" activeCellId="0" sqref="B3"/>
    </sheetView>
  </sheetViews>
  <sheetFormatPr baseColWidth="8" defaultColWidth="8.3984375" defaultRowHeight="13.2" customHeight="1" zeroHeight="0" outlineLevelRow="0"/>
  <cols>
    <col width="47.23" customWidth="1" style="590" min="1" max="1"/>
    <col width="10.8" customWidth="1" style="628" min="2" max="6"/>
    <col width="12.3" customWidth="1" style="629" min="7" max="7"/>
    <col width="28.52" customWidth="1" style="590" min="8" max="8"/>
    <col width="10" customWidth="1" style="590" min="9" max="9"/>
    <col width="8.4" customWidth="1" style="590" min="10" max="257"/>
  </cols>
  <sheetData>
    <row r="1" ht="19.5" customHeight="1" s="586">
      <c r="A1" s="630" t="inlineStr">
        <is>
          <t>Detailed Base Charges - Total</t>
        </is>
      </c>
      <c r="B1" s="631" t="inlineStr">
        <is>
          <t>Year 1</t>
        </is>
      </c>
      <c r="C1" s="631" t="inlineStr">
        <is>
          <t>Year 2</t>
        </is>
      </c>
      <c r="D1" s="631" t="inlineStr">
        <is>
          <t>Year 3</t>
        </is>
      </c>
      <c r="E1" s="631" t="inlineStr">
        <is>
          <t>Year 4</t>
        </is>
      </c>
      <c r="F1" s="631" t="inlineStr">
        <is>
          <t>Year 5</t>
        </is>
      </c>
      <c r="G1" s="632" t="inlineStr">
        <is>
          <t>Total 5 Yr</t>
        </is>
      </c>
    </row>
    <row r="2" ht="13.8" customHeight="1" s="586">
      <c r="A2" s="633" t="inlineStr">
        <is>
          <t>EUC</t>
        </is>
      </c>
      <c r="B2" s="625" t="n"/>
      <c r="C2" s="625" t="n"/>
      <c r="D2" s="625" t="n"/>
      <c r="E2" s="625" t="n"/>
      <c r="F2" s="625" t="n"/>
      <c r="G2" s="626" t="n"/>
    </row>
    <row r="3" ht="13.8" customHeight="1" s="586">
      <c r="A3" s="634" t="inlineStr">
        <is>
          <t>Support Services</t>
        </is>
      </c>
      <c r="B3" s="635" t="n"/>
      <c r="C3" s="635" t="n"/>
      <c r="D3" s="635" t="n"/>
      <c r="E3" s="635" t="n"/>
      <c r="F3" s="635" t="n"/>
      <c r="G3" s="636" t="n"/>
    </row>
    <row r="4" ht="13.2" customHeight="1" s="586">
      <c r="A4" s="637" t="inlineStr">
        <is>
          <t xml:space="preserve">Medium Service Level </t>
        </is>
      </c>
      <c r="B4" s="638" t="n"/>
      <c r="C4" s="638" t="n"/>
      <c r="D4" s="638" t="n"/>
      <c r="E4" s="638" t="n"/>
      <c r="F4" s="638" t="n"/>
      <c r="G4" s="639" t="n"/>
    </row>
    <row r="5" ht="13.2" customHeight="1" s="586">
      <c r="A5" s="640" t="inlineStr">
        <is>
          <t>Standard Desktops (CEDS)</t>
        </is>
      </c>
      <c r="B5" s="641">
        <f>+'Detailed Base Charges NL'!B5+'Detailed Base Charges BE'!B5</f>
        <v/>
      </c>
      <c r="C5" s="641">
        <f>+'Detailed Base Charges NL'!C5+'Detailed Base Charges BE'!C5</f>
        <v/>
      </c>
      <c r="D5" s="641">
        <f>+'Detailed Base Charges NL'!D5+'Detailed Base Charges BE'!D5</f>
        <v/>
      </c>
      <c r="E5" s="641">
        <f>+'Detailed Base Charges NL'!E5+'Detailed Base Charges BE'!E5</f>
        <v/>
      </c>
      <c r="F5" s="641">
        <f>+'Detailed Base Charges NL'!F5+'Detailed Base Charges BE'!F5</f>
        <v/>
      </c>
      <c r="G5" s="642">
        <f>SUM(B5:F5)</f>
        <v/>
      </c>
      <c r="H5" s="643" t="n"/>
    </row>
    <row r="6" ht="13.2" customHeight="1" s="586">
      <c r="A6" s="640" t="inlineStr">
        <is>
          <t>Non-Standard Desktops (non CEDS)</t>
        </is>
      </c>
      <c r="B6" s="641">
        <f>+'Detailed Base Charges NL'!B6+'Detailed Base Charges BE'!B6</f>
        <v/>
      </c>
      <c r="C6" s="641">
        <f>+'Detailed Base Charges NL'!C6+'Detailed Base Charges BE'!C6</f>
        <v/>
      </c>
      <c r="D6" s="641">
        <f>+'Detailed Base Charges NL'!D6+'Detailed Base Charges BE'!D6</f>
        <v/>
      </c>
      <c r="E6" s="641">
        <f>+'Detailed Base Charges NL'!E6+'Detailed Base Charges BE'!E6</f>
        <v/>
      </c>
      <c r="F6" s="641">
        <f>+'Detailed Base Charges NL'!F6+'Detailed Base Charges BE'!F6</f>
        <v/>
      </c>
      <c r="G6" s="642">
        <f>SUM(B6:F6)</f>
        <v/>
      </c>
      <c r="H6" s="643" t="n"/>
    </row>
    <row r="7" ht="13.2" customHeight="1" s="586">
      <c r="A7" s="640" t="inlineStr">
        <is>
          <t>Standard Laptops (CEDS)</t>
        </is>
      </c>
      <c r="B7" s="641">
        <f>+'Detailed Base Charges NL'!B7+'Detailed Base Charges BE'!B7</f>
        <v/>
      </c>
      <c r="C7" s="641">
        <f>+'Detailed Base Charges NL'!C7+'Detailed Base Charges BE'!C7</f>
        <v/>
      </c>
      <c r="D7" s="641">
        <f>+'Detailed Base Charges NL'!D7+'Detailed Base Charges BE'!D7</f>
        <v/>
      </c>
      <c r="E7" s="641">
        <f>+'Detailed Base Charges NL'!E7+'Detailed Base Charges BE'!E7</f>
        <v/>
      </c>
      <c r="F7" s="641">
        <f>+'Detailed Base Charges NL'!F7+'Detailed Base Charges BE'!F7</f>
        <v/>
      </c>
      <c r="G7" s="642">
        <f>SUM(B7:F7)</f>
        <v/>
      </c>
      <c r="H7" s="643" t="n"/>
    </row>
    <row r="8" ht="13.2" customHeight="1" s="586">
      <c r="A8" s="640" t="inlineStr">
        <is>
          <t>Non-Standard Laptops (non CEDS)</t>
        </is>
      </c>
      <c r="B8" s="644">
        <f>+'Detailed Base Charges NL'!B8+'Detailed Base Charges BE'!B8</f>
        <v/>
      </c>
      <c r="C8" s="644">
        <f>+'Detailed Base Charges NL'!C8+'Detailed Base Charges BE'!C8</f>
        <v/>
      </c>
      <c r="D8" s="644">
        <f>+'Detailed Base Charges NL'!D8+'Detailed Base Charges BE'!D8</f>
        <v/>
      </c>
      <c r="E8" s="644">
        <f>+'Detailed Base Charges NL'!E8+'Detailed Base Charges BE'!E8</f>
        <v/>
      </c>
      <c r="F8" s="644">
        <f>+'Detailed Base Charges NL'!F8+'Detailed Base Charges BE'!F8</f>
        <v/>
      </c>
      <c r="G8" s="645">
        <f>SUM(B8:F8)</f>
        <v/>
      </c>
      <c r="H8" s="643" t="n"/>
    </row>
    <row r="9" ht="13.2" customHeight="1" s="586">
      <c r="A9" s="640" t="inlineStr">
        <is>
          <t>Standard Local Printers</t>
        </is>
      </c>
      <c r="B9" s="641">
        <f>+'Detailed Base Charges NL'!B9+'Detailed Base Charges BE'!B9</f>
        <v/>
      </c>
      <c r="C9" s="641">
        <f>+'Detailed Base Charges NL'!C9+'Detailed Base Charges BE'!C9</f>
        <v/>
      </c>
      <c r="D9" s="641">
        <f>+'Detailed Base Charges NL'!D9+'Detailed Base Charges BE'!D9</f>
        <v/>
      </c>
      <c r="E9" s="641">
        <f>+'Detailed Base Charges NL'!E9+'Detailed Base Charges BE'!E9</f>
        <v/>
      </c>
      <c r="F9" s="641">
        <f>+'Detailed Base Charges NL'!F9+'Detailed Base Charges BE'!F9</f>
        <v/>
      </c>
      <c r="G9" s="642">
        <f>SUM(B9:F9)</f>
        <v/>
      </c>
      <c r="H9" s="643" t="n"/>
    </row>
    <row r="10" ht="13.2" customHeight="1" s="586">
      <c r="A10" s="640" t="inlineStr">
        <is>
          <t>Non-Standard Local Printers</t>
        </is>
      </c>
      <c r="B10" s="644">
        <f>+'Detailed Base Charges NL'!B10+'Detailed Base Charges BE'!B10</f>
        <v/>
      </c>
      <c r="C10" s="644">
        <f>+'Detailed Base Charges NL'!C10+'Detailed Base Charges BE'!C10</f>
        <v/>
      </c>
      <c r="D10" s="644">
        <f>+'Detailed Base Charges NL'!D10+'Detailed Base Charges BE'!D10</f>
        <v/>
      </c>
      <c r="E10" s="644">
        <f>+'Detailed Base Charges NL'!E10+'Detailed Base Charges BE'!E10</f>
        <v/>
      </c>
      <c r="F10" s="644">
        <f>+'Detailed Base Charges NL'!F10+'Detailed Base Charges BE'!F10</f>
        <v/>
      </c>
      <c r="G10" s="645">
        <f>SUM(B10:F10)</f>
        <v/>
      </c>
      <c r="H10" s="643" t="n"/>
    </row>
    <row r="11" ht="13.2" customHeight="1" s="586">
      <c r="A11" s="640" t="inlineStr">
        <is>
          <t>Standard Network Printers</t>
        </is>
      </c>
      <c r="B11" s="641">
        <f>+'Detailed Base Charges NL'!B11+'Detailed Base Charges BE'!B11</f>
        <v/>
      </c>
      <c r="C11" s="641">
        <f>+'Detailed Base Charges NL'!C11+'Detailed Base Charges BE'!C11</f>
        <v/>
      </c>
      <c r="D11" s="641">
        <f>+'Detailed Base Charges NL'!D11+'Detailed Base Charges BE'!D11</f>
        <v/>
      </c>
      <c r="E11" s="641">
        <f>+'Detailed Base Charges NL'!E11+'Detailed Base Charges BE'!E11</f>
        <v/>
      </c>
      <c r="F11" s="641">
        <f>+'Detailed Base Charges NL'!F11+'Detailed Base Charges BE'!F11</f>
        <v/>
      </c>
      <c r="G11" s="642">
        <f>SUM(B11:F11)</f>
        <v/>
      </c>
      <c r="H11" s="643" t="n"/>
    </row>
    <row r="12" ht="13.2" customHeight="1" s="586">
      <c r="A12" s="640" t="inlineStr">
        <is>
          <t>Non-Standard Network Printers</t>
        </is>
      </c>
      <c r="B12" s="641">
        <f>+'Detailed Base Charges NL'!B12+'Detailed Base Charges BE'!B12</f>
        <v/>
      </c>
      <c r="C12" s="641">
        <f>+'Detailed Base Charges NL'!C12+'Detailed Base Charges BE'!C12</f>
        <v/>
      </c>
      <c r="D12" s="641">
        <f>+'Detailed Base Charges NL'!D12+'Detailed Base Charges BE'!D12</f>
        <v/>
      </c>
      <c r="E12" s="641">
        <f>+'Detailed Base Charges NL'!E12+'Detailed Base Charges BE'!E12</f>
        <v/>
      </c>
      <c r="F12" s="641">
        <f>+'Detailed Base Charges NL'!F12+'Detailed Base Charges BE'!F12</f>
        <v/>
      </c>
      <c r="G12" s="642">
        <f>SUM(B12:F12)</f>
        <v/>
      </c>
      <c r="H12" s="643" t="n"/>
    </row>
    <row r="13" ht="13.2" customHeight="1" s="586">
      <c r="A13" s="640" t="inlineStr">
        <is>
          <t>Other Peripherals</t>
        </is>
      </c>
      <c r="B13" s="644">
        <f>+'Detailed Base Charges NL'!B13+'Detailed Base Charges BE'!B13</f>
        <v/>
      </c>
      <c r="C13" s="644">
        <f>+'Detailed Base Charges NL'!C13+'Detailed Base Charges BE'!C13</f>
        <v/>
      </c>
      <c r="D13" s="644">
        <f>+'Detailed Base Charges NL'!D13+'Detailed Base Charges BE'!D13</f>
        <v/>
      </c>
      <c r="E13" s="644">
        <f>+'Detailed Base Charges NL'!E13+'Detailed Base Charges BE'!E13</f>
        <v/>
      </c>
      <c r="F13" s="644">
        <f>+'Detailed Base Charges NL'!F13+'Detailed Base Charges BE'!F13</f>
        <v/>
      </c>
      <c r="G13" s="645">
        <f>SUM(B13:F13)</f>
        <v/>
      </c>
      <c r="H13" s="643" t="n"/>
    </row>
    <row r="14" ht="13.2" customHeight="1" s="586">
      <c r="A14" s="640" t="inlineStr">
        <is>
          <t>Dealing room support</t>
        </is>
      </c>
      <c r="B14" s="641">
        <f>+'Detailed Base Charges NL'!B14+'Detailed Base Charges BE'!B14</f>
        <v/>
      </c>
      <c r="C14" s="641">
        <f>+'Detailed Base Charges NL'!C14+'Detailed Base Charges BE'!C14</f>
        <v/>
      </c>
      <c r="D14" s="641">
        <f>+'Detailed Base Charges NL'!D14+'Detailed Base Charges BE'!D14</f>
        <v/>
      </c>
      <c r="E14" s="641">
        <f>+'Detailed Base Charges NL'!E14+'Detailed Base Charges BE'!E14</f>
        <v/>
      </c>
      <c r="F14" s="641">
        <f>+'Detailed Base Charges NL'!F14+'Detailed Base Charges BE'!F14</f>
        <v/>
      </c>
      <c r="G14" s="642">
        <f>SUM(B14:F14)</f>
        <v/>
      </c>
      <c r="H14" s="643" t="n"/>
    </row>
    <row r="15" ht="13.2" customHeight="1" s="586">
      <c r="A15" s="640" t="inlineStr">
        <is>
          <t>Installations</t>
        </is>
      </c>
      <c r="B15" s="641">
        <f>+'Detailed Base Charges NL'!B15+'Detailed Base Charges BE'!B15</f>
        <v/>
      </c>
      <c r="C15" s="641">
        <f>+'Detailed Base Charges NL'!C15+'Detailed Base Charges BE'!C15</f>
        <v/>
      </c>
      <c r="D15" s="641">
        <f>+'Detailed Base Charges NL'!D15+'Detailed Base Charges BE'!D15</f>
        <v/>
      </c>
      <c r="E15" s="641">
        <f>+'Detailed Base Charges NL'!E15+'Detailed Base Charges BE'!E15</f>
        <v/>
      </c>
      <c r="F15" s="641">
        <f>+'Detailed Base Charges NL'!F15+'Detailed Base Charges BE'!F15</f>
        <v/>
      </c>
      <c r="G15" s="642">
        <f>SUM(B15:F15)</f>
        <v/>
      </c>
      <c r="H15" s="643" t="n"/>
    </row>
    <row r="16" ht="13.2" customHeight="1" s="586">
      <c r="A16" s="640" t="inlineStr">
        <is>
          <t>Moves</t>
        </is>
      </c>
      <c r="B16" s="641">
        <f>+'Detailed Base Charges NL'!B16+'Detailed Base Charges BE'!B16</f>
        <v/>
      </c>
      <c r="C16" s="641">
        <f>+'Detailed Base Charges NL'!C16+'Detailed Base Charges BE'!C16</f>
        <v/>
      </c>
      <c r="D16" s="641">
        <f>+'Detailed Base Charges NL'!D16+'Detailed Base Charges BE'!D16</f>
        <v/>
      </c>
      <c r="E16" s="641">
        <f>+'Detailed Base Charges NL'!E16+'Detailed Base Charges BE'!E16</f>
        <v/>
      </c>
      <c r="F16" s="641">
        <f>+'Detailed Base Charges NL'!F16+'Detailed Base Charges BE'!F16</f>
        <v/>
      </c>
      <c r="G16" s="642">
        <f>SUM(B16:F16)</f>
        <v/>
      </c>
      <c r="H16" s="643" t="n"/>
    </row>
    <row r="17" ht="13.2" customHeight="1" s="586">
      <c r="A17" s="640" t="inlineStr">
        <is>
          <t>Adds</t>
        </is>
      </c>
      <c r="B17" s="641">
        <f>+'Detailed Base Charges NL'!B17+'Detailed Base Charges BE'!B17</f>
        <v/>
      </c>
      <c r="C17" s="641">
        <f>+'Detailed Base Charges NL'!C17+'Detailed Base Charges BE'!C17</f>
        <v/>
      </c>
      <c r="D17" s="641">
        <f>+'Detailed Base Charges NL'!D17+'Detailed Base Charges BE'!D17</f>
        <v/>
      </c>
      <c r="E17" s="641">
        <f>+'Detailed Base Charges NL'!E17+'Detailed Base Charges BE'!E17</f>
        <v/>
      </c>
      <c r="F17" s="641">
        <f>+'Detailed Base Charges NL'!F17+'Detailed Base Charges BE'!F17</f>
        <v/>
      </c>
      <c r="G17" s="642">
        <f>SUM(B17:F17)</f>
        <v/>
      </c>
      <c r="H17" s="643" t="n"/>
    </row>
    <row r="18" ht="13.2" customHeight="1" s="586">
      <c r="A18" s="640" t="inlineStr">
        <is>
          <t xml:space="preserve">Changes </t>
        </is>
      </c>
      <c r="B18" s="641">
        <f>+'Detailed Base Charges NL'!B18+'Detailed Base Charges BE'!B18</f>
        <v/>
      </c>
      <c r="C18" s="641">
        <f>+'Detailed Base Charges NL'!C18+'Detailed Base Charges BE'!C18</f>
        <v/>
      </c>
      <c r="D18" s="641">
        <f>+'Detailed Base Charges NL'!D18+'Detailed Base Charges BE'!D18</f>
        <v/>
      </c>
      <c r="E18" s="641">
        <f>+'Detailed Base Charges NL'!E18+'Detailed Base Charges BE'!E18</f>
        <v/>
      </c>
      <c r="F18" s="641">
        <f>+'Detailed Base Charges NL'!F18+'Detailed Base Charges BE'!F18</f>
        <v/>
      </c>
      <c r="G18" s="642">
        <f>SUM(B18:F18)</f>
        <v/>
      </c>
      <c r="H18" s="643" t="n"/>
    </row>
    <row r="19" ht="13.2" customHeight="1" s="586">
      <c r="A19" s="637" t="inlineStr">
        <is>
          <t xml:space="preserve">Low Service Level </t>
        </is>
      </c>
      <c r="B19" s="646" t="n"/>
      <c r="C19" s="646" t="n"/>
      <c r="D19" s="646" t="n"/>
      <c r="E19" s="646" t="n"/>
      <c r="F19" s="646" t="n"/>
      <c r="G19" s="647" t="n"/>
      <c r="H19" s="643" t="n"/>
    </row>
    <row r="20" ht="13.2" customHeight="1" s="586">
      <c r="A20" s="640" t="inlineStr">
        <is>
          <t>Standard Desktops</t>
        </is>
      </c>
      <c r="B20" s="641">
        <f>+'Detailed Base Charges NL'!B20+'Detailed Base Charges BE'!B20</f>
        <v/>
      </c>
      <c r="C20" s="641">
        <f>+'Detailed Base Charges NL'!C20+'Detailed Base Charges BE'!C20</f>
        <v/>
      </c>
      <c r="D20" s="641">
        <f>+'Detailed Base Charges NL'!D20+'Detailed Base Charges BE'!D20</f>
        <v/>
      </c>
      <c r="E20" s="641">
        <f>+'Detailed Base Charges NL'!E20+'Detailed Base Charges BE'!E20</f>
        <v/>
      </c>
      <c r="F20" s="641">
        <f>+'Detailed Base Charges NL'!F20+'Detailed Base Charges BE'!F20</f>
        <v/>
      </c>
      <c r="G20" s="642">
        <f>SUM(B20:F20)</f>
        <v/>
      </c>
      <c r="H20" s="643" t="n"/>
    </row>
    <row r="21" ht="13.2" customHeight="1" s="586">
      <c r="A21" s="640" t="inlineStr">
        <is>
          <t>Non-Standard Desktops</t>
        </is>
      </c>
      <c r="B21" s="641">
        <f>+'Detailed Base Charges NL'!B21+'Detailed Base Charges BE'!B21</f>
        <v/>
      </c>
      <c r="C21" s="641">
        <f>+'Detailed Base Charges NL'!C21+'Detailed Base Charges BE'!C21</f>
        <v/>
      </c>
      <c r="D21" s="641">
        <f>+'Detailed Base Charges NL'!D21+'Detailed Base Charges BE'!D21</f>
        <v/>
      </c>
      <c r="E21" s="641">
        <f>+'Detailed Base Charges NL'!E21+'Detailed Base Charges BE'!E21</f>
        <v/>
      </c>
      <c r="F21" s="641">
        <f>+'Detailed Base Charges NL'!F21+'Detailed Base Charges BE'!F21</f>
        <v/>
      </c>
      <c r="G21" s="642">
        <f>SUM(B21:F21)</f>
        <v/>
      </c>
      <c r="H21" s="643" t="n"/>
    </row>
    <row r="22" ht="13.2" customHeight="1" s="586">
      <c r="A22" s="640" t="inlineStr">
        <is>
          <t>Standard Laptops</t>
        </is>
      </c>
      <c r="B22" s="641">
        <f>+'Detailed Base Charges NL'!B22+'Detailed Base Charges BE'!B22</f>
        <v/>
      </c>
      <c r="C22" s="641">
        <f>+'Detailed Base Charges NL'!C22+'Detailed Base Charges BE'!C22</f>
        <v/>
      </c>
      <c r="D22" s="641">
        <f>+'Detailed Base Charges NL'!D22+'Detailed Base Charges BE'!D22</f>
        <v/>
      </c>
      <c r="E22" s="641">
        <f>+'Detailed Base Charges NL'!E22+'Detailed Base Charges BE'!E22</f>
        <v/>
      </c>
      <c r="F22" s="641">
        <f>+'Detailed Base Charges NL'!F22+'Detailed Base Charges BE'!F22</f>
        <v/>
      </c>
      <c r="G22" s="642">
        <f>SUM(B22:F22)</f>
        <v/>
      </c>
      <c r="H22" s="643" t="n"/>
    </row>
    <row r="23" ht="13.2" customHeight="1" s="586">
      <c r="A23" s="640" t="inlineStr">
        <is>
          <t>Non-Standard Laptops</t>
        </is>
      </c>
      <c r="B23" s="641">
        <f>+'Detailed Base Charges NL'!B23+'Detailed Base Charges BE'!B23</f>
        <v/>
      </c>
      <c r="C23" s="641">
        <f>+'Detailed Base Charges NL'!C23+'Detailed Base Charges BE'!C23</f>
        <v/>
      </c>
      <c r="D23" s="641">
        <f>+'Detailed Base Charges NL'!D23+'Detailed Base Charges BE'!D23</f>
        <v/>
      </c>
      <c r="E23" s="641">
        <f>+'Detailed Base Charges NL'!E23+'Detailed Base Charges BE'!E23</f>
        <v/>
      </c>
      <c r="F23" s="641">
        <f>+'Detailed Base Charges NL'!F23+'Detailed Base Charges BE'!F23</f>
        <v/>
      </c>
      <c r="G23" s="642">
        <f>SUM(B23:F23)</f>
        <v/>
      </c>
      <c r="H23" s="643" t="n"/>
    </row>
    <row r="24" ht="13.2" customHeight="1" s="586">
      <c r="A24" s="640" t="inlineStr">
        <is>
          <t>Standard Local Printers</t>
        </is>
      </c>
      <c r="B24" s="641">
        <f>+'Detailed Base Charges NL'!B24+'Detailed Base Charges BE'!B24</f>
        <v/>
      </c>
      <c r="C24" s="641">
        <f>+'Detailed Base Charges NL'!C24+'Detailed Base Charges BE'!C24</f>
        <v/>
      </c>
      <c r="D24" s="641">
        <f>+'Detailed Base Charges NL'!D24+'Detailed Base Charges BE'!D24</f>
        <v/>
      </c>
      <c r="E24" s="641">
        <f>+'Detailed Base Charges NL'!E24+'Detailed Base Charges BE'!E24</f>
        <v/>
      </c>
      <c r="F24" s="641">
        <f>+'Detailed Base Charges NL'!F24+'Detailed Base Charges BE'!F24</f>
        <v/>
      </c>
      <c r="G24" s="642">
        <f>SUM(B24:F24)</f>
        <v/>
      </c>
      <c r="H24" s="643" t="n"/>
    </row>
    <row r="25" ht="13.2" customHeight="1" s="586">
      <c r="A25" s="640" t="inlineStr">
        <is>
          <t>Non-Standard Local Printers</t>
        </is>
      </c>
      <c r="B25" s="641">
        <f>+'Detailed Base Charges NL'!B25+'Detailed Base Charges BE'!B25</f>
        <v/>
      </c>
      <c r="C25" s="641">
        <f>+'Detailed Base Charges NL'!C25+'Detailed Base Charges BE'!C25</f>
        <v/>
      </c>
      <c r="D25" s="641">
        <f>+'Detailed Base Charges NL'!D25+'Detailed Base Charges BE'!D25</f>
        <v/>
      </c>
      <c r="E25" s="641">
        <f>+'Detailed Base Charges NL'!E25+'Detailed Base Charges BE'!E25</f>
        <v/>
      </c>
      <c r="F25" s="641">
        <f>+'Detailed Base Charges NL'!F25+'Detailed Base Charges BE'!F25</f>
        <v/>
      </c>
      <c r="G25" s="642">
        <f>SUM(B25:F25)</f>
        <v/>
      </c>
      <c r="H25" s="643" t="n"/>
    </row>
    <row r="26" ht="13.2" customHeight="1" s="586">
      <c r="A26" s="640" t="inlineStr">
        <is>
          <t>Standard Network Printers</t>
        </is>
      </c>
      <c r="B26" s="641">
        <f>+'Detailed Base Charges NL'!B26+'Detailed Base Charges BE'!B26</f>
        <v/>
      </c>
      <c r="C26" s="641">
        <f>+'Detailed Base Charges NL'!C26+'Detailed Base Charges BE'!C26</f>
        <v/>
      </c>
      <c r="D26" s="641">
        <f>+'Detailed Base Charges NL'!D26+'Detailed Base Charges BE'!D26</f>
        <v/>
      </c>
      <c r="E26" s="641">
        <f>+'Detailed Base Charges NL'!E26+'Detailed Base Charges BE'!E26</f>
        <v/>
      </c>
      <c r="F26" s="641">
        <f>+'Detailed Base Charges NL'!F26+'Detailed Base Charges BE'!F26</f>
        <v/>
      </c>
      <c r="G26" s="642">
        <f>SUM(B26:F26)</f>
        <v/>
      </c>
      <c r="H26" s="643" t="n"/>
    </row>
    <row r="27" ht="13.2" customHeight="1" s="586">
      <c r="A27" s="640" t="inlineStr">
        <is>
          <t>Non-Standard Network Printers</t>
        </is>
      </c>
      <c r="B27" s="641">
        <f>+'Detailed Base Charges NL'!B27+'Detailed Base Charges BE'!B27</f>
        <v/>
      </c>
      <c r="C27" s="641">
        <f>+'Detailed Base Charges NL'!C27+'Detailed Base Charges BE'!C27</f>
        <v/>
      </c>
      <c r="D27" s="641">
        <f>+'Detailed Base Charges NL'!D27+'Detailed Base Charges BE'!D27</f>
        <v/>
      </c>
      <c r="E27" s="641">
        <f>+'Detailed Base Charges NL'!E27+'Detailed Base Charges BE'!E27</f>
        <v/>
      </c>
      <c r="F27" s="641">
        <f>+'Detailed Base Charges NL'!F27+'Detailed Base Charges BE'!F27</f>
        <v/>
      </c>
      <c r="G27" s="642">
        <f>SUM(B27:F27)</f>
        <v/>
      </c>
      <c r="H27" s="643" t="n"/>
    </row>
    <row r="28" ht="13.2" customHeight="1" s="586">
      <c r="A28" s="640" t="inlineStr">
        <is>
          <t xml:space="preserve">Other Peripherals </t>
        </is>
      </c>
      <c r="B28" s="641">
        <f>+'Detailed Base Charges NL'!B28+'Detailed Base Charges BE'!B28</f>
        <v/>
      </c>
      <c r="C28" s="641">
        <f>+'Detailed Base Charges NL'!C28+'Detailed Base Charges BE'!C28</f>
        <v/>
      </c>
      <c r="D28" s="641">
        <f>+'Detailed Base Charges NL'!D28+'Detailed Base Charges BE'!D28</f>
        <v/>
      </c>
      <c r="E28" s="641">
        <f>+'Detailed Base Charges NL'!E28+'Detailed Base Charges BE'!E28</f>
        <v/>
      </c>
      <c r="F28" s="641">
        <f>+'Detailed Base Charges NL'!F28+'Detailed Base Charges BE'!F28</f>
        <v/>
      </c>
      <c r="G28" s="642">
        <f>SUM(B28:F28)</f>
        <v/>
      </c>
      <c r="H28" s="643" t="n"/>
    </row>
    <row r="29" ht="12.75" customHeight="1" s="586">
      <c r="A29" s="640" t="inlineStr">
        <is>
          <t>UAS POOL &amp; Secondment of 5 FTE</t>
        </is>
      </c>
      <c r="B29" s="641">
        <f>+'Detailed Base Charges NL'!B29+'Detailed Base Charges BE'!B29</f>
        <v/>
      </c>
      <c r="C29" s="641">
        <f>+'Detailed Base Charges NL'!C29+'Detailed Base Charges BE'!C29</f>
        <v/>
      </c>
      <c r="D29" s="641">
        <f>+'Detailed Base Charges NL'!D29+'Detailed Base Charges BE'!D29</f>
        <v/>
      </c>
      <c r="E29" s="641">
        <f>+'Detailed Base Charges NL'!E29+'Detailed Base Charges BE'!E29</f>
        <v/>
      </c>
      <c r="F29" s="641">
        <f>+'Detailed Base Charges NL'!F29+'Detailed Base Charges BE'!F29</f>
        <v/>
      </c>
      <c r="G29" s="642">
        <f>SUM(B29:F29)</f>
        <v/>
      </c>
      <c r="H29" s="643" t="n"/>
    </row>
    <row r="30" ht="13.2" customHeight="1" s="586">
      <c r="A30" s="640" t="inlineStr">
        <is>
          <t>Installations</t>
        </is>
      </c>
      <c r="B30" s="641">
        <f>+'Detailed Base Charges NL'!B30+'Detailed Base Charges BE'!B30</f>
        <v/>
      </c>
      <c r="C30" s="641">
        <f>+'Detailed Base Charges NL'!C30+'Detailed Base Charges BE'!C30</f>
        <v/>
      </c>
      <c r="D30" s="641">
        <f>+'Detailed Base Charges NL'!D30+'Detailed Base Charges BE'!D30</f>
        <v/>
      </c>
      <c r="E30" s="641">
        <f>+'Detailed Base Charges NL'!E30+'Detailed Base Charges BE'!E30</f>
        <v/>
      </c>
      <c r="F30" s="641">
        <f>+'Detailed Base Charges NL'!F30+'Detailed Base Charges BE'!F30</f>
        <v/>
      </c>
      <c r="G30" s="642">
        <f>SUM(B30:F30)</f>
        <v/>
      </c>
      <c r="H30" s="643" t="n"/>
    </row>
    <row r="31" ht="13.2" customHeight="1" s="586">
      <c r="A31" s="640" t="inlineStr">
        <is>
          <t>Moves</t>
        </is>
      </c>
      <c r="B31" s="641">
        <f>+'Detailed Base Charges NL'!B31+'Detailed Base Charges BE'!B31</f>
        <v/>
      </c>
      <c r="C31" s="641">
        <f>+'Detailed Base Charges NL'!C31+'Detailed Base Charges BE'!C31</f>
        <v/>
      </c>
      <c r="D31" s="641">
        <f>+'Detailed Base Charges NL'!D31+'Detailed Base Charges BE'!D31</f>
        <v/>
      </c>
      <c r="E31" s="641">
        <f>+'Detailed Base Charges NL'!E31+'Detailed Base Charges BE'!E31</f>
        <v/>
      </c>
      <c r="F31" s="641">
        <f>+'Detailed Base Charges NL'!F31+'Detailed Base Charges BE'!F31</f>
        <v/>
      </c>
      <c r="G31" s="642">
        <f>SUM(B31:F31)</f>
        <v/>
      </c>
      <c r="H31" s="643" t="n"/>
    </row>
    <row r="32" ht="13.2" customHeight="1" s="586">
      <c r="A32" s="640" t="inlineStr">
        <is>
          <t>Adds</t>
        </is>
      </c>
      <c r="B32" s="644">
        <f>+'Detailed Base Charges NL'!B32+'Detailed Base Charges BE'!B32</f>
        <v/>
      </c>
      <c r="C32" s="644">
        <f>+'Detailed Base Charges NL'!C32+'Detailed Base Charges BE'!C32</f>
        <v/>
      </c>
      <c r="D32" s="644">
        <f>+'Detailed Base Charges NL'!D32+'Detailed Base Charges BE'!D32</f>
        <v/>
      </c>
      <c r="E32" s="644">
        <f>+'Detailed Base Charges NL'!E32+'Detailed Base Charges BE'!E32</f>
        <v/>
      </c>
      <c r="F32" s="644">
        <f>+'Detailed Base Charges NL'!F32+'Detailed Base Charges BE'!F32</f>
        <v/>
      </c>
      <c r="G32" s="645">
        <f>SUM(B32:F32)</f>
        <v/>
      </c>
      <c r="H32" s="643" t="n"/>
    </row>
    <row r="33" ht="13.2" customHeight="1" s="586">
      <c r="A33" s="640" t="inlineStr">
        <is>
          <t xml:space="preserve">Changes </t>
        </is>
      </c>
      <c r="B33" s="641">
        <f>+'Detailed Base Charges NL'!B33+'Detailed Base Charges BE'!B33</f>
        <v/>
      </c>
      <c r="C33" s="641">
        <f>+'Detailed Base Charges NL'!C33+'Detailed Base Charges BE'!C33</f>
        <v/>
      </c>
      <c r="D33" s="641">
        <f>+'Detailed Base Charges NL'!D33+'Detailed Base Charges BE'!D33</f>
        <v/>
      </c>
      <c r="E33" s="641">
        <f>+'Detailed Base Charges NL'!E33+'Detailed Base Charges BE'!E33</f>
        <v/>
      </c>
      <c r="F33" s="641">
        <f>+'Detailed Base Charges NL'!F33+'Detailed Base Charges BE'!F33</f>
        <v/>
      </c>
      <c r="G33" s="642">
        <f>SUM(B33:F33)</f>
        <v/>
      </c>
      <c r="H33" s="643" t="n"/>
    </row>
    <row r="34" ht="26.4" customHeight="1" s="586">
      <c r="A34" s="648" t="inlineStr">
        <is>
          <t>Packaging &amp; Distribution</t>
        </is>
      </c>
      <c r="B34" s="641">
        <f>+'Detailed Base Charges NL'!B34+'Detailed Base Charges BE'!B34</f>
        <v/>
      </c>
      <c r="C34" s="641">
        <f>+'Detailed Base Charges NL'!C34+'Detailed Base Charges BE'!C34</f>
        <v/>
      </c>
      <c r="D34" s="641" t="n"/>
      <c r="E34" s="641" t="n"/>
      <c r="F34" s="641" t="n"/>
      <c r="G34" s="642">
        <f>SUM(B34:F34)</f>
        <v/>
      </c>
      <c r="H34" s="649" t="inlineStr">
        <is>
          <t>Row used for PST reimbursement for use of EuroBank facilities</t>
        </is>
      </c>
    </row>
    <row r="35" ht="13.8" customHeight="1" s="586">
      <c r="A35" s="650" t="inlineStr">
        <is>
          <t>Packages Distributed per year</t>
        </is>
      </c>
      <c r="B35" s="641">
        <f>+'Detailed Base Charges NL'!B35+'Detailed Base Charges BE'!B35</f>
        <v/>
      </c>
      <c r="C35" s="641">
        <f>+'Detailed Base Charges NL'!C35+'Detailed Base Charges BE'!C35</f>
        <v/>
      </c>
      <c r="D35" s="641">
        <f>+'Detailed Base Charges NL'!D35+'Detailed Base Charges BE'!D35</f>
        <v/>
      </c>
      <c r="E35" s="641">
        <f>+'Detailed Base Charges NL'!E35+'Detailed Base Charges BE'!E35</f>
        <v/>
      </c>
      <c r="F35" s="641">
        <f>+'Detailed Base Charges NL'!F35+'Detailed Base Charges BE'!F35</f>
        <v/>
      </c>
      <c r="G35" s="642">
        <f>SUM(B35:F35)</f>
        <v/>
      </c>
      <c r="H35" s="643" t="n"/>
    </row>
    <row r="36" ht="13.8" customHeight="1" s="586">
      <c r="A36" s="651" t="inlineStr">
        <is>
          <t>TOTAL EUC</t>
        </is>
      </c>
      <c r="B36" s="652">
        <f>SUM(B5:B35)</f>
        <v/>
      </c>
      <c r="C36" s="652">
        <f>SUM(C5:C35)</f>
        <v/>
      </c>
      <c r="D36" s="652">
        <f>SUM(D5:D35)</f>
        <v/>
      </c>
      <c r="E36" s="652">
        <f>SUM(E5:E35)</f>
        <v/>
      </c>
      <c r="F36" s="652">
        <f>SUM(F5:F35)</f>
        <v/>
      </c>
      <c r="G36" s="653">
        <f>SUM(B36:F36)</f>
        <v/>
      </c>
      <c r="H36" s="643" t="n"/>
    </row>
    <row r="37" ht="13.8" customHeight="1" s="586">
      <c r="A37" s="633" t="inlineStr">
        <is>
          <t>Service Desk</t>
        </is>
      </c>
      <c r="B37" s="625" t="n"/>
      <c r="C37" s="625" t="n"/>
      <c r="D37" s="625" t="n"/>
      <c r="E37" s="625" t="n"/>
      <c r="F37" s="625" t="n"/>
      <c r="G37" s="626" t="n"/>
      <c r="H37" s="643" t="n"/>
    </row>
    <row r="38" ht="13.2" customHeight="1" s="586">
      <c r="A38" s="654" t="inlineStr">
        <is>
          <t xml:space="preserve">Seats </t>
        </is>
      </c>
      <c r="B38" s="655">
        <f>+'Detailed Base Charges NL'!B38+'Detailed Base Charges BE'!B38</f>
        <v/>
      </c>
      <c r="C38" s="655">
        <f>+'Detailed Base Charges NL'!C38+'Detailed Base Charges BE'!C38</f>
        <v/>
      </c>
      <c r="D38" s="655">
        <f>+'Detailed Base Charges NL'!D38+'Detailed Base Charges BE'!D38</f>
        <v/>
      </c>
      <c r="E38" s="655">
        <f>+'Detailed Base Charges NL'!E38+'Detailed Base Charges BE'!E38</f>
        <v/>
      </c>
      <c r="F38" s="655">
        <f>+'Detailed Base Charges NL'!F38+'Detailed Base Charges BE'!F38</f>
        <v/>
      </c>
      <c r="G38" s="656">
        <f>SUM(B38:F38)</f>
        <v/>
      </c>
      <c r="H38" s="643" t="n"/>
    </row>
    <row r="39" ht="13.2" customHeight="1" s="586">
      <c r="A39" s="657" t="n"/>
      <c r="B39" s="658" t="n"/>
      <c r="C39" s="658" t="n"/>
      <c r="D39" s="658" t="n"/>
      <c r="E39" s="658" t="n"/>
      <c r="F39" s="658" t="n"/>
      <c r="G39" s="659">
        <f>SUM(B39:F39)</f>
        <v/>
      </c>
      <c r="H39" s="643" t="n"/>
    </row>
    <row r="40" ht="13.2" customHeight="1" s="586">
      <c r="A40" s="660" t="n"/>
      <c r="B40" s="644" t="n"/>
      <c r="C40" s="644" t="n"/>
      <c r="D40" s="644" t="n"/>
      <c r="E40" s="644" t="n"/>
      <c r="F40" s="644" t="n"/>
      <c r="G40" s="659">
        <f>SUM(B40:F40)</f>
        <v/>
      </c>
      <c r="H40" s="643" t="n"/>
    </row>
    <row r="41" ht="13.2" customHeight="1" s="586">
      <c r="A41" s="661" t="n"/>
      <c r="B41" s="644" t="n"/>
      <c r="C41" s="644" t="n"/>
      <c r="D41" s="644" t="n"/>
      <c r="E41" s="644" t="n"/>
      <c r="F41" s="644" t="n"/>
      <c r="G41" s="659">
        <f>SUM(B41:F41)</f>
        <v/>
      </c>
      <c r="H41" s="643" t="n"/>
    </row>
    <row r="42" ht="13.2" customHeight="1" s="586">
      <c r="A42" s="660" t="n"/>
      <c r="B42" s="644" t="n"/>
      <c r="C42" s="644" t="n"/>
      <c r="D42" s="644" t="n"/>
      <c r="E42" s="644" t="n"/>
      <c r="F42" s="644" t="n"/>
      <c r="G42" s="659">
        <f>SUM(B42:F42)</f>
        <v/>
      </c>
      <c r="H42" s="643" t="n"/>
    </row>
    <row r="43" ht="13.2" customHeight="1" s="586">
      <c r="A43" s="660" t="n"/>
      <c r="B43" s="644" t="n"/>
      <c r="C43" s="644" t="n"/>
      <c r="D43" s="644" t="n"/>
      <c r="E43" s="644" t="n"/>
      <c r="F43" s="644" t="n"/>
      <c r="G43" s="659">
        <f>SUM(B43:F43)</f>
        <v/>
      </c>
    </row>
    <row r="44" ht="13.2" customHeight="1" s="586">
      <c r="A44" s="660" t="n"/>
      <c r="B44" s="644" t="n"/>
      <c r="C44" s="644" t="n"/>
      <c r="D44" s="644" t="n"/>
      <c r="E44" s="644" t="n"/>
      <c r="F44" s="644" t="n"/>
      <c r="G44" s="659">
        <f>SUM(B44:F44)</f>
        <v/>
      </c>
    </row>
    <row r="45" ht="27" customHeight="1" s="586">
      <c r="A45" s="661" t="n"/>
      <c r="B45" s="658">
        <f>+'Detailed Base Charges NL'!B45+'Detailed Base Charges BE'!B45</f>
        <v/>
      </c>
      <c r="C45" s="658">
        <f>+'Detailed Base Charges NL'!C45+'Detailed Base Charges BE'!C45</f>
        <v/>
      </c>
      <c r="D45" s="658" t="n"/>
      <c r="E45" s="658" t="n"/>
      <c r="F45" s="658" t="n"/>
      <c r="G45" s="662">
        <f>SUM(B45:F45)</f>
        <v/>
      </c>
      <c r="H45" s="649" t="inlineStr">
        <is>
          <t>Row used for PST reimbursement for use of EuroBank facilities</t>
        </is>
      </c>
    </row>
    <row r="46" ht="13.8" customHeight="1" s="586">
      <c r="A46" s="651" t="inlineStr">
        <is>
          <t>TOTAL SERVICE DESK (seats supported)</t>
        </is>
      </c>
      <c r="B46" s="652">
        <f>SUM(B38:B45)</f>
        <v/>
      </c>
      <c r="C46" s="652">
        <f>SUM(C38:C45)</f>
        <v/>
      </c>
      <c r="D46" s="652">
        <f>SUM(D38:D45)</f>
        <v/>
      </c>
      <c r="E46" s="652">
        <f>SUM(E38:E45)</f>
        <v/>
      </c>
      <c r="F46" s="652">
        <f>SUM(F38:F45)</f>
        <v/>
      </c>
      <c r="G46" s="653">
        <f>SUM(B46:F46)</f>
        <v/>
      </c>
    </row>
    <row r="47" ht="13.8" customHeight="1" s="586">
      <c r="A47" s="633" t="inlineStr">
        <is>
          <t>LAN Services</t>
        </is>
      </c>
      <c r="B47" s="625" t="n"/>
      <c r="C47" s="625" t="n"/>
      <c r="D47" s="625" t="n"/>
      <c r="E47" s="625" t="n"/>
      <c r="F47" s="625" t="n"/>
      <c r="G47" s="626" t="n"/>
    </row>
    <row r="48" ht="13.8" customHeight="1" s="586">
      <c r="A48" s="663" t="inlineStr">
        <is>
          <t>Support Services</t>
        </is>
      </c>
      <c r="B48" s="664" t="n"/>
      <c r="C48" s="664" t="n"/>
      <c r="D48" s="664" t="n"/>
      <c r="E48" s="664" t="n"/>
      <c r="F48" s="664" t="n"/>
      <c r="G48" s="665" t="n"/>
    </row>
    <row r="49" ht="13.2" customHeight="1" s="586">
      <c r="A49" s="666" t="inlineStr">
        <is>
          <t>Monitoring LAN port IT, SP, ...</t>
        </is>
      </c>
      <c r="B49" s="641">
        <f>+'Detailed Base Charges NL'!B49+'Detailed Base Charges BE'!B49</f>
        <v/>
      </c>
      <c r="C49" s="641">
        <f>+'Detailed Base Charges NL'!C49+'Detailed Base Charges BE'!C49</f>
        <v/>
      </c>
      <c r="D49" s="641">
        <f>+'Detailed Base Charges NL'!D49+'Detailed Base Charges BE'!D49</f>
        <v/>
      </c>
      <c r="E49" s="641">
        <f>+'Detailed Base Charges NL'!E49+'Detailed Base Charges BE'!E49</f>
        <v/>
      </c>
      <c r="F49" s="641">
        <f>+'Detailed Base Charges NL'!F49+'Detailed Base Charges BE'!F49</f>
        <v/>
      </c>
      <c r="G49" s="642">
        <f>SUM(B49:F49)</f>
        <v/>
      </c>
    </row>
    <row r="50" ht="13.2" customHeight="1" s="586">
      <c r="A50" s="640" t="inlineStr">
        <is>
          <t>Site Type A: # of Active LAN Ports</t>
        </is>
      </c>
      <c r="B50" s="641">
        <f>+'Detailed Base Charges NL'!B50+'Detailed Base Charges BE'!B50</f>
        <v/>
      </c>
      <c r="C50" s="641">
        <f>+'Detailed Base Charges NL'!C50+'Detailed Base Charges BE'!C50</f>
        <v/>
      </c>
      <c r="D50" s="641">
        <f>+'Detailed Base Charges NL'!D50+'Detailed Base Charges BE'!D50</f>
        <v/>
      </c>
      <c r="E50" s="641">
        <f>+'Detailed Base Charges NL'!E50+'Detailed Base Charges BE'!E50</f>
        <v/>
      </c>
      <c r="F50" s="641">
        <f>+'Detailed Base Charges NL'!F50+'Detailed Base Charges BE'!F50</f>
        <v/>
      </c>
      <c r="G50" s="642">
        <f>SUM(B50:F50)</f>
        <v/>
      </c>
    </row>
    <row r="51" ht="13.2" customHeight="1" s="586">
      <c r="A51" s="640" t="inlineStr">
        <is>
          <t>Site Type B: # of Active LAN Ports</t>
        </is>
      </c>
      <c r="B51" s="641">
        <f>+'Detailed Base Charges NL'!B51+'Detailed Base Charges BE'!B51</f>
        <v/>
      </c>
      <c r="C51" s="641">
        <f>+'Detailed Base Charges NL'!C51+'Detailed Base Charges BE'!C51</f>
        <v/>
      </c>
      <c r="D51" s="641">
        <f>+'Detailed Base Charges NL'!D51+'Detailed Base Charges BE'!D51</f>
        <v/>
      </c>
      <c r="E51" s="641">
        <f>+'Detailed Base Charges NL'!E51+'Detailed Base Charges BE'!E51</f>
        <v/>
      </c>
      <c r="F51" s="641">
        <f>+'Detailed Base Charges NL'!F51+'Detailed Base Charges BE'!F51</f>
        <v/>
      </c>
      <c r="G51" s="642">
        <f>SUM(B51:F51)</f>
        <v/>
      </c>
    </row>
    <row r="52" ht="13.8" customHeight="1" s="586">
      <c r="A52" s="640" t="inlineStr">
        <is>
          <t>Site Type C: # of Active LAN Ports</t>
        </is>
      </c>
      <c r="B52" s="641">
        <f>+'Detailed Base Charges NL'!B52+'Detailed Base Charges BE'!B52</f>
        <v/>
      </c>
      <c r="C52" s="641">
        <f>+'Detailed Base Charges NL'!C52+'Detailed Base Charges BE'!C52</f>
        <v/>
      </c>
      <c r="D52" s="641">
        <f>+'Detailed Base Charges NL'!D52+'Detailed Base Charges BE'!D52</f>
        <v/>
      </c>
      <c r="E52" s="641">
        <f>+'Detailed Base Charges NL'!E52+'Detailed Base Charges BE'!E52</f>
        <v/>
      </c>
      <c r="F52" s="641">
        <f>+'Detailed Base Charges NL'!F52+'Detailed Base Charges BE'!F52</f>
        <v/>
      </c>
      <c r="G52" s="642">
        <f>SUM(B52:F52)</f>
        <v/>
      </c>
    </row>
    <row r="53" ht="13.8" customHeight="1" s="586">
      <c r="A53" s="651" t="inlineStr">
        <is>
          <t>TOTAL LAN SERVICES</t>
        </is>
      </c>
      <c r="B53" s="631">
        <f>SUM(B47:B52)</f>
        <v/>
      </c>
      <c r="C53" s="631">
        <f>SUM(C47:C52)</f>
        <v/>
      </c>
      <c r="D53" s="631">
        <f>SUM(D47:D52)</f>
        <v/>
      </c>
      <c r="E53" s="631">
        <f>SUM(E47:E52)</f>
        <v/>
      </c>
      <c r="F53" s="631">
        <f>SUM(F47:F52)</f>
        <v/>
      </c>
      <c r="G53" s="632">
        <f>SUM(B53:F53)</f>
        <v/>
      </c>
    </row>
    <row r="54" ht="13.8" customHeight="1" s="586">
      <c r="A54" s="633" t="inlineStr">
        <is>
          <t>Voice Services</t>
        </is>
      </c>
      <c r="B54" s="625" t="n"/>
      <c r="C54" s="625" t="n"/>
      <c r="D54" s="625" t="n"/>
      <c r="E54" s="625" t="n"/>
      <c r="F54" s="625" t="n"/>
      <c r="G54" s="626" t="n"/>
    </row>
    <row r="55" ht="13.2" customHeight="1" s="586">
      <c r="A55" s="667" t="inlineStr">
        <is>
          <t>Locations (Systems &amp; Services)</t>
        </is>
      </c>
      <c r="B55" s="646" t="n"/>
      <c r="C55" s="646" t="n"/>
      <c r="D55" s="646" t="n"/>
      <c r="E55" s="646" t="n"/>
      <c r="F55" s="646" t="n"/>
      <c r="G55" s="647" t="n"/>
    </row>
    <row r="56" ht="13.2" customHeight="1" s="586">
      <c r="A56" s="666" t="inlineStr">
        <is>
          <t>Call Centres</t>
        </is>
      </c>
      <c r="B56" s="641">
        <f>+'Detailed Base Charges NL'!B56+'Detailed Base Charges BE'!B56</f>
        <v/>
      </c>
      <c r="C56" s="641">
        <f>+'Detailed Base Charges NL'!C56+'Detailed Base Charges BE'!C56</f>
        <v/>
      </c>
      <c r="D56" s="641">
        <f>+'Detailed Base Charges NL'!D56+'Detailed Base Charges BE'!D56</f>
        <v/>
      </c>
      <c r="E56" s="641">
        <f>+'Detailed Base Charges NL'!E56+'Detailed Base Charges BE'!E56</f>
        <v/>
      </c>
      <c r="F56" s="641">
        <f>+'Detailed Base Charges NL'!F56+'Detailed Base Charges BE'!F56</f>
        <v/>
      </c>
      <c r="G56" s="642">
        <f>SUM(B56:F56)</f>
        <v/>
      </c>
    </row>
    <row r="57" ht="13.2" customHeight="1" s="586">
      <c r="A57" s="666" t="inlineStr">
        <is>
          <t>Employee ISDN</t>
        </is>
      </c>
      <c r="B57" s="641">
        <f>+'Detailed Base Charges NL'!B57+'Detailed Base Charges BE'!B57</f>
        <v/>
      </c>
      <c r="C57" s="641">
        <f>+'Detailed Base Charges NL'!C57+'Detailed Base Charges BE'!C57</f>
        <v/>
      </c>
      <c r="D57" s="641">
        <f>+'Detailed Base Charges NL'!D57+'Detailed Base Charges BE'!D57</f>
        <v/>
      </c>
      <c r="E57" s="641">
        <f>+'Detailed Base Charges NL'!E57+'Detailed Base Charges BE'!E57</f>
        <v/>
      </c>
      <c r="F57" s="641">
        <f>+'Detailed Base Charges NL'!F57+'Detailed Base Charges BE'!F57</f>
        <v/>
      </c>
      <c r="G57" s="642">
        <f>SUM(B57:F57)</f>
        <v/>
      </c>
    </row>
    <row r="58" ht="13.2" customHeight="1" s="586">
      <c r="A58" s="666" t="inlineStr">
        <is>
          <t>Dealing room</t>
        </is>
      </c>
      <c r="B58" s="644">
        <f>+'Detailed Base Charges NL'!B58+'Detailed Base Charges BE'!B58</f>
        <v/>
      </c>
      <c r="C58" s="644">
        <f>+'Detailed Base Charges NL'!C58+'Detailed Base Charges BE'!C58</f>
        <v/>
      </c>
      <c r="D58" s="644">
        <f>+'Detailed Base Charges NL'!D58+'Detailed Base Charges BE'!D58</f>
        <v/>
      </c>
      <c r="E58" s="644">
        <f>+'Detailed Base Charges NL'!E58+'Detailed Base Charges BE'!E58</f>
        <v/>
      </c>
      <c r="F58" s="644">
        <f>+'Detailed Base Charges NL'!F58+'Detailed Base Charges BE'!F58</f>
        <v/>
      </c>
      <c r="G58" s="645">
        <f>SUM(B58:F58)</f>
        <v/>
      </c>
    </row>
    <row r="59" ht="13.2" customHeight="1" s="586">
      <c r="A59" s="668" t="inlineStr">
        <is>
          <t>Video conferencing</t>
        </is>
      </c>
      <c r="B59" s="641">
        <f>+'Detailed Base Charges NL'!B59+'Detailed Base Charges BE'!B59</f>
        <v/>
      </c>
      <c r="C59" s="641">
        <f>+'Detailed Base Charges NL'!C59+'Detailed Base Charges BE'!C59</f>
        <v/>
      </c>
      <c r="D59" s="641">
        <f>+'Detailed Base Charges NL'!D59+'Detailed Base Charges BE'!D59</f>
        <v/>
      </c>
      <c r="E59" s="641">
        <f>+'Detailed Base Charges NL'!E59+'Detailed Base Charges BE'!E59</f>
        <v/>
      </c>
      <c r="F59" s="641">
        <f>+'Detailed Base Charges NL'!F59+'Detailed Base Charges BE'!F59</f>
        <v/>
      </c>
      <c r="G59" s="642">
        <f>SUM(B59:F59)</f>
        <v/>
      </c>
    </row>
    <row r="60" ht="39.6" customHeight="1" s="586">
      <c r="A60" s="669" t="inlineStr">
        <is>
          <t xml:space="preserve">  Assets Call Center</t>
        </is>
      </c>
      <c r="B60" s="641">
        <f>+'Detailed Base Charges NL'!B60+'Detailed Base Charges BE'!B60</f>
        <v/>
      </c>
      <c r="C60" s="641">
        <f>+'Detailed Base Charges NL'!C60+'Detailed Base Charges BE'!C60</f>
        <v/>
      </c>
      <c r="D60" s="641">
        <f>+'Detailed Base Charges NL'!D60+'Detailed Base Charges BE'!D60</f>
        <v/>
      </c>
      <c r="E60" s="641">
        <f>+'Detailed Base Charges NL'!E60+'Detailed Base Charges BE'!E60</f>
        <v/>
      </c>
      <c r="F60" s="641">
        <f>+'Detailed Base Charges NL'!F60+'Detailed Base Charges BE'!F60</f>
        <v/>
      </c>
      <c r="G60" s="642">
        <f>SUM(B60:F60)</f>
        <v/>
      </c>
      <c r="H60" s="649" t="inlineStr">
        <is>
          <t>Charges for PBX's: Small, Medium, and Large per Attachment 4-D are included in the Handsets</t>
        </is>
      </c>
    </row>
    <row r="61" ht="39.6" customHeight="1" s="586">
      <c r="A61" s="669" t="inlineStr">
        <is>
          <t xml:space="preserve">  Assets Digital Voice Fixed</t>
        </is>
      </c>
      <c r="B61" s="641">
        <f>+'Detailed Base Charges NL'!B61+'Detailed Base Charges BE'!B61</f>
        <v/>
      </c>
      <c r="C61" s="641">
        <f>+'Detailed Base Charges NL'!C61+'Detailed Base Charges BE'!C61</f>
        <v/>
      </c>
      <c r="D61" s="641">
        <f>+'Detailed Base Charges NL'!D61+'Detailed Base Charges BE'!D61</f>
        <v/>
      </c>
      <c r="E61" s="641">
        <f>+'Detailed Base Charges NL'!E61+'Detailed Base Charges BE'!E61</f>
        <v/>
      </c>
      <c r="F61" s="641">
        <f>+'Detailed Base Charges NL'!F61+'Detailed Base Charges BE'!F61</f>
        <v/>
      </c>
      <c r="G61" s="642">
        <f>SUM(B61:F61)</f>
        <v/>
      </c>
      <c r="H61" s="649" t="inlineStr">
        <is>
          <t>Charges for PBX's: Small, Medium, and Large per Attachment 4-D are included in the Handsets</t>
        </is>
      </c>
    </row>
    <row r="62" ht="50.25" customHeight="1" s="586">
      <c r="A62" s="669" t="inlineStr">
        <is>
          <t xml:space="preserve">  Assets Analogue Voice Fixed</t>
        </is>
      </c>
      <c r="B62" s="641">
        <f>+'Detailed Base Charges NL'!B62+'Detailed Base Charges BE'!B62</f>
        <v/>
      </c>
      <c r="C62" s="641">
        <f>+'Detailed Base Charges NL'!C62+'Detailed Base Charges BE'!C62</f>
        <v/>
      </c>
      <c r="D62" s="641">
        <f>+'Detailed Base Charges NL'!D62+'Detailed Base Charges BE'!D62</f>
        <v/>
      </c>
      <c r="E62" s="641">
        <f>+'Detailed Base Charges NL'!E62+'Detailed Base Charges BE'!E62</f>
        <v/>
      </c>
      <c r="F62" s="641">
        <f>+'Detailed Base Charges NL'!F62+'Detailed Base Charges BE'!F62</f>
        <v/>
      </c>
      <c r="G62" s="642">
        <f>SUM(B62:F62)</f>
        <v/>
      </c>
      <c r="H62" s="649" t="inlineStr">
        <is>
          <t>Charges for PBX's: Small, Medium, and Large per Attachment 4-D are included in the Handsets</t>
        </is>
      </c>
    </row>
    <row r="63" ht="13.2" customHeight="1" s="586">
      <c r="A63" s="670" t="inlineStr">
        <is>
          <t xml:space="preserve">  Handsets - Digital (incl. DECT)</t>
        </is>
      </c>
      <c r="B63" s="641">
        <f>+'Detailed Base Charges NL'!B63+'Detailed Base Charges BE'!B63</f>
        <v/>
      </c>
      <c r="C63" s="641">
        <f>+'Detailed Base Charges NL'!C63+'Detailed Base Charges BE'!C63</f>
        <v/>
      </c>
      <c r="D63" s="641">
        <f>+'Detailed Base Charges NL'!D63+'Detailed Base Charges BE'!D63</f>
        <v/>
      </c>
      <c r="E63" s="641">
        <f>+'Detailed Base Charges NL'!E63+'Detailed Base Charges BE'!E63</f>
        <v/>
      </c>
      <c r="F63" s="641">
        <f>+'Detailed Base Charges NL'!F63+'Detailed Base Charges BE'!F63</f>
        <v/>
      </c>
      <c r="G63" s="642">
        <f>SUM(B63:F63)</f>
        <v/>
      </c>
    </row>
    <row r="64" ht="13.2" customHeight="1" s="586">
      <c r="A64" s="660" t="inlineStr">
        <is>
          <t xml:space="preserve">  Handsets - Analog</t>
        </is>
      </c>
      <c r="B64" s="641">
        <f>+'Detailed Base Charges NL'!B64+'Detailed Base Charges BE'!B64</f>
        <v/>
      </c>
      <c r="C64" s="641">
        <f>+'Detailed Base Charges NL'!C64+'Detailed Base Charges BE'!C64</f>
        <v/>
      </c>
      <c r="D64" s="641">
        <f>+'Detailed Base Charges NL'!D64+'Detailed Base Charges BE'!D64</f>
        <v/>
      </c>
      <c r="E64" s="641">
        <f>+'Detailed Base Charges NL'!E64+'Detailed Base Charges BE'!E64</f>
        <v/>
      </c>
      <c r="F64" s="641">
        <f>+'Detailed Base Charges NL'!F64+'Detailed Base Charges BE'!F64</f>
        <v/>
      </c>
      <c r="G64" s="642">
        <f>SUM(B64:F64)</f>
        <v/>
      </c>
    </row>
    <row r="65" ht="13.2" customHeight="1" s="586">
      <c r="A65" s="660" t="inlineStr">
        <is>
          <t>Cellular Phones management fee</t>
        </is>
      </c>
      <c r="B65" s="641">
        <f>+'Detailed Base Charges NL'!B65+'Detailed Base Charges BE'!B65</f>
        <v/>
      </c>
      <c r="C65" s="641">
        <f>+'Detailed Base Charges NL'!C65+'Detailed Base Charges BE'!C65</f>
        <v/>
      </c>
      <c r="D65" s="641">
        <f>+'Detailed Base Charges NL'!D65+'Detailed Base Charges BE'!D65</f>
        <v/>
      </c>
      <c r="E65" s="641">
        <f>+'Detailed Base Charges NL'!E65+'Detailed Base Charges BE'!E65</f>
        <v/>
      </c>
      <c r="F65" s="641">
        <f>+'Detailed Base Charges NL'!F65+'Detailed Base Charges BE'!F65</f>
        <v/>
      </c>
      <c r="G65" s="642">
        <f>SUM(B65:F65)</f>
        <v/>
      </c>
    </row>
    <row r="66" ht="13.2" customHeight="1" s="586">
      <c r="A66" s="660" t="inlineStr">
        <is>
          <t xml:space="preserve">  Cellular Phones subscription</t>
        </is>
      </c>
      <c r="B66" s="641">
        <f>+'Detailed Base Charges NL'!B66+'Detailed Base Charges BE'!B66</f>
        <v/>
      </c>
      <c r="C66" s="641">
        <f>+'Detailed Base Charges NL'!C66+'Detailed Base Charges BE'!C66</f>
        <v/>
      </c>
      <c r="D66" s="641">
        <f>+'Detailed Base Charges NL'!D66+'Detailed Base Charges BE'!D66</f>
        <v/>
      </c>
      <c r="E66" s="641">
        <f>+'Detailed Base Charges NL'!E66+'Detailed Base Charges BE'!E66</f>
        <v/>
      </c>
      <c r="F66" s="641">
        <f>+'Detailed Base Charges NL'!F66+'Detailed Base Charges BE'!F66</f>
        <v/>
      </c>
      <c r="G66" s="642">
        <f>SUM(B66:F66)</f>
        <v/>
      </c>
    </row>
    <row r="67" ht="13.2" customHeight="1" s="586">
      <c r="A67" s="660" t="inlineStr">
        <is>
          <t xml:space="preserve">  Cellular Phones refresh (budget)</t>
        </is>
      </c>
      <c r="B67" s="641">
        <f>+'Detailed Base Charges NL'!B67+'Detailed Base Charges BE'!B67</f>
        <v/>
      </c>
      <c r="C67" s="641">
        <f>+'Detailed Base Charges NL'!C67+'Detailed Base Charges BE'!C67</f>
        <v/>
      </c>
      <c r="D67" s="641">
        <f>+'Detailed Base Charges NL'!D67+'Detailed Base Charges BE'!D67</f>
        <v/>
      </c>
      <c r="E67" s="641">
        <f>+'Detailed Base Charges NL'!E67+'Detailed Base Charges BE'!E67</f>
        <v/>
      </c>
      <c r="F67" s="641">
        <f>+'Detailed Base Charges NL'!F67+'Detailed Base Charges BE'!F67</f>
        <v/>
      </c>
      <c r="G67" s="642">
        <f>SUM(B67:F67)</f>
        <v/>
      </c>
    </row>
    <row r="68" ht="13.2" customHeight="1" s="586">
      <c r="A68" s="660" t="inlineStr">
        <is>
          <t>GPRS/UMTS Cards or Devices management fee</t>
        </is>
      </c>
      <c r="B68" s="641">
        <f>+'Detailed Base Charges NL'!B68+'Detailed Base Charges BE'!B68</f>
        <v/>
      </c>
      <c r="C68" s="641">
        <f>+'Detailed Base Charges NL'!C68+'Detailed Base Charges BE'!C68</f>
        <v/>
      </c>
      <c r="D68" s="641">
        <f>+'Detailed Base Charges NL'!D68+'Detailed Base Charges BE'!D68</f>
        <v/>
      </c>
      <c r="E68" s="641">
        <f>+'Detailed Base Charges NL'!E68+'Detailed Base Charges BE'!E68</f>
        <v/>
      </c>
      <c r="F68" s="641">
        <f>+'Detailed Base Charges NL'!F68+'Detailed Base Charges BE'!F68</f>
        <v/>
      </c>
      <c r="G68" s="642">
        <f>SUM(B68:F68)</f>
        <v/>
      </c>
    </row>
    <row r="69" ht="13.2" customHeight="1" s="586">
      <c r="A69" s="660" t="inlineStr">
        <is>
          <t xml:space="preserve">  GPRS/UMTS Cards or Devices subscription</t>
        </is>
      </c>
      <c r="B69" s="641">
        <f>+'Detailed Base Charges NL'!B69+'Detailed Base Charges BE'!B69</f>
        <v/>
      </c>
      <c r="C69" s="641">
        <f>+'Detailed Base Charges NL'!C69+'Detailed Base Charges BE'!C69</f>
        <v/>
      </c>
      <c r="D69" s="641">
        <f>+'Detailed Base Charges NL'!D69+'Detailed Base Charges BE'!D69</f>
        <v/>
      </c>
      <c r="E69" s="641">
        <f>+'Detailed Base Charges NL'!E69+'Detailed Base Charges BE'!E69</f>
        <v/>
      </c>
      <c r="F69" s="641">
        <f>+'Detailed Base Charges NL'!F69+'Detailed Base Charges BE'!F69</f>
        <v/>
      </c>
      <c r="G69" s="642">
        <f>SUM(B69:F69)</f>
        <v/>
      </c>
    </row>
    <row r="70" ht="13.2" customHeight="1" s="586">
      <c r="A70" s="660" t="inlineStr">
        <is>
          <t xml:space="preserve">  GPRS/UMTS Cards or Devices refresh (budget)</t>
        </is>
      </c>
      <c r="B70" s="641">
        <f>+'Detailed Base Charges NL'!B70+'Detailed Base Charges BE'!B70</f>
        <v/>
      </c>
      <c r="C70" s="641">
        <f>+'Detailed Base Charges NL'!C70+'Detailed Base Charges BE'!C70</f>
        <v/>
      </c>
      <c r="D70" s="641">
        <f>+'Detailed Base Charges NL'!D70+'Detailed Base Charges BE'!D70</f>
        <v/>
      </c>
      <c r="E70" s="641">
        <f>+'Detailed Base Charges NL'!E70+'Detailed Base Charges BE'!E70</f>
        <v/>
      </c>
      <c r="F70" s="641">
        <f>+'Detailed Base Charges NL'!F70+'Detailed Base Charges BE'!F70</f>
        <v/>
      </c>
      <c r="G70" s="642">
        <f>SUM(B70:F70)</f>
        <v/>
      </c>
    </row>
    <row r="71" ht="13.2" customHeight="1" s="586">
      <c r="A71" s="666" t="inlineStr">
        <is>
          <t>Blackberries management fee</t>
        </is>
      </c>
      <c r="B71" s="641">
        <f>+'Detailed Base Charges NL'!B71+'Detailed Base Charges BE'!B71</f>
        <v/>
      </c>
      <c r="C71" s="641">
        <f>+'Detailed Base Charges NL'!C71+'Detailed Base Charges BE'!C71</f>
        <v/>
      </c>
      <c r="D71" s="641">
        <f>+'Detailed Base Charges NL'!D71+'Detailed Base Charges BE'!D71</f>
        <v/>
      </c>
      <c r="E71" s="641">
        <f>+'Detailed Base Charges NL'!E71+'Detailed Base Charges BE'!E71</f>
        <v/>
      </c>
      <c r="F71" s="641">
        <f>+'Detailed Base Charges NL'!F71+'Detailed Base Charges BE'!F71</f>
        <v/>
      </c>
      <c r="G71" s="642">
        <f>SUM(B71:F71)</f>
        <v/>
      </c>
    </row>
    <row r="72" ht="13.2" customHeight="1" s="586">
      <c r="A72" s="666" t="inlineStr">
        <is>
          <t xml:space="preserve">  Blackberries subscription (data)</t>
        </is>
      </c>
      <c r="B72" s="641">
        <f>+'Detailed Base Charges NL'!B72+'Detailed Base Charges BE'!B72</f>
        <v/>
      </c>
      <c r="C72" s="641">
        <f>+'Detailed Base Charges NL'!C72+'Detailed Base Charges BE'!C72</f>
        <v/>
      </c>
      <c r="D72" s="641">
        <f>+'Detailed Base Charges NL'!D72+'Detailed Base Charges BE'!D72</f>
        <v/>
      </c>
      <c r="E72" s="641">
        <f>+'Detailed Base Charges NL'!E72+'Detailed Base Charges BE'!E72</f>
        <v/>
      </c>
      <c r="F72" s="641">
        <f>+'Detailed Base Charges NL'!F72+'Detailed Base Charges BE'!F72</f>
        <v/>
      </c>
      <c r="G72" s="642">
        <f>SUM(B72:F72)</f>
        <v/>
      </c>
    </row>
    <row r="73" ht="13.2" customHeight="1" s="586">
      <c r="A73" s="666" t="inlineStr">
        <is>
          <t xml:space="preserve">  Blackberries refresh incl CAL licence (budget)</t>
        </is>
      </c>
      <c r="B73" s="641">
        <f>+'Detailed Base Charges NL'!B73+'Detailed Base Charges BE'!B73</f>
        <v/>
      </c>
      <c r="C73" s="641">
        <f>+'Detailed Base Charges NL'!C73+'Detailed Base Charges BE'!C73</f>
        <v/>
      </c>
      <c r="D73" s="641">
        <f>+'Detailed Base Charges NL'!D73+'Detailed Base Charges BE'!D73</f>
        <v/>
      </c>
      <c r="E73" s="641">
        <f>+'Detailed Base Charges NL'!E73+'Detailed Base Charges BE'!E73</f>
        <v/>
      </c>
      <c r="F73" s="641">
        <f>+'Detailed Base Charges NL'!F73+'Detailed Base Charges BE'!F73</f>
        <v/>
      </c>
      <c r="G73" s="642">
        <f>SUM(B73:F73)</f>
        <v/>
      </c>
    </row>
    <row r="74" ht="13.2" customHeight="1" s="586">
      <c r="A74" s="640" t="inlineStr">
        <is>
          <t>Internal Pagers management fee</t>
        </is>
      </c>
      <c r="B74" s="641">
        <f>+'Detailed Base Charges NL'!B74+'Detailed Base Charges BE'!B74</f>
        <v/>
      </c>
      <c r="C74" s="641">
        <f>+'Detailed Base Charges NL'!C74+'Detailed Base Charges BE'!C74</f>
        <v/>
      </c>
      <c r="D74" s="641">
        <f>+'Detailed Base Charges NL'!D74+'Detailed Base Charges BE'!D74</f>
        <v/>
      </c>
      <c r="E74" s="641">
        <f>+'Detailed Base Charges NL'!E74+'Detailed Base Charges BE'!E74</f>
        <v/>
      </c>
      <c r="F74" s="641">
        <f>+'Detailed Base Charges NL'!F74+'Detailed Base Charges BE'!F74</f>
        <v/>
      </c>
      <c r="G74" s="642">
        <f>SUM(B74:F74)</f>
        <v/>
      </c>
    </row>
    <row r="75" ht="13.2" customHeight="1" s="586">
      <c r="A75" s="640" t="inlineStr">
        <is>
          <t xml:space="preserve">  Internal Pagers refresh (budget)</t>
        </is>
      </c>
      <c r="B75" s="641">
        <f>+'Detailed Base Charges NL'!B75+'Detailed Base Charges BE'!B75</f>
        <v/>
      </c>
      <c r="C75" s="641">
        <f>+'Detailed Base Charges NL'!C75+'Detailed Base Charges BE'!C75</f>
        <v/>
      </c>
      <c r="D75" s="641">
        <f>+'Detailed Base Charges NL'!D75+'Detailed Base Charges BE'!D75</f>
        <v/>
      </c>
      <c r="E75" s="641">
        <f>+'Detailed Base Charges NL'!E75+'Detailed Base Charges BE'!E75</f>
        <v/>
      </c>
      <c r="F75" s="641">
        <f>+'Detailed Base Charges NL'!F75+'Detailed Base Charges BE'!F75</f>
        <v/>
      </c>
      <c r="G75" s="642">
        <f>SUM(B75:F75)</f>
        <v/>
      </c>
    </row>
    <row r="76" ht="13.2" customHeight="1" s="586">
      <c r="A76" s="640" t="inlineStr">
        <is>
          <t>External Pagers management fee</t>
        </is>
      </c>
      <c r="B76" s="641">
        <f>+'Detailed Base Charges NL'!B76+'Detailed Base Charges BE'!B76</f>
        <v/>
      </c>
      <c r="C76" s="641">
        <f>+'Detailed Base Charges NL'!C76+'Detailed Base Charges BE'!C76</f>
        <v/>
      </c>
      <c r="D76" s="641">
        <f>+'Detailed Base Charges NL'!D76+'Detailed Base Charges BE'!D76</f>
        <v/>
      </c>
      <c r="E76" s="641">
        <f>+'Detailed Base Charges NL'!E76+'Detailed Base Charges BE'!E76</f>
        <v/>
      </c>
      <c r="F76" s="641">
        <f>+'Detailed Base Charges NL'!F76+'Detailed Base Charges BE'!F76</f>
        <v/>
      </c>
      <c r="G76" s="642">
        <f>SUM(B76:F76)</f>
        <v/>
      </c>
    </row>
    <row r="77" ht="13.2" customHeight="1" s="586">
      <c r="A77" s="640" t="inlineStr">
        <is>
          <t xml:space="preserve">  External Pagers refresh (budget)</t>
        </is>
      </c>
      <c r="B77" s="641">
        <f>+'Detailed Base Charges NL'!B77+'Detailed Base Charges BE'!B77</f>
        <v/>
      </c>
      <c r="C77" s="641">
        <f>+'Detailed Base Charges NL'!C77+'Detailed Base Charges BE'!C77</f>
        <v/>
      </c>
      <c r="D77" s="641">
        <f>+'Detailed Base Charges NL'!D77+'Detailed Base Charges BE'!D77</f>
        <v/>
      </c>
      <c r="E77" s="641">
        <f>+'Detailed Base Charges NL'!E77+'Detailed Base Charges BE'!E77</f>
        <v/>
      </c>
      <c r="F77" s="641">
        <f>+'Detailed Base Charges NL'!F77+'Detailed Base Charges BE'!F77</f>
        <v/>
      </c>
      <c r="G77" s="642">
        <f>SUM(B77:F77)</f>
        <v/>
      </c>
    </row>
    <row r="78" ht="13.2" customHeight="1" s="586">
      <c r="A78" s="671" t="n"/>
      <c r="B78" s="672" t="n"/>
      <c r="C78" s="672" t="n"/>
      <c r="D78" s="672" t="n"/>
      <c r="E78" s="672" t="n"/>
      <c r="F78" s="672" t="n"/>
      <c r="G78" s="642" t="n"/>
    </row>
    <row r="79" ht="13.2" customHeight="1" s="586">
      <c r="A79" s="673" t="inlineStr">
        <is>
          <t>VOICE</t>
        </is>
      </c>
      <c r="B79" s="646" t="n"/>
      <c r="C79" s="646" t="n"/>
      <c r="D79" s="646" t="n"/>
      <c r="E79" s="646" t="n"/>
      <c r="F79" s="646" t="n"/>
      <c r="G79" s="647" t="n"/>
      <c r="I79" s="590" t="n"/>
    </row>
    <row r="80" ht="13.2" customHeight="1" s="586">
      <c r="A80" s="660" t="inlineStr">
        <is>
          <t>Domestic Outbound Calls - Local</t>
        </is>
      </c>
      <c r="B80" s="641">
        <f>+'Detailed Base Charges NL'!B80+'Detailed Base Charges BE'!B80</f>
        <v/>
      </c>
      <c r="C80" s="641">
        <f>+'Detailed Base Charges NL'!C80+'Detailed Base Charges BE'!C80</f>
        <v/>
      </c>
      <c r="D80" s="641">
        <f>+'Detailed Base Charges NL'!D80+'Detailed Base Charges BE'!D80</f>
        <v/>
      </c>
      <c r="E80" s="641">
        <f>+'Detailed Base Charges NL'!E80+'Detailed Base Charges BE'!E80</f>
        <v/>
      </c>
      <c r="F80" s="641">
        <f>+'Detailed Base Charges NL'!F80+'Detailed Base Charges BE'!F80</f>
        <v/>
      </c>
      <c r="G80" s="642">
        <f>SUM(B80:F80)</f>
        <v/>
      </c>
    </row>
    <row r="81" ht="13.2" customHeight="1" s="586">
      <c r="A81" s="660" t="inlineStr">
        <is>
          <t>Domestic Outbound Calls - Long Distance</t>
        </is>
      </c>
      <c r="B81" s="641">
        <f>+'Detailed Base Charges NL'!B81+'Detailed Base Charges BE'!B81</f>
        <v/>
      </c>
      <c r="C81" s="641">
        <f>+'Detailed Base Charges NL'!C81+'Detailed Base Charges BE'!C81</f>
        <v/>
      </c>
      <c r="D81" s="641">
        <f>+'Detailed Base Charges NL'!D81+'Detailed Base Charges BE'!D81</f>
        <v/>
      </c>
      <c r="E81" s="641">
        <f>+'Detailed Base Charges NL'!E81+'Detailed Base Charges BE'!E81</f>
        <v/>
      </c>
      <c r="F81" s="641">
        <f>+'Detailed Base Charges NL'!F81+'Detailed Base Charges BE'!F81</f>
        <v/>
      </c>
      <c r="G81" s="642">
        <f>SUM(B81:F81)</f>
        <v/>
      </c>
    </row>
    <row r="82" ht="13.2" customHeight="1" s="586">
      <c r="A82" s="660" t="inlineStr">
        <is>
          <t>Domestic Outbound Calls - Cellular</t>
        </is>
      </c>
      <c r="B82" s="641">
        <f>+'Detailed Base Charges NL'!B82+'Detailed Base Charges BE'!B82</f>
        <v/>
      </c>
      <c r="C82" s="641">
        <f>+'Detailed Base Charges NL'!C82+'Detailed Base Charges BE'!C82</f>
        <v/>
      </c>
      <c r="D82" s="641">
        <f>+'Detailed Base Charges NL'!D82+'Detailed Base Charges BE'!D82</f>
        <v/>
      </c>
      <c r="E82" s="641">
        <f>+'Detailed Base Charges NL'!E82+'Detailed Base Charges BE'!E82</f>
        <v/>
      </c>
      <c r="F82" s="641">
        <f>+'Detailed Base Charges NL'!F82+'Detailed Base Charges BE'!F82</f>
        <v/>
      </c>
      <c r="G82" s="642">
        <f>SUM(B82:F82)</f>
        <v/>
      </c>
    </row>
    <row r="83" ht="13.2" customHeight="1" s="586">
      <c r="A83" s="660" t="inlineStr">
        <is>
          <t>International Outbound Calls</t>
        </is>
      </c>
      <c r="B83" s="641">
        <f>+'Detailed Base Charges NL'!B83+'Detailed Base Charges BE'!B83</f>
        <v/>
      </c>
      <c r="C83" s="641">
        <f>+'Detailed Base Charges NL'!C83+'Detailed Base Charges BE'!C83</f>
        <v/>
      </c>
      <c r="D83" s="641">
        <f>+'Detailed Base Charges NL'!D83+'Detailed Base Charges BE'!D83</f>
        <v/>
      </c>
      <c r="E83" s="641">
        <f>+'Detailed Base Charges NL'!E83+'Detailed Base Charges BE'!E83</f>
        <v/>
      </c>
      <c r="F83" s="641">
        <f>+'Detailed Base Charges NL'!F83+'Detailed Base Charges BE'!F83</f>
        <v/>
      </c>
      <c r="G83" s="642">
        <f>SUM(B83:F83)</f>
        <v/>
      </c>
    </row>
    <row r="84" ht="13.2" customHeight="1" s="586">
      <c r="A84" s="660" t="inlineStr">
        <is>
          <t>Free phone Service Calls</t>
        </is>
      </c>
      <c r="B84" s="641">
        <f>+'Detailed Base Charges NL'!B84+'Detailed Base Charges BE'!B84</f>
        <v/>
      </c>
      <c r="C84" s="641">
        <f>+'Detailed Base Charges NL'!C84+'Detailed Base Charges BE'!C84</f>
        <v/>
      </c>
      <c r="D84" s="641">
        <f>+'Detailed Base Charges NL'!D84+'Detailed Base Charges BE'!D84</f>
        <v/>
      </c>
      <c r="E84" s="641">
        <f>+'Detailed Base Charges NL'!E84+'Detailed Base Charges BE'!E84</f>
        <v/>
      </c>
      <c r="F84" s="641">
        <f>+'Detailed Base Charges NL'!F84+'Detailed Base Charges BE'!F84</f>
        <v/>
      </c>
      <c r="G84" s="642">
        <f>SUM(B84:F84)</f>
        <v/>
      </c>
    </row>
    <row r="85" ht="13.2" customHeight="1" s="586">
      <c r="A85" s="660" t="inlineStr">
        <is>
          <t>Mobile - national</t>
        </is>
      </c>
      <c r="B85" s="641">
        <f>+'Detailed Base Charges NL'!B85+'Detailed Base Charges BE'!B85</f>
        <v/>
      </c>
      <c r="C85" s="641">
        <f>+'Detailed Base Charges NL'!C85+'Detailed Base Charges BE'!C85</f>
        <v/>
      </c>
      <c r="D85" s="641">
        <f>+'Detailed Base Charges NL'!D85+'Detailed Base Charges BE'!D85</f>
        <v/>
      </c>
      <c r="E85" s="641">
        <f>+'Detailed Base Charges NL'!E85+'Detailed Base Charges BE'!E85</f>
        <v/>
      </c>
      <c r="F85" s="641">
        <f>+'Detailed Base Charges NL'!F85+'Detailed Base Charges BE'!F85</f>
        <v/>
      </c>
      <c r="G85" s="642">
        <f>SUM(B85:F85)</f>
        <v/>
      </c>
    </row>
    <row r="86" ht="13.2" customHeight="1" s="586">
      <c r="A86" s="660" t="inlineStr">
        <is>
          <t>Mobile - international</t>
        </is>
      </c>
      <c r="B86" s="641">
        <f>+'Detailed Base Charges NL'!B86+'Detailed Base Charges BE'!B86</f>
        <v/>
      </c>
      <c r="C86" s="641">
        <f>+'Detailed Base Charges NL'!C86+'Detailed Base Charges BE'!C86</f>
        <v/>
      </c>
      <c r="D86" s="641">
        <f>+'Detailed Base Charges NL'!D86+'Detailed Base Charges BE'!D86</f>
        <v/>
      </c>
      <c r="E86" s="641">
        <f>+'Detailed Base Charges NL'!E86+'Detailed Base Charges BE'!E86</f>
        <v/>
      </c>
      <c r="F86" s="641">
        <f>+'Detailed Base Charges NL'!F86+'Detailed Base Charges BE'!F86</f>
        <v/>
      </c>
      <c r="G86" s="642">
        <f>SUM(B86:F86)</f>
        <v/>
      </c>
    </row>
    <row r="87" ht="13.2" customHeight="1" s="586">
      <c r="A87" s="660" t="inlineStr">
        <is>
          <t>Mobile - roaming outbound</t>
        </is>
      </c>
      <c r="B87" s="641">
        <f>+'Detailed Base Charges NL'!B87+'Detailed Base Charges BE'!B87</f>
        <v/>
      </c>
      <c r="C87" s="641">
        <f>+'Detailed Base Charges NL'!C87+'Detailed Base Charges BE'!C87</f>
        <v/>
      </c>
      <c r="D87" s="641">
        <f>+'Detailed Base Charges NL'!D87+'Detailed Base Charges BE'!D87</f>
        <v/>
      </c>
      <c r="E87" s="641">
        <f>+'Detailed Base Charges NL'!E87+'Detailed Base Charges BE'!E87</f>
        <v/>
      </c>
      <c r="F87" s="641">
        <f>+'Detailed Base Charges NL'!F87+'Detailed Base Charges BE'!F87</f>
        <v/>
      </c>
      <c r="G87" s="642">
        <f>SUM(B87:F87)</f>
        <v/>
      </c>
    </row>
    <row r="88" ht="13.2" customHeight="1" s="586">
      <c r="A88" s="660" t="inlineStr">
        <is>
          <t>Mobile - roaming inbound</t>
        </is>
      </c>
      <c r="B88" s="641">
        <f>+'Detailed Base Charges NL'!B88+'Detailed Base Charges BE'!B88</f>
        <v/>
      </c>
      <c r="C88" s="641">
        <f>+'Detailed Base Charges NL'!C88+'Detailed Base Charges BE'!C88</f>
        <v/>
      </c>
      <c r="D88" s="641">
        <f>+'Detailed Base Charges NL'!D88+'Detailed Base Charges BE'!D88</f>
        <v/>
      </c>
      <c r="E88" s="641">
        <f>+'Detailed Base Charges NL'!E88+'Detailed Base Charges BE'!E88</f>
        <v/>
      </c>
      <c r="F88" s="641">
        <f>+'Detailed Base Charges NL'!F88+'Detailed Base Charges BE'!F88</f>
        <v/>
      </c>
      <c r="G88" s="642">
        <f>SUM(B88:F88)</f>
        <v/>
      </c>
    </row>
    <row r="89" ht="13.2" customHeight="1" s="586">
      <c r="A89" s="660" t="inlineStr">
        <is>
          <t>Free phone Services Dedicated per min.</t>
        </is>
      </c>
      <c r="B89" s="641">
        <f>+'Detailed Base Charges NL'!B89+'Detailed Base Charges BE'!B89</f>
        <v/>
      </c>
      <c r="C89" s="641">
        <f>+'Detailed Base Charges NL'!C89+'Detailed Base Charges BE'!C89</f>
        <v/>
      </c>
      <c r="D89" s="641">
        <f>+'Detailed Base Charges NL'!D89+'Detailed Base Charges BE'!D89</f>
        <v/>
      </c>
      <c r="E89" s="641">
        <f>+'Detailed Base Charges NL'!E89+'Detailed Base Charges BE'!E89</f>
        <v/>
      </c>
      <c r="F89" s="641">
        <f>+'Detailed Base Charges NL'!F89+'Detailed Base Charges BE'!F89</f>
        <v/>
      </c>
      <c r="G89" s="642">
        <f>SUM(B89:F89)</f>
        <v/>
      </c>
    </row>
    <row r="90" ht="13.2" customHeight="1" s="586">
      <c r="A90" s="674" t="inlineStr">
        <is>
          <t>High Tariff Outbound Calls (0900)</t>
        </is>
      </c>
      <c r="B90" s="641">
        <f>+'Detailed Base Charges NL'!B90+'Detailed Base Charges BE'!B90</f>
        <v/>
      </c>
      <c r="C90" s="641">
        <f>+'Detailed Base Charges NL'!C90+'Detailed Base Charges BE'!C90</f>
        <v/>
      </c>
      <c r="D90" s="641">
        <f>+'Detailed Base Charges NL'!D90+'Detailed Base Charges BE'!D90</f>
        <v/>
      </c>
      <c r="E90" s="641">
        <f>+'Detailed Base Charges NL'!E90+'Detailed Base Charges BE'!E90</f>
        <v/>
      </c>
      <c r="F90" s="641">
        <f>+'Detailed Base Charges NL'!F90+'Detailed Base Charges BE'!F90</f>
        <v/>
      </c>
      <c r="G90" s="642">
        <f>SUM(B90:F90)</f>
        <v/>
      </c>
    </row>
    <row r="91" ht="13.2" customHeight="1" s="586">
      <c r="A91" s="674" t="inlineStr">
        <is>
          <t>High Tariff Outbound Calls (0676 internet)</t>
        </is>
      </c>
      <c r="B91" s="641">
        <f>+'Detailed Base Charges NL'!B91+'Detailed Base Charges BE'!B91</f>
        <v/>
      </c>
      <c r="C91" s="641">
        <f>+'Detailed Base Charges NL'!C91+'Detailed Base Charges BE'!C91</f>
        <v/>
      </c>
      <c r="D91" s="641">
        <f>+'Detailed Base Charges NL'!D91+'Detailed Base Charges BE'!D91</f>
        <v/>
      </c>
      <c r="E91" s="641">
        <f>+'Detailed Base Charges NL'!E91+'Detailed Base Charges BE'!E91</f>
        <v/>
      </c>
      <c r="F91" s="641">
        <f>+'Detailed Base Charges NL'!F91+'Detailed Base Charges BE'!F91</f>
        <v/>
      </c>
      <c r="G91" s="642">
        <f>SUM(B91:F91)</f>
        <v/>
      </c>
    </row>
    <row r="92" ht="13.2" customHeight="1" s="586">
      <c r="A92" s="674" t="inlineStr">
        <is>
          <t>High Tariff Outbound Calls  Other</t>
        </is>
      </c>
      <c r="B92" s="641">
        <f>+'Detailed Base Charges NL'!B92+'Detailed Base Charges BE'!B92</f>
        <v/>
      </c>
      <c r="C92" s="641">
        <f>+'Detailed Base Charges NL'!C92+'Detailed Base Charges BE'!C92</f>
        <v/>
      </c>
      <c r="D92" s="641">
        <f>+'Detailed Base Charges NL'!D92+'Detailed Base Charges BE'!D92</f>
        <v/>
      </c>
      <c r="E92" s="641">
        <f>+'Detailed Base Charges NL'!E92+'Detailed Base Charges BE'!E92</f>
        <v/>
      </c>
      <c r="F92" s="641">
        <f>+'Detailed Base Charges NL'!F92+'Detailed Base Charges BE'!F92</f>
        <v/>
      </c>
      <c r="G92" s="642">
        <f>SUM(B92:F92)</f>
        <v/>
      </c>
    </row>
    <row r="93" ht="13.2" customHeight="1" s="586">
      <c r="A93" s="660" t="inlineStr">
        <is>
          <t>Voice - Directory Assistance Calls per call</t>
        </is>
      </c>
      <c r="B93" s="641">
        <f>+'Detailed Base Charges NL'!B93+'Detailed Base Charges BE'!B93</f>
        <v/>
      </c>
      <c r="C93" s="641">
        <f>+'Detailed Base Charges NL'!C93+'Detailed Base Charges BE'!C93</f>
        <v/>
      </c>
      <c r="D93" s="641">
        <f>+'Detailed Base Charges NL'!D93+'Detailed Base Charges BE'!D93</f>
        <v/>
      </c>
      <c r="E93" s="641">
        <f>+'Detailed Base Charges NL'!E93+'Detailed Base Charges BE'!E93</f>
        <v/>
      </c>
      <c r="F93" s="641">
        <f>+'Detailed Base Charges NL'!F93+'Detailed Base Charges BE'!F93</f>
        <v/>
      </c>
      <c r="G93" s="642">
        <f>SUM(B93:F93)</f>
        <v/>
      </c>
    </row>
    <row r="94" ht="13.2" customHeight="1" s="586">
      <c r="A94" s="660" t="inlineStr">
        <is>
          <t>Voice - IMACS</t>
        </is>
      </c>
      <c r="B94" s="641">
        <f>+'Detailed Base Charges NL'!B94+'Detailed Base Charges BE'!B94</f>
        <v/>
      </c>
      <c r="C94" s="641">
        <f>+'Detailed Base Charges NL'!C94+'Detailed Base Charges BE'!C94</f>
        <v/>
      </c>
      <c r="D94" s="641">
        <f>+'Detailed Base Charges NL'!D94+'Detailed Base Charges BE'!D94</f>
        <v/>
      </c>
      <c r="E94" s="641">
        <f>+'Detailed Base Charges NL'!E94+'Detailed Base Charges BE'!E94</f>
        <v/>
      </c>
      <c r="F94" s="641">
        <f>+'Detailed Base Charges NL'!F94+'Detailed Base Charges BE'!F94</f>
        <v/>
      </c>
      <c r="G94" s="642">
        <f>SUM(B94:F94)</f>
        <v/>
      </c>
    </row>
    <row r="95" ht="13.2" customHeight="1" s="586">
      <c r="A95" s="675" t="n"/>
      <c r="B95" s="676" t="n"/>
      <c r="C95" s="676" t="n"/>
      <c r="D95" s="676" t="n"/>
      <c r="E95" s="676" t="n"/>
      <c r="F95" s="676" t="n"/>
      <c r="G95" s="677" t="n"/>
    </row>
    <row r="96" ht="13.2" customHeight="1" s="586">
      <c r="A96" s="678" t="inlineStr">
        <is>
          <t>Subscriptions</t>
        </is>
      </c>
      <c r="B96" s="679" t="n"/>
      <c r="C96" s="679" t="n"/>
      <c r="D96" s="679" t="n"/>
      <c r="E96" s="679" t="n"/>
      <c r="F96" s="679" t="n"/>
      <c r="G96" s="680" t="n"/>
    </row>
    <row r="97" ht="13.2" customHeight="1" s="586">
      <c r="A97" s="669" t="inlineStr">
        <is>
          <t>ISDN 1</t>
        </is>
      </c>
      <c r="B97" s="641">
        <f>+'Detailed Base Charges NL'!B97+'Detailed Base Charges BE'!B97</f>
        <v/>
      </c>
      <c r="C97" s="641">
        <f>+'Detailed Base Charges NL'!C97+'Detailed Base Charges BE'!C97</f>
        <v/>
      </c>
      <c r="D97" s="641">
        <f>+'Detailed Base Charges NL'!D97+'Detailed Base Charges BE'!D97</f>
        <v/>
      </c>
      <c r="E97" s="641">
        <f>+'Detailed Base Charges NL'!E97+'Detailed Base Charges BE'!E97</f>
        <v/>
      </c>
      <c r="F97" s="641">
        <f>+'Detailed Base Charges NL'!F97+'Detailed Base Charges BE'!F97</f>
        <v/>
      </c>
      <c r="G97" s="642">
        <f>SUM(B97:F97)</f>
        <v/>
      </c>
    </row>
    <row r="98" ht="13.2" customHeight="1" s="586">
      <c r="A98" s="669" t="inlineStr">
        <is>
          <t>ISDN 2</t>
        </is>
      </c>
      <c r="B98" s="641">
        <f>+'Detailed Base Charges NL'!B98+'Detailed Base Charges BE'!B98</f>
        <v/>
      </c>
      <c r="C98" s="641">
        <f>+'Detailed Base Charges NL'!C98+'Detailed Base Charges BE'!C98</f>
        <v/>
      </c>
      <c r="D98" s="641">
        <f>+'Detailed Base Charges NL'!D98+'Detailed Base Charges BE'!D98</f>
        <v/>
      </c>
      <c r="E98" s="641">
        <f>+'Detailed Base Charges NL'!E98+'Detailed Base Charges BE'!E98</f>
        <v/>
      </c>
      <c r="F98" s="641">
        <f>+'Detailed Base Charges NL'!F98+'Detailed Base Charges BE'!F98</f>
        <v/>
      </c>
      <c r="G98" s="642">
        <f>SUM(B98:F98)</f>
        <v/>
      </c>
    </row>
    <row r="99" ht="13.2" customHeight="1" s="586">
      <c r="A99" s="669" t="inlineStr">
        <is>
          <t>ISDN 15</t>
        </is>
      </c>
      <c r="B99" s="641">
        <f>+'Detailed Base Charges NL'!B99+'Detailed Base Charges BE'!B99</f>
        <v/>
      </c>
      <c r="C99" s="641">
        <f>+'Detailed Base Charges NL'!C99+'Detailed Base Charges BE'!C99</f>
        <v/>
      </c>
      <c r="D99" s="641">
        <f>+'Detailed Base Charges NL'!D99+'Detailed Base Charges BE'!D99</f>
        <v/>
      </c>
      <c r="E99" s="641">
        <f>+'Detailed Base Charges NL'!E99+'Detailed Base Charges BE'!E99</f>
        <v/>
      </c>
      <c r="F99" s="641">
        <f>+'Detailed Base Charges NL'!F99+'Detailed Base Charges BE'!F99</f>
        <v/>
      </c>
      <c r="G99" s="642">
        <f>SUM(B99:F99)</f>
        <v/>
      </c>
    </row>
    <row r="100" ht="13.2" customHeight="1" s="586">
      <c r="A100" s="669" t="inlineStr">
        <is>
          <t xml:space="preserve">ISDN 30  </t>
        </is>
      </c>
      <c r="B100" s="641">
        <f>+'Detailed Base Charges NL'!B100+'Detailed Base Charges BE'!B100</f>
        <v/>
      </c>
      <c r="C100" s="641">
        <f>+'Detailed Base Charges NL'!C100+'Detailed Base Charges BE'!C100</f>
        <v/>
      </c>
      <c r="D100" s="641">
        <f>+'Detailed Base Charges NL'!D100+'Detailed Base Charges BE'!D100</f>
        <v/>
      </c>
      <c r="E100" s="641">
        <f>+'Detailed Base Charges NL'!E100+'Detailed Base Charges BE'!E100</f>
        <v/>
      </c>
      <c r="F100" s="641">
        <f>+'Detailed Base Charges NL'!F100+'Detailed Base Charges BE'!F100</f>
        <v/>
      </c>
      <c r="G100" s="642">
        <f>SUM(B100:F100)</f>
        <v/>
      </c>
    </row>
    <row r="101" ht="13.2" customHeight="1" s="586">
      <c r="A101" s="669" t="inlineStr">
        <is>
          <t>ISDN 30 (CPA)</t>
        </is>
      </c>
      <c r="B101" s="641">
        <f>+'Detailed Base Charges NL'!B101+'Detailed Base Charges BE'!B101</f>
        <v/>
      </c>
      <c r="C101" s="641">
        <f>+'Detailed Base Charges NL'!C101+'Detailed Base Charges BE'!C101</f>
        <v/>
      </c>
      <c r="D101" s="641">
        <f>+'Detailed Base Charges NL'!D101+'Detailed Base Charges BE'!D101</f>
        <v/>
      </c>
      <c r="E101" s="641">
        <f>+'Detailed Base Charges NL'!E101+'Detailed Base Charges BE'!E101</f>
        <v/>
      </c>
      <c r="F101" s="641">
        <f>+'Detailed Base Charges NL'!F101+'Detailed Base Charges BE'!F101</f>
        <v/>
      </c>
      <c r="G101" s="642">
        <f>SUM(B101:F101)</f>
        <v/>
      </c>
    </row>
    <row r="102" ht="13.2" customHeight="1" s="586">
      <c r="A102" s="669" t="inlineStr">
        <is>
          <t>Dual homing telephony</t>
        </is>
      </c>
      <c r="B102" s="641">
        <f>+'Detailed Base Charges NL'!B102+'Detailed Base Charges BE'!B102</f>
        <v/>
      </c>
      <c r="C102" s="641">
        <f>+'Detailed Base Charges NL'!C102+'Detailed Base Charges BE'!C102</f>
        <v/>
      </c>
      <c r="D102" s="641">
        <f>+'Detailed Base Charges NL'!D102+'Detailed Base Charges BE'!D102</f>
        <v/>
      </c>
      <c r="E102" s="641">
        <f>+'Detailed Base Charges NL'!E102+'Detailed Base Charges BE'!E102</f>
        <v/>
      </c>
      <c r="F102" s="641">
        <f>+'Detailed Base Charges NL'!F102+'Detailed Base Charges BE'!F102</f>
        <v/>
      </c>
      <c r="G102" s="642">
        <f>SUM(B102:F102)</f>
        <v/>
      </c>
    </row>
    <row r="103" ht="13.2" customHeight="1" s="586">
      <c r="A103" s="669" t="inlineStr">
        <is>
          <t>DDI reserved numbers (10)</t>
        </is>
      </c>
      <c r="B103" s="641">
        <f>+'Detailed Base Charges NL'!B103+'Detailed Base Charges BE'!B103</f>
        <v/>
      </c>
      <c r="C103" s="641">
        <f>+'Detailed Base Charges NL'!C103+'Detailed Base Charges BE'!C103</f>
        <v/>
      </c>
      <c r="D103" s="641">
        <f>+'Detailed Base Charges NL'!D103+'Detailed Base Charges BE'!D103</f>
        <v/>
      </c>
      <c r="E103" s="641">
        <f>+'Detailed Base Charges NL'!E103+'Detailed Base Charges BE'!E103</f>
        <v/>
      </c>
      <c r="F103" s="641">
        <f>+'Detailed Base Charges NL'!F103+'Detailed Base Charges BE'!F103</f>
        <v/>
      </c>
      <c r="G103" s="642">
        <f>SUM(B103:F103)</f>
        <v/>
      </c>
    </row>
    <row r="104" ht="13.2" customHeight="1" s="586">
      <c r="A104" s="669" t="inlineStr">
        <is>
          <t>DDI reserved numbers (100)</t>
        </is>
      </c>
      <c r="B104" s="641">
        <f>+'Detailed Base Charges NL'!B104+'Detailed Base Charges BE'!B104</f>
        <v/>
      </c>
      <c r="C104" s="641">
        <f>+'Detailed Base Charges NL'!C104+'Detailed Base Charges BE'!C104</f>
        <v/>
      </c>
      <c r="D104" s="641">
        <f>+'Detailed Base Charges NL'!D104+'Detailed Base Charges BE'!D104</f>
        <v/>
      </c>
      <c r="E104" s="641">
        <f>+'Detailed Base Charges NL'!E104+'Detailed Base Charges BE'!E104</f>
        <v/>
      </c>
      <c r="F104" s="641">
        <f>+'Detailed Base Charges NL'!F104+'Detailed Base Charges BE'!F104</f>
        <v/>
      </c>
      <c r="G104" s="642">
        <f>SUM(B104:F104)</f>
        <v/>
      </c>
    </row>
    <row r="105" ht="13.2" customHeight="1" s="586">
      <c r="A105" s="669" t="inlineStr">
        <is>
          <t>DDI reserved numbers (1000)</t>
        </is>
      </c>
      <c r="B105" s="641">
        <f>+'Detailed Base Charges NL'!B105+'Detailed Base Charges BE'!B105</f>
        <v/>
      </c>
      <c r="C105" s="641">
        <f>+'Detailed Base Charges NL'!C105+'Detailed Base Charges BE'!C105</f>
        <v/>
      </c>
      <c r="D105" s="641">
        <f>+'Detailed Base Charges NL'!D105+'Detailed Base Charges BE'!D105</f>
        <v/>
      </c>
      <c r="E105" s="641">
        <f>+'Detailed Base Charges NL'!E105+'Detailed Base Charges BE'!E105</f>
        <v/>
      </c>
      <c r="F105" s="641">
        <f>+'Detailed Base Charges NL'!F105+'Detailed Base Charges BE'!F105</f>
        <v/>
      </c>
      <c r="G105" s="642">
        <f>SUM(B105:F105)</f>
        <v/>
      </c>
    </row>
    <row r="106" ht="13.2" customHeight="1" s="586">
      <c r="A106" s="669" t="inlineStr">
        <is>
          <t>DDI reserved numbers (10000)</t>
        </is>
      </c>
      <c r="B106" s="641">
        <f>+'Detailed Base Charges NL'!B106+'Detailed Base Charges BE'!B106</f>
        <v/>
      </c>
      <c r="C106" s="641">
        <f>+'Detailed Base Charges NL'!C106+'Detailed Base Charges BE'!C106</f>
        <v/>
      </c>
      <c r="D106" s="641">
        <f>+'Detailed Base Charges NL'!D106+'Detailed Base Charges BE'!D106</f>
        <v/>
      </c>
      <c r="E106" s="641">
        <f>+'Detailed Base Charges NL'!E106+'Detailed Base Charges BE'!E106</f>
        <v/>
      </c>
      <c r="F106" s="641">
        <f>+'Detailed Base Charges NL'!F106+'Detailed Base Charges BE'!F106</f>
        <v/>
      </c>
      <c r="G106" s="642">
        <f>SUM(B106:F106)</f>
        <v/>
      </c>
    </row>
    <row r="107" ht="13.2" customHeight="1" s="586">
      <c r="A107" s="669" t="inlineStr">
        <is>
          <t>DDI facilities</t>
        </is>
      </c>
      <c r="B107" s="641">
        <f>+'Detailed Base Charges NL'!B107+'Detailed Base Charges BE'!B107</f>
        <v/>
      </c>
      <c r="C107" s="641">
        <f>+'Detailed Base Charges NL'!C107+'Detailed Base Charges BE'!C107</f>
        <v/>
      </c>
      <c r="D107" s="641">
        <f>+'Detailed Base Charges NL'!D107+'Detailed Base Charges BE'!D107</f>
        <v/>
      </c>
      <c r="E107" s="641">
        <f>+'Detailed Base Charges NL'!E107+'Detailed Base Charges BE'!E107</f>
        <v/>
      </c>
      <c r="F107" s="641">
        <f>+'Detailed Base Charges NL'!F107+'Detailed Base Charges BE'!F107</f>
        <v/>
      </c>
      <c r="G107" s="642">
        <f>SUM(B107:F107)</f>
        <v/>
      </c>
    </row>
    <row r="108" ht="13.2" customHeight="1" s="586">
      <c r="A108" s="669" t="inlineStr">
        <is>
          <t>Calamity services</t>
        </is>
      </c>
      <c r="B108" s="641">
        <f>+'Detailed Base Charges NL'!B108+'Detailed Base Charges BE'!B108</f>
        <v/>
      </c>
      <c r="C108" s="641">
        <f>+'Detailed Base Charges NL'!C108+'Detailed Base Charges BE'!C108</f>
        <v/>
      </c>
      <c r="D108" s="641">
        <f>+'Detailed Base Charges NL'!D108+'Detailed Base Charges BE'!D108</f>
        <v/>
      </c>
      <c r="E108" s="641">
        <f>+'Detailed Base Charges NL'!E108+'Detailed Base Charges BE'!E108</f>
        <v/>
      </c>
      <c r="F108" s="641">
        <f>+'Detailed Base Charges NL'!F108+'Detailed Base Charges BE'!F108</f>
        <v/>
      </c>
      <c r="G108" s="642">
        <f>SUM(B108:F108)</f>
        <v/>
      </c>
    </row>
    <row r="109" ht="13.2" customHeight="1" s="586">
      <c r="A109" s="669" t="inlineStr">
        <is>
          <t>Infrastructure services</t>
        </is>
      </c>
      <c r="B109" s="641">
        <f>+'Detailed Base Charges NL'!B109+'Detailed Base Charges BE'!B109</f>
        <v/>
      </c>
      <c r="C109" s="641">
        <f>+'Detailed Base Charges NL'!C109+'Detailed Base Charges BE'!C109</f>
        <v/>
      </c>
      <c r="D109" s="641">
        <f>+'Detailed Base Charges NL'!D109+'Detailed Base Charges BE'!D109</f>
        <v/>
      </c>
      <c r="E109" s="641">
        <f>+'Detailed Base Charges NL'!E109+'Detailed Base Charges BE'!E109</f>
        <v/>
      </c>
      <c r="F109" s="641">
        <f>+'Detailed Base Charges NL'!F109+'Detailed Base Charges BE'!F109</f>
        <v/>
      </c>
      <c r="G109" s="642">
        <f>SUM(B109:F109)</f>
        <v/>
      </c>
    </row>
    <row r="110" ht="13.2" customHeight="1" s="586">
      <c r="A110" s="669" t="inlineStr">
        <is>
          <t>ADSL</t>
        </is>
      </c>
      <c r="B110" s="641">
        <f>+'Detailed Base Charges NL'!B110+'Detailed Base Charges BE'!B110</f>
        <v/>
      </c>
      <c r="C110" s="641">
        <f>+'Detailed Base Charges NL'!C110+'Detailed Base Charges BE'!C110</f>
        <v/>
      </c>
      <c r="D110" s="641">
        <f>+'Detailed Base Charges NL'!D110+'Detailed Base Charges BE'!D110</f>
        <v/>
      </c>
      <c r="E110" s="641">
        <f>+'Detailed Base Charges NL'!E110+'Detailed Base Charges BE'!E110</f>
        <v/>
      </c>
      <c r="F110" s="641">
        <f>+'Detailed Base Charges NL'!F110+'Detailed Base Charges BE'!F110</f>
        <v/>
      </c>
      <c r="G110" s="642">
        <f>SUM(B110:F110)</f>
        <v/>
      </c>
    </row>
    <row r="111" ht="13.2" customHeight="1" s="586">
      <c r="A111" s="669" t="inlineStr">
        <is>
          <t>PSTN</t>
        </is>
      </c>
      <c r="B111" s="641">
        <f>+'Detailed Base Charges NL'!B111+'Detailed Base Charges BE'!B111</f>
        <v/>
      </c>
      <c r="C111" s="641">
        <f>+'Detailed Base Charges NL'!C111+'Detailed Base Charges BE'!C111</f>
        <v/>
      </c>
      <c r="D111" s="641">
        <f>+'Detailed Base Charges NL'!D111+'Detailed Base Charges BE'!D111</f>
        <v/>
      </c>
      <c r="E111" s="641">
        <f>+'Detailed Base Charges NL'!E111+'Detailed Base Charges BE'!E111</f>
        <v/>
      </c>
      <c r="F111" s="641">
        <f>+'Detailed Base Charges NL'!F111+'Detailed Base Charges BE'!F111</f>
        <v/>
      </c>
      <c r="G111" s="642">
        <f>SUM(B111:F111)</f>
        <v/>
      </c>
    </row>
    <row r="112" ht="13.8" customHeight="1" s="586">
      <c r="A112" s="681" t="inlineStr">
        <is>
          <t>Telex</t>
        </is>
      </c>
      <c r="B112" s="682">
        <f>+'Detailed Base Charges NL'!B112+'Detailed Base Charges BE'!B112</f>
        <v/>
      </c>
      <c r="C112" s="683">
        <f>+'Detailed Base Charges NL'!C112+'Detailed Base Charges BE'!C112</f>
        <v/>
      </c>
      <c r="D112" s="683">
        <f>+'Detailed Base Charges NL'!D112+'Detailed Base Charges BE'!D112</f>
        <v/>
      </c>
      <c r="E112" s="683">
        <f>+'Detailed Base Charges NL'!E112+'Detailed Base Charges BE'!E112</f>
        <v/>
      </c>
      <c r="F112" s="683">
        <f>+'Detailed Base Charges NL'!F112+'Detailed Base Charges BE'!F112</f>
        <v/>
      </c>
      <c r="G112" s="684">
        <f>SUM(B112:F112)</f>
        <v/>
      </c>
    </row>
    <row r="113" ht="13.8" customHeight="1" s="586">
      <c r="A113" s="651" t="inlineStr">
        <is>
          <t>TOTAL VOICE SERVICES</t>
        </is>
      </c>
      <c r="B113" s="631">
        <f>SUM(B55:B112)</f>
        <v/>
      </c>
      <c r="C113" s="631">
        <f>SUM(C55:C112)</f>
        <v/>
      </c>
      <c r="D113" s="631">
        <f>SUM(D55:D112)</f>
        <v/>
      </c>
      <c r="E113" s="631">
        <f>SUM(E55:E112)</f>
        <v/>
      </c>
      <c r="F113" s="631">
        <f>SUM(F55:F112)</f>
        <v/>
      </c>
      <c r="G113" s="632">
        <f>SUM(B113:F113)</f>
        <v/>
      </c>
    </row>
    <row r="114" ht="13.8" customHeight="1" s="586">
      <c r="A114" s="633" t="inlineStr">
        <is>
          <t>Desktop Hardware Services</t>
        </is>
      </c>
      <c r="B114" s="625" t="n"/>
      <c r="C114" s="625" t="n"/>
      <c r="D114" s="625" t="n"/>
      <c r="E114" s="625" t="n"/>
      <c r="F114" s="625" t="n"/>
      <c r="G114" s="626" t="n"/>
    </row>
    <row r="115" ht="13.8" customHeight="1" s="586">
      <c r="A115" s="685" t="n"/>
      <c r="B115" s="686" t="n"/>
      <c r="C115" s="686" t="n"/>
      <c r="D115" s="686" t="n"/>
      <c r="E115" s="686" t="n"/>
      <c r="F115" s="686" t="n"/>
      <c r="G115" s="665" t="n"/>
    </row>
    <row r="116" ht="13.8" customHeight="1" s="586">
      <c r="A116" s="640" t="n"/>
      <c r="B116" s="641">
        <f>+'Detailed Base Charges NL'!B116+'Detailed Base Charges BE'!B116</f>
        <v/>
      </c>
      <c r="C116" s="641">
        <f>+'Detailed Base Charges NL'!C116+'Detailed Base Charges BE'!C116</f>
        <v/>
      </c>
      <c r="D116" s="641">
        <f>+'Detailed Base Charges NL'!D116+'Detailed Base Charges BE'!D116</f>
        <v/>
      </c>
      <c r="E116" s="641">
        <f>+'Detailed Base Charges NL'!E116+'Detailed Base Charges BE'!E116</f>
        <v/>
      </c>
      <c r="F116" s="641">
        <f>+'Detailed Base Charges NL'!F116+'Detailed Base Charges BE'!F116</f>
        <v/>
      </c>
      <c r="G116" s="642">
        <f>SUM(B116:F116)</f>
        <v/>
      </c>
    </row>
    <row r="117" ht="13.8" customHeight="1" s="586">
      <c r="A117" s="651" t="inlineStr">
        <is>
          <t>TOTAL DESKTOP HARDWARE SERVICES</t>
        </is>
      </c>
      <c r="B117" s="652">
        <f>SUM(B115:B116)</f>
        <v/>
      </c>
      <c r="C117" s="652">
        <f>SUM(C115:C116)</f>
        <v/>
      </c>
      <c r="D117" s="652">
        <f>SUM(D115:D116)</f>
        <v/>
      </c>
      <c r="E117" s="652">
        <f>SUM(E115:E116)</f>
        <v/>
      </c>
      <c r="F117" s="652">
        <f>SUM(F115:F116)</f>
        <v/>
      </c>
      <c r="G117" s="653">
        <f>SUM(B117:F117)</f>
        <v/>
      </c>
    </row>
    <row r="118" ht="13.8" customHeight="1" s="586">
      <c r="A118" s="633" t="inlineStr">
        <is>
          <t>Server Management</t>
        </is>
      </c>
      <c r="B118" s="625" t="n"/>
      <c r="C118" s="625" t="n"/>
      <c r="D118" s="625" t="n"/>
      <c r="E118" s="625" t="n"/>
      <c r="F118" s="625" t="n"/>
      <c r="G118" s="626" t="n"/>
    </row>
    <row r="119" ht="13.8" customHeight="1" s="586">
      <c r="A119" s="687" t="inlineStr">
        <is>
          <t>Support Services</t>
        </is>
      </c>
      <c r="B119" s="638" t="n"/>
      <c r="C119" s="638" t="n"/>
      <c r="D119" s="638" t="n"/>
      <c r="E119" s="638" t="n"/>
      <c r="F119" s="638" t="n"/>
      <c r="G119" s="639" t="n"/>
    </row>
    <row r="120" ht="27" customHeight="1" s="586">
      <c r="A120" s="640" t="n"/>
      <c r="B120" s="658">
        <f>+'Detailed Base Charges NL'!B120+'Detailed Base Charges BE'!B120</f>
        <v/>
      </c>
      <c r="C120" s="658">
        <f>+'Detailed Base Charges NL'!C120+'Detailed Base Charges BE'!C120</f>
        <v/>
      </c>
      <c r="D120" s="688" t="n"/>
      <c r="E120" s="688" t="n"/>
      <c r="F120" s="688" t="n"/>
      <c r="G120" s="642">
        <f>SUM(B120:F120)</f>
        <v/>
      </c>
      <c r="H120" s="649" t="inlineStr">
        <is>
          <t>Row used for PST reimbursement for use of EuroBank facilities</t>
        </is>
      </c>
    </row>
    <row r="121" ht="13.2" customHeight="1" s="586">
      <c r="A121" s="640" t="inlineStr">
        <is>
          <t>Servers</t>
        </is>
      </c>
      <c r="B121" s="641">
        <f>+'Detailed Base Charges NL'!B121+'Detailed Base Charges BE'!B121</f>
        <v/>
      </c>
      <c r="C121" s="641">
        <f>+'Detailed Base Charges NL'!C121+'Detailed Base Charges BE'!C121</f>
        <v/>
      </c>
      <c r="D121" s="641">
        <f>+'Detailed Base Charges NL'!D121+'Detailed Base Charges BE'!D121</f>
        <v/>
      </c>
      <c r="E121" s="641">
        <f>+'Detailed Base Charges NL'!E121+'Detailed Base Charges BE'!E121</f>
        <v/>
      </c>
      <c r="F121" s="641">
        <f>+'Detailed Base Charges NL'!F121+'Detailed Base Charges BE'!F121</f>
        <v/>
      </c>
      <c r="G121" s="642">
        <f>SUM(B121:F121)</f>
        <v/>
      </c>
    </row>
    <row r="122" ht="13.2" customHeight="1" s="586">
      <c r="A122" s="640" t="n"/>
      <c r="B122" s="644" t="n"/>
      <c r="C122" s="644" t="n"/>
      <c r="D122" s="644" t="n"/>
      <c r="E122" s="644" t="n"/>
      <c r="F122" s="644" t="n"/>
      <c r="G122" s="645">
        <f>SUM(B122:F122)</f>
        <v/>
      </c>
    </row>
    <row r="123" ht="13.2" customHeight="1" s="586">
      <c r="A123" s="640" t="n"/>
      <c r="B123" s="644" t="n"/>
      <c r="C123" s="644" t="n"/>
      <c r="D123" s="644" t="n"/>
      <c r="E123" s="644" t="n"/>
      <c r="F123" s="644" t="n"/>
      <c r="G123" s="645">
        <f>SUM(B123:F123)</f>
        <v/>
      </c>
    </row>
    <row r="124" ht="13.2" customHeight="1" s="586">
      <c r="A124" s="640" t="n"/>
      <c r="B124" s="644" t="n"/>
      <c r="C124" s="644" t="n"/>
      <c r="D124" s="644" t="n"/>
      <c r="E124" s="644" t="n"/>
      <c r="F124" s="644" t="n"/>
      <c r="G124" s="645">
        <f>SUM(B124:F124)</f>
        <v/>
      </c>
    </row>
    <row r="125" ht="13.2" customHeight="1" s="586">
      <c r="A125" s="640" t="n"/>
      <c r="B125" s="644" t="n"/>
      <c r="C125" s="644" t="n"/>
      <c r="D125" s="644" t="n"/>
      <c r="E125" s="644" t="n"/>
      <c r="F125" s="644" t="n"/>
      <c r="G125" s="645">
        <f>SUM(B125:F125)</f>
        <v/>
      </c>
    </row>
    <row r="126" ht="13.2" customHeight="1" s="586">
      <c r="A126" s="640" t="n"/>
      <c r="B126" s="644" t="n"/>
      <c r="C126" s="644" t="n"/>
      <c r="D126" s="644" t="n"/>
      <c r="E126" s="644" t="n"/>
      <c r="F126" s="644" t="n"/>
      <c r="G126" s="645">
        <f>SUM(B126:F126)</f>
        <v/>
      </c>
    </row>
    <row r="127" ht="13.2" customHeight="1" s="586">
      <c r="A127" s="640" t="n"/>
      <c r="B127" s="644" t="n"/>
      <c r="C127" s="644" t="n"/>
      <c r="D127" s="644" t="n"/>
      <c r="E127" s="644" t="n"/>
      <c r="F127" s="644" t="n"/>
      <c r="G127" s="645">
        <f>SUM(B127:F127)</f>
        <v/>
      </c>
    </row>
    <row r="128" ht="13.2" customHeight="1" s="586">
      <c r="A128" s="640" t="n"/>
      <c r="B128" s="644" t="n"/>
      <c r="C128" s="644" t="n"/>
      <c r="D128" s="644" t="n"/>
      <c r="E128" s="644" t="n"/>
      <c r="F128" s="644" t="n"/>
      <c r="G128" s="645">
        <f>SUM(B128:F128)</f>
        <v/>
      </c>
    </row>
    <row r="129" ht="13.2" customHeight="1" s="586">
      <c r="A129" s="640" t="n"/>
      <c r="B129" s="644" t="n"/>
      <c r="C129" s="644" t="n"/>
      <c r="D129" s="644" t="n"/>
      <c r="E129" s="644" t="n"/>
      <c r="F129" s="644" t="n"/>
      <c r="G129" s="645">
        <f>SUM(B129:F129)</f>
        <v/>
      </c>
    </row>
    <row r="130" ht="13.2" customHeight="1" s="586">
      <c r="A130" s="640" t="n"/>
      <c r="B130" s="644" t="n"/>
      <c r="C130" s="644" t="n"/>
      <c r="D130" s="644" t="n"/>
      <c r="E130" s="644" t="n"/>
      <c r="F130" s="644" t="n"/>
      <c r="G130" s="645">
        <f>SUM(B130:F130)</f>
        <v/>
      </c>
    </row>
    <row r="131" ht="13.2" customHeight="1" s="586">
      <c r="A131" s="640" t="inlineStr">
        <is>
          <t>Total DAS (TB)</t>
        </is>
      </c>
      <c r="B131" s="641">
        <f>+'Detailed Base Charges NL'!B131+'Detailed Base Charges BE'!B131</f>
        <v/>
      </c>
      <c r="C131" s="641">
        <f>+'Detailed Base Charges NL'!C131+'Detailed Base Charges BE'!C131</f>
        <v/>
      </c>
      <c r="D131" s="641">
        <f>+'Detailed Base Charges NL'!D131+'Detailed Base Charges BE'!D131</f>
        <v/>
      </c>
      <c r="E131" s="641">
        <f>+'Detailed Base Charges NL'!E131+'Detailed Base Charges BE'!E131</f>
        <v/>
      </c>
      <c r="F131" s="641">
        <f>+'Detailed Base Charges NL'!F131+'Detailed Base Charges BE'!F131</f>
        <v/>
      </c>
      <c r="G131" s="642">
        <f>SUM(B131:F131)</f>
        <v/>
      </c>
    </row>
    <row r="132" ht="13.8" customHeight="1" s="586">
      <c r="A132" s="640" t="inlineStr">
        <is>
          <t>E-mail Accounts</t>
        </is>
      </c>
      <c r="B132" s="641">
        <f>+'Detailed Base Charges NL'!B132+'Detailed Base Charges BE'!B132</f>
        <v/>
      </c>
      <c r="C132" s="641">
        <f>+'Detailed Base Charges NL'!C132+'Detailed Base Charges BE'!C132</f>
        <v/>
      </c>
      <c r="D132" s="641">
        <f>+'Detailed Base Charges NL'!D132+'Detailed Base Charges BE'!D132</f>
        <v/>
      </c>
      <c r="E132" s="641">
        <f>+'Detailed Base Charges NL'!E132+'Detailed Base Charges BE'!E132</f>
        <v/>
      </c>
      <c r="F132" s="641">
        <f>+'Detailed Base Charges NL'!F132+'Detailed Base Charges BE'!F132</f>
        <v/>
      </c>
      <c r="G132" s="642">
        <f>SUM(B132:F132)</f>
        <v/>
      </c>
    </row>
    <row r="133" ht="13.8" customHeight="1" s="586">
      <c r="A133" s="651" t="inlineStr">
        <is>
          <t>TOTAL SERVER MANAGEMENT</t>
        </is>
      </c>
      <c r="B133" s="652">
        <f>SUM(B120:B132)</f>
        <v/>
      </c>
      <c r="C133" s="652">
        <f>SUM(C120:C132)</f>
        <v/>
      </c>
      <c r="D133" s="652">
        <f>SUM(D120:D132)</f>
        <v/>
      </c>
      <c r="E133" s="652">
        <f>SUM(E120:E132)</f>
        <v/>
      </c>
      <c r="F133" s="652">
        <f>SUM(F120:F132)</f>
        <v/>
      </c>
      <c r="G133" s="653">
        <f>SUM(B133:F133)</f>
        <v/>
      </c>
    </row>
    <row r="134" ht="13.8" customHeight="1" s="586">
      <c r="A134" s="633" t="inlineStr">
        <is>
          <t>2IM Services</t>
        </is>
      </c>
      <c r="B134" s="625" t="n"/>
      <c r="C134" s="625" t="n"/>
      <c r="D134" s="625" t="n"/>
      <c r="E134" s="625" t="n"/>
      <c r="F134" s="625" t="n"/>
      <c r="G134" s="626" t="n"/>
    </row>
    <row r="135" ht="13.8" customHeight="1" s="586">
      <c r="A135" s="685" t="n"/>
      <c r="B135" s="686" t="n"/>
      <c r="C135" s="686" t="n"/>
      <c r="D135" s="686" t="n"/>
      <c r="E135" s="686" t="n"/>
      <c r="F135" s="686" t="n"/>
      <c r="G135" s="665" t="n"/>
    </row>
    <row r="136" ht="13.8" customHeight="1" s="586">
      <c r="A136" s="640" t="inlineStr">
        <is>
          <t>FTEs</t>
        </is>
      </c>
      <c r="B136" s="641">
        <f>+'Detailed Base Charges NL'!B136+'Detailed Base Charges BE'!B136</f>
        <v/>
      </c>
      <c r="C136" s="641">
        <f>+'Detailed Base Charges NL'!C136+'Detailed Base Charges BE'!C136</f>
        <v/>
      </c>
      <c r="D136" s="641">
        <f>+'Detailed Base Charges NL'!D136+'Detailed Base Charges BE'!D136</f>
        <v/>
      </c>
      <c r="E136" s="641">
        <f>+'Detailed Base Charges NL'!E136+'Detailed Base Charges BE'!E136</f>
        <v/>
      </c>
      <c r="F136" s="641">
        <f>+'Detailed Base Charges NL'!F136+'Detailed Base Charges BE'!F136</f>
        <v/>
      </c>
      <c r="G136" s="642">
        <f>SUM(B136:F136)</f>
        <v/>
      </c>
    </row>
    <row r="137" ht="13.8" customHeight="1" s="586">
      <c r="A137" s="651" t="inlineStr">
        <is>
          <t>TOTAL 2IM SERVICES</t>
        </is>
      </c>
      <c r="B137" s="652">
        <f>SUM(B135:B136)</f>
        <v/>
      </c>
      <c r="C137" s="652">
        <f>SUM(C135:C136)</f>
        <v/>
      </c>
      <c r="D137" s="652">
        <f>SUM(D135:D136)</f>
        <v/>
      </c>
      <c r="E137" s="652">
        <f>SUM(E135:E136)</f>
        <v/>
      </c>
      <c r="F137" s="652">
        <f>SUM(F135:F136)</f>
        <v/>
      </c>
      <c r="G137" s="653">
        <f>SUM(B137:F137)</f>
        <v/>
      </c>
    </row>
  </sheetData>
  <mergeCells count="7">
    <mergeCell ref="A118:G118"/>
    <mergeCell ref="A114:G114"/>
    <mergeCell ref="A2:G2"/>
    <mergeCell ref="A54:G54"/>
    <mergeCell ref="A134:G134"/>
    <mergeCell ref="A47:G47"/>
    <mergeCell ref="A37:G37"/>
  </mergeCells>
  <printOptions horizontalCentered="1" verticalCentered="0" headings="0" gridLines="0" gridLinesSet="1"/>
  <pageMargins left="1" right="1" top="0.779861111111111" bottom="0.529861111111111" header="0.25" footer="0.25"/>
  <pageSetup orientation="landscape" paperSize="9" scale="67"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R137"/>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47.23" customWidth="1" style="590" min="1" max="1"/>
    <col width="10.8" customWidth="1" style="590" min="2" max="6"/>
    <col width="11.7" customWidth="1" style="591" min="7" max="7"/>
    <col width="28.52" customWidth="1" style="590" min="8" max="8"/>
    <col width="11.5" customWidth="1" style="590" min="9" max="9"/>
    <col width="10.8" customWidth="1" style="590" min="10" max="10"/>
    <col width="8.4" customWidth="1" style="590" min="11" max="257"/>
  </cols>
  <sheetData>
    <row r="1" ht="19.5" customHeight="1" s="586">
      <c r="A1" s="630" t="inlineStr">
        <is>
          <t>Detailed Base Charges - Netherlands</t>
        </is>
      </c>
      <c r="B1" s="689" t="inlineStr">
        <is>
          <t>Year 1</t>
        </is>
      </c>
      <c r="C1" s="689" t="inlineStr">
        <is>
          <t>Year 2</t>
        </is>
      </c>
      <c r="D1" s="689" t="inlineStr">
        <is>
          <t>Year 3</t>
        </is>
      </c>
      <c r="E1" s="689" t="inlineStr">
        <is>
          <t>Year 4</t>
        </is>
      </c>
      <c r="F1" s="689" t="inlineStr">
        <is>
          <t>Year 5</t>
        </is>
      </c>
      <c r="G1" s="690" t="inlineStr">
        <is>
          <t>Total 5 Yr</t>
        </is>
      </c>
    </row>
    <row r="2" ht="13.8" customHeight="1" s="586">
      <c r="A2" s="633" t="inlineStr">
        <is>
          <t>EUC</t>
        </is>
      </c>
      <c r="B2" s="625" t="n"/>
      <c r="C2" s="625" t="n"/>
      <c r="D2" s="625" t="n"/>
      <c r="E2" s="625" t="n"/>
      <c r="F2" s="625" t="n"/>
      <c r="G2" s="626" t="n"/>
    </row>
    <row r="3" ht="13.8" customHeight="1" s="586">
      <c r="A3" s="634" t="inlineStr">
        <is>
          <t>Support Services</t>
        </is>
      </c>
      <c r="B3" s="691" t="n"/>
      <c r="C3" s="691" t="n"/>
      <c r="D3" s="691" t="n"/>
      <c r="E3" s="691" t="n"/>
      <c r="F3" s="691" t="n"/>
      <c r="G3" s="692" t="n"/>
    </row>
    <row r="4" ht="13.2" customHeight="1" s="586">
      <c r="A4" s="637" t="inlineStr">
        <is>
          <t xml:space="preserve">Medium Service Level </t>
        </is>
      </c>
      <c r="B4" s="693" t="n"/>
      <c r="C4" s="693" t="n"/>
      <c r="D4" s="693" t="n"/>
      <c r="E4" s="693" t="n"/>
      <c r="F4" s="693" t="n"/>
      <c r="G4" s="694" t="n"/>
    </row>
    <row r="5" ht="13.2" customHeight="1" s="586">
      <c r="A5" s="640" t="inlineStr">
        <is>
          <t>Standard Desktops (CEDS)</t>
        </is>
      </c>
      <c r="B5" s="695" t="n">
        <v>2686580.33191619</v>
      </c>
      <c r="C5" s="695" t="n">
        <v>2431515.85880778</v>
      </c>
      <c r="D5" s="695" t="n">
        <v>2256759.45555473</v>
      </c>
      <c r="E5" s="695" t="n">
        <v>2145688.68580619</v>
      </c>
      <c r="F5" s="695" t="n">
        <v>2066172.95014804</v>
      </c>
      <c r="G5" s="642">
        <f>SUM(B5:F5)</f>
        <v/>
      </c>
      <c r="H5" s="643" t="n"/>
    </row>
    <row r="6" ht="13.2" customHeight="1" s="586">
      <c r="A6" s="640" t="inlineStr">
        <is>
          <t>Non-Standard Desktops (non CEDS)</t>
        </is>
      </c>
      <c r="B6" s="695" t="n">
        <v>28967.1867708601</v>
      </c>
      <c r="C6" s="695" t="n">
        <v>26495.483558814</v>
      </c>
      <c r="D6" s="695" t="n">
        <v>24910.4210163025</v>
      </c>
      <c r="E6" s="695" t="n">
        <v>23855.4694242286</v>
      </c>
      <c r="F6" s="695" t="n">
        <v>23124.2630899736</v>
      </c>
      <c r="G6" s="642">
        <f>SUM(B6:F6)</f>
        <v/>
      </c>
      <c r="H6" s="643" t="n"/>
    </row>
    <row r="7" ht="13.2" customHeight="1" s="586">
      <c r="A7" s="640" t="inlineStr">
        <is>
          <t>Standard Laptops (CEDS)</t>
        </is>
      </c>
      <c r="B7" s="695" t="n">
        <v>738801.516199793</v>
      </c>
      <c r="C7" s="695" t="n">
        <v>681619.425542642</v>
      </c>
      <c r="D7" s="695" t="n">
        <v>647554.6497296561</v>
      </c>
      <c r="E7" s="695" t="n">
        <v>625277.616793575</v>
      </c>
      <c r="F7" s="695" t="n">
        <v>608398.362373311</v>
      </c>
      <c r="G7" s="642">
        <f>SUM(B7:F7)</f>
        <v/>
      </c>
      <c r="H7" s="643" t="n"/>
    </row>
    <row r="8" ht="13.2" customHeight="1" s="586">
      <c r="A8" s="640" t="inlineStr">
        <is>
          <t>Non-Standard Laptops (non CEDS)</t>
        </is>
      </c>
      <c r="B8" s="696" t="n"/>
      <c r="C8" s="696" t="n"/>
      <c r="D8" s="696" t="n"/>
      <c r="E8" s="696" t="n"/>
      <c r="F8" s="696" t="n"/>
      <c r="G8" s="645">
        <f>SUM(B8:F8)</f>
        <v/>
      </c>
      <c r="H8" s="643" t="n"/>
    </row>
    <row r="9" ht="13.2" customHeight="1" s="586">
      <c r="A9" s="640" t="inlineStr">
        <is>
          <t>Standard Local Printers</t>
        </is>
      </c>
      <c r="B9" s="695" t="n">
        <v>325875.736781783</v>
      </c>
      <c r="C9" s="695" t="n">
        <v>320921.911003758</v>
      </c>
      <c r="D9" s="695" t="n">
        <v>327682.862056574</v>
      </c>
      <c r="E9" s="695" t="n">
        <v>328432.651329778</v>
      </c>
      <c r="F9" s="695" t="n">
        <v>330064.728968775</v>
      </c>
      <c r="G9" s="642">
        <f>SUM(B9:F9)</f>
        <v/>
      </c>
      <c r="H9" s="643" t="n"/>
    </row>
    <row r="10" ht="13.2" customHeight="1" s="586">
      <c r="A10" s="640" t="inlineStr">
        <is>
          <t>Non-Standard Local Printers</t>
        </is>
      </c>
      <c r="B10" s="696" t="n"/>
      <c r="C10" s="696" t="n"/>
      <c r="D10" s="696" t="n"/>
      <c r="E10" s="696" t="n"/>
      <c r="F10" s="696" t="n"/>
      <c r="G10" s="645">
        <f>SUM(B10:F10)</f>
        <v/>
      </c>
      <c r="H10" s="643" t="n"/>
    </row>
    <row r="11" ht="13.2" customHeight="1" s="586">
      <c r="A11" s="640" t="inlineStr">
        <is>
          <t>Standard Network Printers</t>
        </is>
      </c>
      <c r="B11" s="696" t="n"/>
      <c r="C11" s="696" t="n"/>
      <c r="D11" s="696" t="n"/>
      <c r="E11" s="696" t="n"/>
      <c r="F11" s="696" t="n"/>
      <c r="G11" s="645">
        <f>SUM(B11:F11)</f>
        <v/>
      </c>
      <c r="H11" s="643" t="n"/>
    </row>
    <row r="12" ht="13.2" customHeight="1" s="586">
      <c r="A12" s="640" t="inlineStr">
        <is>
          <t>Non-Standard Network Printers</t>
        </is>
      </c>
      <c r="B12" s="696" t="n"/>
      <c r="C12" s="696" t="n"/>
      <c r="D12" s="696" t="n"/>
      <c r="E12" s="696" t="n"/>
      <c r="F12" s="696" t="n"/>
      <c r="G12" s="645">
        <f>SUM(B12:F12)</f>
        <v/>
      </c>
      <c r="H12" s="643" t="n"/>
    </row>
    <row r="13" ht="13.2" customHeight="1" s="586">
      <c r="A13" s="640" t="inlineStr">
        <is>
          <t>Other Peripherals</t>
        </is>
      </c>
      <c r="B13" s="696" t="n"/>
      <c r="C13" s="696" t="n"/>
      <c r="D13" s="696" t="n"/>
      <c r="E13" s="696" t="n"/>
      <c r="F13" s="696" t="n"/>
      <c r="G13" s="645">
        <f>SUM(B13:F13)</f>
        <v/>
      </c>
      <c r="H13" s="643" t="n"/>
    </row>
    <row r="14" ht="13.2" customHeight="1" s="586">
      <c r="A14" s="640" t="inlineStr">
        <is>
          <t>Dealing room support</t>
        </is>
      </c>
      <c r="B14" s="695">
        <f>6*90000</f>
        <v/>
      </c>
      <c r="C14" s="695">
        <f>6*90000</f>
        <v/>
      </c>
      <c r="D14" s="695">
        <f>6*90000</f>
        <v/>
      </c>
      <c r="E14" s="695">
        <f>6*90000</f>
        <v/>
      </c>
      <c r="F14" s="695">
        <f>6*90000</f>
        <v/>
      </c>
      <c r="G14" s="642">
        <f>SUM(B14:F14)</f>
        <v/>
      </c>
      <c r="H14" s="643" t="n"/>
    </row>
    <row r="15" ht="13.2" customHeight="1" s="586">
      <c r="A15" s="640" t="inlineStr">
        <is>
          <t>Installations</t>
        </is>
      </c>
      <c r="B15" s="695" t="n">
        <v>424279.592019113</v>
      </c>
      <c r="C15" s="695" t="n">
        <v>328394.49172712</v>
      </c>
      <c r="D15" s="695" t="n">
        <v>336723.17703882</v>
      </c>
      <c r="E15" s="695" t="n">
        <v>336713.609833761</v>
      </c>
      <c r="F15" s="695" t="n">
        <v>339817.949421729</v>
      </c>
      <c r="G15" s="642">
        <f>SUM(B15:F15)</f>
        <v/>
      </c>
      <c r="H15" s="643" t="n"/>
    </row>
    <row r="16" ht="13.2" customHeight="1" s="586">
      <c r="A16" s="640" t="inlineStr">
        <is>
          <t>Moves</t>
        </is>
      </c>
      <c r="B16" s="695" t="n">
        <v>118251.379633984</v>
      </c>
      <c r="C16" s="695" t="n">
        <v>119512.421909772</v>
      </c>
      <c r="D16" s="695" t="n">
        <v>125117.566014294</v>
      </c>
      <c r="E16" s="695" t="n">
        <v>123696.24268231</v>
      </c>
      <c r="F16" s="695" t="n">
        <v>127443.810988598</v>
      </c>
      <c r="G16" s="642">
        <f>SUM(B16:F16)</f>
        <v/>
      </c>
      <c r="H16" s="643" t="n"/>
    </row>
    <row r="17" ht="13.2" customHeight="1" s="586">
      <c r="A17" s="640" t="inlineStr">
        <is>
          <t>Adds</t>
        </is>
      </c>
      <c r="B17" s="695" t="n">
        <v>35204.5721435368</v>
      </c>
      <c r="C17" s="695" t="n">
        <v>34780.9565455721</v>
      </c>
      <c r="D17" s="695" t="n">
        <v>35626.2925374425</v>
      </c>
      <c r="E17" s="695" t="n">
        <v>35645.5341336865</v>
      </c>
      <c r="F17" s="695" t="n">
        <v>35936.924064482</v>
      </c>
      <c r="G17" s="642">
        <f>SUM(B17:F17)</f>
        <v/>
      </c>
      <c r="H17" s="643" t="n"/>
    </row>
    <row r="18" ht="13.2" customHeight="1" s="586">
      <c r="A18" s="640" t="inlineStr">
        <is>
          <t xml:space="preserve">Changes </t>
        </is>
      </c>
      <c r="B18" s="695" t="n">
        <v>41387.9828718943</v>
      </c>
      <c r="C18" s="695" t="n">
        <v>41829.3476684201</v>
      </c>
      <c r="D18" s="695" t="n">
        <v>43791.148105003</v>
      </c>
      <c r="E18" s="695" t="n">
        <v>43293.6849388085</v>
      </c>
      <c r="F18" s="695" t="n">
        <v>44605.3338460093</v>
      </c>
      <c r="G18" s="642">
        <f>SUM(B18:F18)</f>
        <v/>
      </c>
      <c r="H18" s="643" t="n"/>
    </row>
    <row r="19" ht="13.2" customHeight="1" s="586">
      <c r="A19" s="637" t="inlineStr">
        <is>
          <t xml:space="preserve">Low Service Level </t>
        </is>
      </c>
      <c r="B19" s="697" t="n"/>
      <c r="C19" s="697" t="n"/>
      <c r="D19" s="697" t="n"/>
      <c r="E19" s="697" t="n"/>
      <c r="F19" s="697" t="n"/>
      <c r="G19" s="698" t="n"/>
      <c r="H19" s="643" t="n"/>
    </row>
    <row r="20" ht="13.2" customHeight="1" s="586">
      <c r="A20" s="640" t="inlineStr">
        <is>
          <t>Standard Desktops</t>
        </is>
      </c>
      <c r="B20" s="695" t="n">
        <v>7469082.89338465</v>
      </c>
      <c r="C20" s="695" t="n">
        <v>6721280.05527785</v>
      </c>
      <c r="D20" s="695" t="n">
        <v>6194069.43846634</v>
      </c>
      <c r="E20" s="695" t="n">
        <v>5870452.48539962</v>
      </c>
      <c r="F20" s="695" t="n">
        <v>5629150.60465334</v>
      </c>
      <c r="G20" s="642">
        <f>SUM(B20:F20)</f>
        <v/>
      </c>
      <c r="H20" s="643" t="n"/>
      <c r="I20" s="699" t="n"/>
    </row>
    <row r="21" ht="13.2" customHeight="1" s="586">
      <c r="A21" s="640" t="inlineStr">
        <is>
          <t>Non-Standard Desktops</t>
        </is>
      </c>
      <c r="B21" s="695" t="n">
        <v>136694.525733647</v>
      </c>
      <c r="C21" s="695" t="n">
        <v>124335.464672764</v>
      </c>
      <c r="D21" s="695" t="n">
        <v>116113.149804204</v>
      </c>
      <c r="E21" s="695" t="n">
        <v>110888.481624937</v>
      </c>
      <c r="F21" s="695" t="n">
        <v>107063.438948115</v>
      </c>
      <c r="G21" s="642">
        <f>SUM(B21:F21)</f>
        <v/>
      </c>
      <c r="H21" s="643" t="n"/>
      <c r="I21" s="699" t="n"/>
    </row>
    <row r="22" ht="13.2" customHeight="1" s="586">
      <c r="A22" s="640" t="inlineStr">
        <is>
          <t>Standard Laptops</t>
        </is>
      </c>
      <c r="B22" s="695" t="n">
        <v>712664.629157728</v>
      </c>
      <c r="C22" s="695" t="n">
        <v>654316.345916361</v>
      </c>
      <c r="D22" s="695" t="n">
        <v>618046.1975272479</v>
      </c>
      <c r="E22" s="695" t="n">
        <v>595316.7585622791</v>
      </c>
      <c r="F22" s="695" t="n">
        <v>577376.465988469</v>
      </c>
      <c r="G22" s="642">
        <f>SUM(B22:F22)</f>
        <v/>
      </c>
      <c r="H22" s="643" t="n"/>
      <c r="I22" s="699" t="n"/>
    </row>
    <row r="23" ht="13.2" customHeight="1" s="586">
      <c r="A23" s="640" t="inlineStr">
        <is>
          <t>Non-Standard Laptops</t>
        </is>
      </c>
      <c r="B23" s="695" t="n">
        <v>38985.3824877557</v>
      </c>
      <c r="C23" s="695" t="n">
        <v>36254.5382848203</v>
      </c>
      <c r="D23" s="695" t="n">
        <v>34767.2215320118</v>
      </c>
      <c r="E23" s="695" t="n">
        <v>33794.4762653382</v>
      </c>
      <c r="F23" s="695" t="n">
        <v>33003.2178664491</v>
      </c>
      <c r="G23" s="642">
        <f>SUM(B23:F23)</f>
        <v/>
      </c>
      <c r="H23" s="643" t="n"/>
      <c r="I23" s="699" t="n"/>
    </row>
    <row r="24" ht="13.2" customHeight="1" s="586">
      <c r="A24" s="640" t="inlineStr">
        <is>
          <t>Standard Local Printers</t>
        </is>
      </c>
      <c r="B24" s="695" t="n">
        <v>71349.6111731549</v>
      </c>
      <c r="C24" s="695" t="n">
        <v>70209.2278936131</v>
      </c>
      <c r="D24" s="695" t="n">
        <v>71632.0656344602</v>
      </c>
      <c r="E24" s="695" t="n">
        <v>71827.0991985664</v>
      </c>
      <c r="F24" s="695" t="n">
        <v>72126.9192296195</v>
      </c>
      <c r="G24" s="642">
        <f>SUM(B24:F24)</f>
        <v/>
      </c>
      <c r="H24" s="643" t="n"/>
      <c r="I24" s="699" t="n"/>
    </row>
    <row r="25" ht="13.2" customHeight="1" s="586">
      <c r="A25" s="640" t="inlineStr">
        <is>
          <t>Non-Standard Local Printers</t>
        </is>
      </c>
      <c r="B25" s="695" t="n">
        <v>102905.808740553</v>
      </c>
      <c r="C25" s="695" t="n">
        <v>101425.880955974</v>
      </c>
      <c r="D25" s="695" t="n">
        <v>103647.842941873</v>
      </c>
      <c r="E25" s="695" t="n">
        <v>103837.884002559</v>
      </c>
      <c r="F25" s="695" t="n">
        <v>104440.3362593</v>
      </c>
      <c r="G25" s="642">
        <f>SUM(B25:F25)</f>
        <v/>
      </c>
      <c r="H25" s="643" t="n"/>
      <c r="I25" s="699" t="n"/>
    </row>
    <row r="26" ht="13.2" customHeight="1" s="586">
      <c r="A26" s="640" t="inlineStr">
        <is>
          <t>Standard Network Printers</t>
        </is>
      </c>
      <c r="B26" s="695" t="n">
        <v>588318.439830056</v>
      </c>
      <c r="C26" s="695" t="n">
        <v>562295.51530671</v>
      </c>
      <c r="D26" s="695" t="n">
        <v>546416.316033789</v>
      </c>
      <c r="E26" s="695" t="n">
        <v>547568.264438152</v>
      </c>
      <c r="F26" s="695" t="n">
        <v>547772.77703824</v>
      </c>
      <c r="G26" s="642">
        <f>SUM(B26:F26)</f>
        <v/>
      </c>
      <c r="H26" s="643" t="n"/>
      <c r="I26" s="699" t="n"/>
    </row>
    <row r="27" ht="13.2" customHeight="1" s="586">
      <c r="A27" s="640" t="inlineStr">
        <is>
          <t>Non-Standard Network Printers</t>
        </is>
      </c>
      <c r="B27" s="695" t="n">
        <v>113376.083901203</v>
      </c>
      <c r="C27" s="695" t="n">
        <v>110208.760401381</v>
      </c>
      <c r="D27" s="695" t="n">
        <v>110362.513308374</v>
      </c>
      <c r="E27" s="695" t="n">
        <v>110768.172028462</v>
      </c>
      <c r="F27" s="695" t="n">
        <v>110854.876243969</v>
      </c>
      <c r="G27" s="642">
        <f>SUM(B27:F27)</f>
        <v/>
      </c>
      <c r="H27" s="643" t="n"/>
      <c r="I27" s="699" t="n"/>
    </row>
    <row r="28" ht="13.2" customHeight="1" s="586">
      <c r="A28" s="640" t="inlineStr">
        <is>
          <t xml:space="preserve">Other Peripherals </t>
        </is>
      </c>
      <c r="B28" s="695" t="n">
        <v>280600.138099191</v>
      </c>
      <c r="C28" s="695" t="n">
        <v>274818.764475648</v>
      </c>
      <c r="D28" s="695" t="n">
        <v>279078.419721896</v>
      </c>
      <c r="E28" s="695" t="n">
        <v>280563.254214577</v>
      </c>
      <c r="F28" s="695" t="n">
        <v>280404.856662413</v>
      </c>
      <c r="G28" s="642">
        <f>SUM(B28:F28)</f>
        <v/>
      </c>
      <c r="H28" s="643" t="n"/>
      <c r="I28" s="699" t="n"/>
    </row>
    <row r="29" ht="12.75" customHeight="1" s="586">
      <c r="A29" s="640" t="inlineStr">
        <is>
          <t>UAS POOL</t>
        </is>
      </c>
      <c r="B29" s="695" t="n">
        <v>3750000</v>
      </c>
      <c r="C29" s="695" t="n">
        <v>3750000</v>
      </c>
      <c r="D29" s="695" t="n">
        <v>3750000</v>
      </c>
      <c r="E29" s="695" t="n">
        <v>3750000</v>
      </c>
      <c r="F29" s="695" t="n">
        <v>3750000</v>
      </c>
      <c r="G29" s="642">
        <f>SUM(B29:F29)</f>
        <v/>
      </c>
      <c r="H29" s="643" t="n"/>
      <c r="I29" s="699" t="n"/>
    </row>
    <row r="30" ht="13.2" customHeight="1" s="586">
      <c r="A30" s="640" t="inlineStr">
        <is>
          <t>Installations</t>
        </is>
      </c>
      <c r="B30" s="695" t="n">
        <v>397668.184577022</v>
      </c>
      <c r="C30" s="695" t="n">
        <v>402766.571037218</v>
      </c>
      <c r="D30" s="695" t="n">
        <v>407892.634452483</v>
      </c>
      <c r="E30" s="695" t="n">
        <v>405053.169987467</v>
      </c>
      <c r="F30" s="695" t="n">
        <v>410256.977767041</v>
      </c>
      <c r="G30" s="642">
        <f>SUM(B30:F30)</f>
        <v/>
      </c>
      <c r="H30" s="643" t="n"/>
      <c r="I30" s="699" t="n"/>
    </row>
    <row r="31" ht="13.2" customHeight="1" s="586">
      <c r="A31" s="640" t="inlineStr">
        <is>
          <t>Moves</t>
        </is>
      </c>
      <c r="B31" s="695" t="n">
        <v>500734.384483513</v>
      </c>
      <c r="C31" s="695" t="n">
        <v>518260.087940436</v>
      </c>
      <c r="D31" s="695" t="n">
        <v>535880.930930411</v>
      </c>
      <c r="E31" s="695" t="n">
        <v>526120.271831918</v>
      </c>
      <c r="F31" s="695" t="n">
        <v>544008.361074204</v>
      </c>
      <c r="G31" s="642">
        <f>SUM(B31:F31)</f>
        <v/>
      </c>
      <c r="H31" s="643" t="n"/>
      <c r="I31" s="699" t="n"/>
    </row>
    <row r="32" ht="13.2" customHeight="1" s="586">
      <c r="A32" s="640" t="inlineStr">
        <is>
          <t>Adds</t>
        </is>
      </c>
      <c r="B32" s="696" t="n"/>
      <c r="C32" s="696" t="n"/>
      <c r="D32" s="696" t="n"/>
      <c r="E32" s="696" t="n"/>
      <c r="F32" s="696" t="n"/>
      <c r="G32" s="645">
        <f>SUM(B32:F32)</f>
        <v/>
      </c>
      <c r="H32" s="643" t="n"/>
      <c r="I32" s="699" t="n"/>
    </row>
    <row r="33" ht="13.2" customHeight="1" s="586">
      <c r="A33" s="640" t="inlineStr">
        <is>
          <t xml:space="preserve">Changes </t>
        </is>
      </c>
      <c r="B33" s="695" t="n">
        <v>141116.05380899</v>
      </c>
      <c r="C33" s="695" t="n">
        <v>146055.115692305</v>
      </c>
      <c r="D33" s="695" t="n">
        <v>151020.989625843</v>
      </c>
      <c r="E33" s="695" t="n">
        <v>148270.258425359</v>
      </c>
      <c r="F33" s="695" t="n">
        <v>153311.447211821</v>
      </c>
      <c r="G33" s="642">
        <f>SUM(B33:F33)</f>
        <v/>
      </c>
      <c r="H33" s="643" t="n"/>
      <c r="I33" s="699" t="n"/>
    </row>
    <row r="34" ht="36.75" customHeight="1" s="586">
      <c r="A34" s="648" t="inlineStr">
        <is>
          <t>Packaging &amp; Distribution</t>
        </is>
      </c>
      <c r="B34" s="695">
        <f>SUM(Facilities!D44,Facilities!D46,Facilities!D48)</f>
        <v/>
      </c>
      <c r="C34" s="695">
        <f>SUM(Facilities!E44,Facilities!E46,Facilities!E48)</f>
        <v/>
      </c>
      <c r="D34" s="695" t="n"/>
      <c r="E34" s="695" t="n"/>
      <c r="F34" s="695" t="n"/>
      <c r="G34" s="642">
        <f>SUM(B34:F34)</f>
        <v/>
      </c>
      <c r="H34" s="649" t="inlineStr">
        <is>
          <t>Row used for PST reimbursement for use of EuroBank facilities</t>
        </is>
      </c>
    </row>
    <row r="35" ht="13.8" customHeight="1" s="586">
      <c r="A35" s="650" t="inlineStr">
        <is>
          <t xml:space="preserve">Packaging </t>
        </is>
      </c>
      <c r="B35" s="695" t="n">
        <v>922016.770886725</v>
      </c>
      <c r="C35" s="695" t="n">
        <v>921891.979274611</v>
      </c>
      <c r="D35" s="695" t="n">
        <v>917027.316062176</v>
      </c>
      <c r="E35" s="695" t="n">
        <v>912162.652849741</v>
      </c>
      <c r="F35" s="695" t="n">
        <v>920481.654715026</v>
      </c>
      <c r="G35" s="642">
        <f>SUM(B35:F35)</f>
        <v/>
      </c>
      <c r="H35" s="643" t="n"/>
    </row>
    <row r="36" ht="13.8" customHeight="1" s="586">
      <c r="A36" s="651" t="inlineStr">
        <is>
          <t>TOTAL EUC</t>
        </is>
      </c>
      <c r="B36" s="700">
        <f>SUM(B5:B35)</f>
        <v/>
      </c>
      <c r="C36" s="700">
        <f>SUM(C5:C35)</f>
        <v/>
      </c>
      <c r="D36" s="700">
        <f>SUM(D5:D35)</f>
        <v/>
      </c>
      <c r="E36" s="700">
        <f>SUM(E5:E35)</f>
        <v/>
      </c>
      <c r="F36" s="700">
        <f>SUM(F5:F35)</f>
        <v/>
      </c>
      <c r="G36" s="701">
        <f>SUM(B36:F36)</f>
        <v/>
      </c>
    </row>
    <row r="37" ht="13.8" customHeight="1" s="586">
      <c r="A37" s="633" t="inlineStr">
        <is>
          <t>Service Desk</t>
        </is>
      </c>
      <c r="B37" s="625" t="n"/>
      <c r="C37" s="625" t="n"/>
      <c r="D37" s="625" t="n"/>
      <c r="E37" s="625" t="n"/>
      <c r="F37" s="625" t="n"/>
      <c r="G37" s="626" t="n"/>
    </row>
    <row r="38" ht="13.2" customHeight="1" s="586">
      <c r="A38" s="654" t="inlineStr">
        <is>
          <t xml:space="preserve">Seats </t>
        </is>
      </c>
      <c r="B38" s="702" t="n">
        <v>7602704.54479214</v>
      </c>
      <c r="C38" s="702" t="n">
        <v>7303292.90597924</v>
      </c>
      <c r="D38" s="702" t="n">
        <v>5662512.32880884</v>
      </c>
      <c r="E38" s="702" t="n">
        <v>4262523.44789369</v>
      </c>
      <c r="F38" s="702" t="n">
        <v>3863518.24184613</v>
      </c>
      <c r="G38" s="703">
        <f>SUM(B38:F38)</f>
        <v/>
      </c>
    </row>
    <row r="39" ht="13.2" customHeight="1" s="586">
      <c r="A39" s="657" t="n"/>
      <c r="B39" s="704" t="n"/>
      <c r="C39" s="704" t="n"/>
      <c r="D39" s="704" t="n"/>
      <c r="E39" s="704" t="n"/>
      <c r="F39" s="704" t="n"/>
      <c r="G39" s="705">
        <f>SUM(B39:F39)</f>
        <v/>
      </c>
    </row>
    <row r="40" ht="13.2" customHeight="1" s="586">
      <c r="A40" s="660" t="n"/>
      <c r="B40" s="704" t="n"/>
      <c r="C40" s="704" t="n"/>
      <c r="D40" s="704" t="n"/>
      <c r="E40" s="704" t="n"/>
      <c r="F40" s="704" t="n"/>
      <c r="G40" s="705">
        <f>SUM(B40:F40)</f>
        <v/>
      </c>
    </row>
    <row r="41" ht="13.2" customHeight="1" s="586">
      <c r="A41" s="661" t="n"/>
      <c r="B41" s="704" t="n"/>
      <c r="C41" s="704" t="n"/>
      <c r="D41" s="704" t="n"/>
      <c r="E41" s="704" t="n"/>
      <c r="F41" s="704" t="n"/>
      <c r="G41" s="705">
        <f>SUM(B41:F41)</f>
        <v/>
      </c>
    </row>
    <row r="42" ht="13.2" customHeight="1" s="586">
      <c r="A42" s="660" t="n"/>
      <c r="B42" s="704" t="n"/>
      <c r="C42" s="704" t="n"/>
      <c r="D42" s="704" t="n"/>
      <c r="E42" s="704" t="n"/>
      <c r="F42" s="704" t="n"/>
      <c r="G42" s="705">
        <f>SUM(B42:F42)</f>
        <v/>
      </c>
      <c r="H42" s="643" t="n"/>
    </row>
    <row r="43" ht="13.2" customHeight="1" s="586">
      <c r="A43" s="660" t="n"/>
      <c r="B43" s="704" t="n"/>
      <c r="C43" s="704" t="n"/>
      <c r="D43" s="704" t="n"/>
      <c r="E43" s="704" t="n"/>
      <c r="F43" s="704" t="n"/>
      <c r="G43" s="705">
        <f>SUM(B43:F43)</f>
        <v/>
      </c>
    </row>
    <row r="44" ht="13.2" customHeight="1" s="586">
      <c r="A44" s="660" t="n"/>
      <c r="B44" s="704" t="n"/>
      <c r="C44" s="704" t="n"/>
      <c r="D44" s="704" t="n"/>
      <c r="E44" s="704" t="n"/>
      <c r="F44" s="704" t="n"/>
      <c r="G44" s="705">
        <f>SUM(B44:F44)</f>
        <v/>
      </c>
    </row>
    <row r="45" ht="39" customHeight="1" s="586">
      <c r="A45" s="661" t="n"/>
      <c r="B45" s="706">
        <f>Facilities!D52</f>
        <v/>
      </c>
      <c r="C45" s="706">
        <f>Facilities!E52</f>
        <v/>
      </c>
      <c r="D45" s="706" t="n"/>
      <c r="E45" s="706" t="n"/>
      <c r="F45" s="706" t="n"/>
      <c r="G45" s="703">
        <f>SUM(B45:F45)</f>
        <v/>
      </c>
      <c r="H45" s="649" t="inlineStr">
        <is>
          <t>Row used for PST reimbursement for use of EuroBank facilities</t>
        </is>
      </c>
    </row>
    <row r="46" ht="13.8" customHeight="1" s="586">
      <c r="A46" s="651" t="inlineStr">
        <is>
          <t>TOTAL SERVICE DESK (seats supported)</t>
        </is>
      </c>
      <c r="B46" s="700">
        <f>SUM(B38:B45)</f>
        <v/>
      </c>
      <c r="C46" s="700">
        <f>SUM(C38:C45)</f>
        <v/>
      </c>
      <c r="D46" s="700">
        <f>SUM(D38:D45)</f>
        <v/>
      </c>
      <c r="E46" s="700">
        <f>SUM(E38:E45)</f>
        <v/>
      </c>
      <c r="F46" s="700">
        <f>SUM(F38:F45)</f>
        <v/>
      </c>
      <c r="G46" s="701">
        <f>SUM(B46:F46)</f>
        <v/>
      </c>
    </row>
    <row r="47" ht="13.8" customHeight="1" s="586">
      <c r="A47" s="633" t="inlineStr">
        <is>
          <t>LAN Services</t>
        </is>
      </c>
      <c r="B47" s="625" t="n"/>
      <c r="C47" s="625" t="n"/>
      <c r="D47" s="625" t="n"/>
      <c r="E47" s="625" t="n"/>
      <c r="F47" s="625" t="n"/>
      <c r="G47" s="626" t="n"/>
    </row>
    <row r="48" ht="13.8" customHeight="1" s="586">
      <c r="A48" s="663" t="inlineStr">
        <is>
          <t>Support Services</t>
        </is>
      </c>
      <c r="B48" s="707" t="n"/>
      <c r="C48" s="707" t="n"/>
      <c r="D48" s="707" t="n"/>
      <c r="E48" s="707" t="n"/>
      <c r="F48" s="707" t="n"/>
      <c r="G48" s="645">
        <f>SUM(B48:F48)</f>
        <v/>
      </c>
      <c r="I48" s="590" t="n"/>
      <c r="K48" s="590" t="n"/>
    </row>
    <row r="49" ht="13.2" customHeight="1" s="586">
      <c r="A49" s="666" t="inlineStr">
        <is>
          <t>Monitoring LAN port IT, SP, ...</t>
        </is>
      </c>
      <c r="B49" s="707" t="n"/>
      <c r="C49" s="707" t="n"/>
      <c r="D49" s="707" t="n"/>
      <c r="E49" s="707" t="n"/>
      <c r="F49" s="707" t="n"/>
      <c r="G49" s="645">
        <f>SUM(B49:F49)</f>
        <v/>
      </c>
      <c r="I49" s="590" t="n"/>
      <c r="K49" s="590" t="n"/>
    </row>
    <row r="50" ht="13.2" customHeight="1" s="586">
      <c r="A50" s="640" t="inlineStr">
        <is>
          <t>Site Type A: # of Active LAN Ports</t>
        </is>
      </c>
      <c r="B50" s="641" t="n">
        <v>534466.601303764</v>
      </c>
      <c r="C50" s="641" t="n">
        <v>404586.740140707</v>
      </c>
      <c r="D50" s="641" t="n">
        <v>387646.356199585</v>
      </c>
      <c r="E50" s="641" t="n">
        <v>387679.910298252</v>
      </c>
      <c r="F50" s="641" t="n">
        <v>387673.55899281</v>
      </c>
      <c r="G50" s="642">
        <f>SUM(B50:F50)</f>
        <v/>
      </c>
      <c r="I50" s="590" t="n"/>
      <c r="K50" s="590" t="n"/>
    </row>
    <row r="51" ht="13.2" customHeight="1" s="586">
      <c r="A51" s="640" t="inlineStr">
        <is>
          <t>Site Type B: # of Active LAN Ports</t>
        </is>
      </c>
      <c r="B51" s="641" t="n">
        <v>828804.7070555741</v>
      </c>
      <c r="C51" s="641" t="n">
        <v>627398.220623906</v>
      </c>
      <c r="D51" s="641" t="n">
        <v>601128.534332038</v>
      </c>
      <c r="E51" s="641" t="n">
        <v>601180.5671341789</v>
      </c>
      <c r="F51" s="641" t="n">
        <v>601170.718077505</v>
      </c>
      <c r="G51" s="642">
        <f>SUM(B51:F51)</f>
        <v/>
      </c>
      <c r="I51" s="590" t="n"/>
      <c r="K51" s="590" t="n"/>
    </row>
    <row r="52" ht="13.8" customHeight="1" s="586">
      <c r="A52" s="640" t="inlineStr">
        <is>
          <t>Site Type C: # of Active LAN Ports</t>
        </is>
      </c>
      <c r="B52" s="641" t="n">
        <v>3442812.18852603</v>
      </c>
      <c r="C52" s="641" t="n">
        <v>2606179.98743906</v>
      </c>
      <c r="D52" s="641" t="n">
        <v>2497057.05970412</v>
      </c>
      <c r="E52" s="641" t="n">
        <v>2497273.20129199</v>
      </c>
      <c r="F52" s="641" t="n">
        <v>2497232.28881638</v>
      </c>
      <c r="G52" s="642">
        <f>SUM(B52:F52)</f>
        <v/>
      </c>
      <c r="I52" s="590" t="n"/>
      <c r="K52" s="590" t="n"/>
    </row>
    <row r="53" ht="13.8" customHeight="1" s="586">
      <c r="A53" s="651" t="inlineStr">
        <is>
          <t>TOTAL LAN SERVICES</t>
        </is>
      </c>
      <c r="B53" s="631">
        <f>SUM(B47:B52)</f>
        <v/>
      </c>
      <c r="C53" s="631">
        <f>SUM(C47:C52)</f>
        <v/>
      </c>
      <c r="D53" s="631">
        <f>SUM(D47:D52)</f>
        <v/>
      </c>
      <c r="E53" s="631">
        <f>SUM(E47:E52)</f>
        <v/>
      </c>
      <c r="F53" s="631">
        <f>SUM(F47:F52)</f>
        <v/>
      </c>
      <c r="G53" s="632">
        <f>SUM(B53:F53)</f>
        <v/>
      </c>
    </row>
    <row r="54" ht="13.8" customHeight="1" s="586">
      <c r="A54" s="633" t="inlineStr">
        <is>
          <t>Voice Services</t>
        </is>
      </c>
      <c r="B54" s="625" t="n"/>
      <c r="C54" s="625" t="n"/>
      <c r="D54" s="625" t="n"/>
      <c r="E54" s="625" t="n"/>
      <c r="F54" s="625" t="n"/>
      <c r="G54" s="626" t="n"/>
    </row>
    <row r="55" ht="13.2" customHeight="1" s="586">
      <c r="A55" s="667" t="inlineStr">
        <is>
          <t>Locations (Systems &amp; Services)</t>
        </is>
      </c>
      <c r="B55" s="708" t="n"/>
      <c r="C55" s="708" t="n"/>
      <c r="D55" s="708" t="n"/>
      <c r="E55" s="708" t="n"/>
      <c r="F55" s="708" t="n"/>
      <c r="G55" s="709" t="n"/>
    </row>
    <row r="56" ht="13.2" customHeight="1" s="586">
      <c r="A56" s="666" t="inlineStr">
        <is>
          <t>Call Centres</t>
        </is>
      </c>
      <c r="B56" s="641" t="n">
        <v>2481253.63362676</v>
      </c>
      <c r="C56" s="641" t="n">
        <v>2374104.67168309</v>
      </c>
      <c r="D56" s="641" t="n">
        <v>2258930.11528545</v>
      </c>
      <c r="E56" s="641" t="n">
        <v>2132883.03556143</v>
      </c>
      <c r="F56" s="641" t="n">
        <v>2005976.84435126</v>
      </c>
      <c r="G56" s="642">
        <f>SUM(B56:F56)</f>
        <v/>
      </c>
    </row>
    <row r="57" ht="13.2" customHeight="1" s="586">
      <c r="A57" s="666" t="inlineStr">
        <is>
          <t>Employee ISDN</t>
        </is>
      </c>
      <c r="B57" s="641" t="n">
        <v>275904</v>
      </c>
      <c r="C57" s="641" t="n">
        <v>274464</v>
      </c>
      <c r="D57" s="641" t="n">
        <v>273024</v>
      </c>
      <c r="E57" s="641" t="n">
        <v>273024</v>
      </c>
      <c r="F57" s="641" t="n">
        <v>273024</v>
      </c>
      <c r="G57" s="642">
        <f>SUM(B57:F57)</f>
        <v/>
      </c>
    </row>
    <row r="58" ht="13.2" customHeight="1" s="586">
      <c r="A58" s="666" t="inlineStr">
        <is>
          <t>Dealing room voice</t>
        </is>
      </c>
      <c r="B58" s="644" t="n"/>
      <c r="C58" s="644" t="n"/>
      <c r="D58" s="644" t="n"/>
      <c r="E58" s="644" t="n"/>
      <c r="F58" s="644" t="n"/>
      <c r="G58" s="645">
        <f>SUM(B58:F58)</f>
        <v/>
      </c>
    </row>
    <row r="59" ht="13.2" customHeight="1" s="586">
      <c r="A59" s="666" t="inlineStr">
        <is>
          <t>Video conferencing</t>
        </is>
      </c>
      <c r="B59" s="641" t="n">
        <v>104097.15942029</v>
      </c>
      <c r="C59" s="641" t="n">
        <v>73922.8985507246</v>
      </c>
      <c r="D59" s="641" t="n">
        <v>73325.6811594203</v>
      </c>
      <c r="E59" s="641" t="n">
        <v>72746.20289855071</v>
      </c>
      <c r="F59" s="641" t="n">
        <v>72178.55072463769</v>
      </c>
      <c r="G59" s="642">
        <f>SUM(B59:F59)</f>
        <v/>
      </c>
    </row>
    <row r="60" ht="39.6" customHeight="1" s="586">
      <c r="A60" s="710" t="inlineStr">
        <is>
          <t xml:space="preserve">  Assets Call Center</t>
        </is>
      </c>
      <c r="B60" s="641" t="n">
        <v>357947.28</v>
      </c>
      <c r="C60" s="641" t="n">
        <v>403374.84</v>
      </c>
      <c r="D60" s="641" t="n">
        <v>448802.4</v>
      </c>
      <c r="E60" s="641" t="n">
        <v>493956.3</v>
      </c>
      <c r="F60" s="641" t="n">
        <v>493956.3</v>
      </c>
      <c r="G60" s="642">
        <f>SUM(B60:F60)</f>
        <v/>
      </c>
      <c r="H60" s="649" t="inlineStr">
        <is>
          <t>Charges for PBX's: Small, Medium, and Large per Attachment 4-D are included in the Handsets</t>
        </is>
      </c>
    </row>
    <row r="61" ht="39.6" customHeight="1" s="586">
      <c r="A61" s="710" t="inlineStr">
        <is>
          <t xml:space="preserve">  Assets Digital Voice Fixed</t>
        </is>
      </c>
      <c r="B61" s="641" t="n">
        <v>821489.4</v>
      </c>
      <c r="C61" s="641" t="n">
        <v>947855.7</v>
      </c>
      <c r="D61" s="641" t="n">
        <v>1079202</v>
      </c>
      <c r="E61" s="641" t="n">
        <v>1214855.25</v>
      </c>
      <c r="F61" s="641" t="n">
        <v>1214855.25</v>
      </c>
      <c r="G61" s="642">
        <f>SUM(B61:F61)</f>
        <v/>
      </c>
      <c r="H61" s="649" t="inlineStr">
        <is>
          <t>Charges for PBX's: Small, Medium, and Large per Attachment 4-D are included in the Handsets</t>
        </is>
      </c>
    </row>
    <row r="62" ht="39.6" customHeight="1" s="586">
      <c r="A62" s="710" t="inlineStr">
        <is>
          <t xml:space="preserve">  Assets Analogue Voice Fixed</t>
        </is>
      </c>
      <c r="B62" s="641" t="n">
        <v>204048</v>
      </c>
      <c r="C62" s="641" t="n">
        <v>212256</v>
      </c>
      <c r="D62" s="641" t="n">
        <v>216480</v>
      </c>
      <c r="E62" s="641" t="n">
        <v>216600</v>
      </c>
      <c r="F62" s="641" t="n">
        <v>216600</v>
      </c>
      <c r="G62" s="642">
        <f>SUM(B62:F62)</f>
        <v/>
      </c>
      <c r="H62" s="649" t="inlineStr">
        <is>
          <t>Charges for PBX's: Small, Medium, and Large per Attachment 4-D are included in the Handsets</t>
        </is>
      </c>
    </row>
    <row r="63" ht="13.2" customHeight="1" s="586">
      <c r="A63" s="660" t="inlineStr">
        <is>
          <t xml:space="preserve">  Handsets - Digital (incl. DECT)</t>
        </is>
      </c>
      <c r="B63" s="641" t="n">
        <v>1873615.4195343</v>
      </c>
      <c r="C63" s="641" t="n">
        <v>1902185.64105083</v>
      </c>
      <c r="D63" s="641" t="n">
        <v>1867295.8469686</v>
      </c>
      <c r="E63" s="641" t="n">
        <v>1786478.30552461</v>
      </c>
      <c r="F63" s="641" t="n">
        <v>1662637.10552461</v>
      </c>
      <c r="G63" s="642">
        <f>SUM(B63:F63)</f>
        <v/>
      </c>
    </row>
    <row r="64" ht="13.2" customHeight="1" s="586">
      <c r="A64" s="660" t="inlineStr">
        <is>
          <t xml:space="preserve">  Handsets - Analog</t>
        </is>
      </c>
      <c r="B64" s="641" t="n">
        <v>497489.172532742</v>
      </c>
      <c r="C64" s="641" t="n">
        <v>457572.243821085</v>
      </c>
      <c r="D64" s="641" t="n">
        <v>399567.30149657</v>
      </c>
      <c r="E64" s="641" t="n">
        <v>335745.376760556</v>
      </c>
      <c r="F64" s="641" t="n">
        <v>312945.376760556</v>
      </c>
      <c r="G64" s="642">
        <f>SUM(B64:F64)</f>
        <v/>
      </c>
    </row>
    <row r="65" ht="13.2" customHeight="1" s="586">
      <c r="A65" s="660" t="inlineStr">
        <is>
          <t>Cellular Phones management fee</t>
        </is>
      </c>
      <c r="B65" s="641" t="n">
        <v>711515.6780262101</v>
      </c>
      <c r="C65" s="641" t="n">
        <v>549457.284200145</v>
      </c>
      <c r="D65" s="641" t="n">
        <v>563774.590724268</v>
      </c>
      <c r="E65" s="641" t="n">
        <v>527106.168828377</v>
      </c>
      <c r="F65" s="641" t="n">
        <v>492786.168828376</v>
      </c>
      <c r="G65" s="642">
        <f>SUM(B65:F65)</f>
        <v/>
      </c>
    </row>
    <row r="66" ht="13.2" customHeight="1" s="586">
      <c r="A66" s="660" t="inlineStr">
        <is>
          <t xml:space="preserve">  Cellular Phones subscription</t>
        </is>
      </c>
      <c r="B66" s="641" t="n"/>
      <c r="C66" s="641" t="n">
        <v>504000</v>
      </c>
      <c r="D66" s="641" t="n">
        <v>508200</v>
      </c>
      <c r="E66" s="641" t="n">
        <v>462000</v>
      </c>
      <c r="F66" s="641" t="n">
        <v>415800</v>
      </c>
      <c r="G66" s="642">
        <f>SUM(B66:F66)</f>
        <v/>
      </c>
    </row>
    <row r="67" ht="13.2" customHeight="1" s="586">
      <c r="A67" s="660" t="inlineStr">
        <is>
          <t xml:space="preserve">  Cellular Phones refresh (budget)</t>
        </is>
      </c>
      <c r="B67" s="641" t="n">
        <v>287185</v>
      </c>
      <c r="C67" s="641" t="n">
        <v>302300</v>
      </c>
      <c r="D67" s="641" t="n">
        <v>332530</v>
      </c>
      <c r="E67" s="641" t="n">
        <v>332530</v>
      </c>
      <c r="F67" s="641" t="n">
        <v>332530</v>
      </c>
      <c r="G67" s="642">
        <f>SUM(B67:F67)</f>
        <v/>
      </c>
    </row>
    <row r="68" ht="13.2" customHeight="1" s="586">
      <c r="A68" s="660" t="inlineStr">
        <is>
          <t>GPRS/UMTS Cards or Devices management fee</t>
        </is>
      </c>
      <c r="B68" s="641" t="n">
        <v>6338.79431970122</v>
      </c>
      <c r="C68" s="641" t="n">
        <v>7098.53403568628</v>
      </c>
      <c r="D68" s="641" t="n">
        <v>6608.4428877311</v>
      </c>
      <c r="E68" s="641" t="n">
        <v>6164.83277977592</v>
      </c>
      <c r="F68" s="641" t="n">
        <v>5749.89318697592</v>
      </c>
      <c r="G68" s="642">
        <f>SUM(B68:F68)</f>
        <v/>
      </c>
    </row>
    <row r="69" ht="13.2" customHeight="1" s="586">
      <c r="A69" s="660" t="inlineStr">
        <is>
          <t xml:space="preserve">  GPRS/UMTS Cards or Devices subscription</t>
        </is>
      </c>
      <c r="B69" s="641" t="n">
        <v>72000</v>
      </c>
      <c r="C69" s="641" t="n">
        <v>86400</v>
      </c>
      <c r="D69" s="641" t="n">
        <v>82080</v>
      </c>
      <c r="E69" s="641" t="n">
        <v>77976</v>
      </c>
      <c r="F69" s="641" t="n">
        <v>74077.2</v>
      </c>
      <c r="G69" s="642">
        <f>SUM(B69:F69)</f>
        <v/>
      </c>
    </row>
    <row r="70" ht="13.2" customHeight="1" s="586">
      <c r="A70" s="660" t="inlineStr">
        <is>
          <t xml:space="preserve">  GPRS/UMTS Cards or Devices refresh (budget)</t>
        </is>
      </c>
      <c r="B70" s="641" t="n">
        <v>8250</v>
      </c>
      <c r="C70" s="641" t="n">
        <v>9900</v>
      </c>
      <c r="D70" s="641" t="n">
        <v>9900</v>
      </c>
      <c r="E70" s="641" t="n">
        <v>9900</v>
      </c>
      <c r="F70" s="641" t="n">
        <v>9900</v>
      </c>
      <c r="G70" s="642">
        <f>SUM(B70:F70)</f>
        <v/>
      </c>
    </row>
    <row r="71" ht="13.2" customHeight="1" s="586">
      <c r="A71" s="666" t="inlineStr">
        <is>
          <t>Blackberries management fee</t>
        </is>
      </c>
      <c r="B71" s="641" t="n">
        <v>44712.1630780579</v>
      </c>
      <c r="C71" s="641" t="n">
        <v>57758.8052676471</v>
      </c>
      <c r="D71" s="641" t="n">
        <v>59740.8173977592</v>
      </c>
      <c r="E71" s="641" t="n">
        <v>55717.1342981326</v>
      </c>
      <c r="F71" s="641" t="n">
        <v>51955.2574121326</v>
      </c>
      <c r="G71" s="642">
        <f>SUM(B71:F71)</f>
        <v/>
      </c>
    </row>
    <row r="72" ht="13.2" customHeight="1" s="586">
      <c r="A72" s="666" t="inlineStr">
        <is>
          <t xml:space="preserve">  Blackberries subscription (data)</t>
        </is>
      </c>
      <c r="B72" s="641" t="n">
        <v>327600</v>
      </c>
      <c r="C72" s="641" t="n">
        <v>453600</v>
      </c>
      <c r="D72" s="641" t="n">
        <v>478800</v>
      </c>
      <c r="E72" s="641" t="n">
        <v>454860</v>
      </c>
      <c r="F72" s="641" t="n">
        <v>432117</v>
      </c>
      <c r="G72" s="642">
        <f>SUM(B72:F72)</f>
        <v/>
      </c>
    </row>
    <row r="73" ht="13.2" customHeight="1" s="586">
      <c r="A73" s="666" t="inlineStr">
        <is>
          <t xml:space="preserve">  Blackberries refresh / new CAL licence (budget)</t>
        </is>
      </c>
      <c r="B73" s="641" t="n">
        <v>116639.263485477</v>
      </c>
      <c r="C73" s="641" t="n">
        <v>161500.518672199</v>
      </c>
      <c r="D73" s="641" t="n">
        <v>179445.020746888</v>
      </c>
      <c r="E73" s="641" t="n">
        <v>179445.020746888</v>
      </c>
      <c r="F73" s="641" t="n">
        <v>179445.020746888</v>
      </c>
      <c r="G73" s="642">
        <f>SUM(B73:F73)</f>
        <v/>
      </c>
    </row>
    <row r="74" ht="13.2" customHeight="1" s="586">
      <c r="A74" s="640" t="inlineStr">
        <is>
          <t>Internal Pagers management fee</t>
        </is>
      </c>
      <c r="B74" s="644" t="n"/>
      <c r="C74" s="644" t="n"/>
      <c r="D74" s="644" t="n"/>
      <c r="E74" s="644" t="n"/>
      <c r="F74" s="644" t="n"/>
      <c r="G74" s="645">
        <f>SUM(B74:F74)</f>
        <v/>
      </c>
    </row>
    <row r="75" ht="13.2" customHeight="1" s="586">
      <c r="A75" s="640" t="inlineStr">
        <is>
          <t xml:space="preserve">  Internal Pagers refresh (budget)</t>
        </is>
      </c>
      <c r="B75" s="644" t="n"/>
      <c r="C75" s="644" t="n"/>
      <c r="D75" s="644" t="n"/>
      <c r="E75" s="644" t="n"/>
      <c r="F75" s="644" t="n"/>
      <c r="G75" s="645">
        <f>SUM(B75:F75)</f>
        <v/>
      </c>
    </row>
    <row r="76" ht="13.2" customHeight="1" s="586">
      <c r="A76" s="640" t="inlineStr">
        <is>
          <t>External Pagers management fee</t>
        </is>
      </c>
      <c r="B76" s="641" t="n">
        <v>5508</v>
      </c>
      <c r="C76" s="641" t="n">
        <v>4924.8</v>
      </c>
      <c r="D76" s="641" t="n">
        <v>4363.2</v>
      </c>
      <c r="E76" s="641" t="n">
        <v>3844.8</v>
      </c>
      <c r="F76" s="641" t="n">
        <v>3434.4</v>
      </c>
      <c r="G76" s="642">
        <f>SUM(B76:F76)</f>
        <v/>
      </c>
    </row>
    <row r="77" ht="13.2" customHeight="1" s="586">
      <c r="A77" s="640" t="inlineStr">
        <is>
          <t xml:space="preserve">  External Pagers refresh (budget)</t>
        </is>
      </c>
      <c r="B77" s="641" t="n">
        <v>5670</v>
      </c>
      <c r="C77" s="641" t="n">
        <v>5670</v>
      </c>
      <c r="D77" s="641" t="n">
        <v>5670</v>
      </c>
      <c r="E77" s="641" t="n">
        <v>5670</v>
      </c>
      <c r="F77" s="641" t="n">
        <v>5670</v>
      </c>
      <c r="G77" s="642">
        <f>SUM(B77:F77)</f>
        <v/>
      </c>
    </row>
    <row r="78" ht="13.2" customHeight="1" s="586">
      <c r="A78" s="671" t="n"/>
      <c r="B78" s="641" t="n"/>
      <c r="C78" s="641" t="n"/>
      <c r="D78" s="641" t="n"/>
      <c r="E78" s="641" t="n"/>
      <c r="F78" s="641" t="n"/>
      <c r="G78" s="642" t="n"/>
    </row>
    <row r="79" ht="13.2" customHeight="1" s="586">
      <c r="A79" s="673" t="inlineStr">
        <is>
          <t>VOICE</t>
        </is>
      </c>
      <c r="B79" s="646" t="n"/>
      <c r="C79" s="646" t="n"/>
      <c r="D79" s="646" t="n"/>
      <c r="E79" s="646" t="n"/>
      <c r="F79" s="646" t="n"/>
      <c r="G79" s="711" t="n"/>
      <c r="I79" s="590" t="n"/>
      <c r="K79" s="590" t="n"/>
      <c r="L79" s="590" t="n"/>
      <c r="M79" s="590" t="n"/>
      <c r="N79" s="590" t="n"/>
      <c r="O79" s="590" t="n"/>
      <c r="P79" s="590" t="n"/>
      <c r="Q79" s="590" t="n"/>
      <c r="R79" s="590" t="n"/>
    </row>
    <row r="80" ht="13.2" customHeight="1" s="586">
      <c r="A80" s="660" t="inlineStr">
        <is>
          <t>Domestic Outbound Calls - Local</t>
        </is>
      </c>
      <c r="B80" s="641" t="n">
        <v>590827.1081473751</v>
      </c>
      <c r="C80" s="641" t="n">
        <v>531744.397332637</v>
      </c>
      <c r="D80" s="641" t="n">
        <v>531744.397332637</v>
      </c>
      <c r="E80" s="641" t="n">
        <v>531744.397332637</v>
      </c>
      <c r="F80" s="641" t="n">
        <v>531744.397332637</v>
      </c>
      <c r="G80" s="642">
        <f>SUM(B80:F80)</f>
        <v/>
      </c>
      <c r="I80" s="590" t="n"/>
      <c r="K80" s="590" t="n"/>
      <c r="L80" s="590" t="n"/>
      <c r="M80" s="590" t="n"/>
      <c r="N80" s="590" t="n"/>
      <c r="O80" s="590" t="n"/>
      <c r="P80" s="590" t="n"/>
      <c r="Q80" s="590" t="n"/>
      <c r="R80" s="590" t="n"/>
    </row>
    <row r="81" ht="13.2" customHeight="1" s="586">
      <c r="A81" s="660" t="inlineStr">
        <is>
          <t>Domestic Outbound Calls - Long Distance</t>
        </is>
      </c>
      <c r="B81" s="641" t="n">
        <v>1076329.99050539</v>
      </c>
      <c r="C81" s="641" t="n">
        <v>968696.991454849</v>
      </c>
      <c r="D81" s="641" t="n">
        <v>968696.991454849</v>
      </c>
      <c r="E81" s="641" t="n">
        <v>968696.991454849</v>
      </c>
      <c r="F81" s="641" t="n">
        <v>968696.991454849</v>
      </c>
      <c r="G81" s="642">
        <f>SUM(B81:F81)</f>
        <v/>
      </c>
      <c r="I81" s="590" t="n"/>
      <c r="K81" s="590" t="n"/>
      <c r="L81" s="590" t="n"/>
      <c r="M81" s="590" t="n"/>
      <c r="N81" s="590" t="n"/>
      <c r="O81" s="590" t="n"/>
      <c r="P81" s="590" t="n"/>
      <c r="Q81" s="590" t="n"/>
      <c r="R81" s="590" t="n"/>
    </row>
    <row r="82" ht="13.2" customHeight="1" s="586">
      <c r="A82" s="660" t="inlineStr">
        <is>
          <t>Domestic Outbound Calls - Cellular</t>
        </is>
      </c>
      <c r="B82" s="641" t="n">
        <v>1450621.4313685</v>
      </c>
      <c r="C82" s="641" t="n">
        <v>1122780.98787922</v>
      </c>
      <c r="D82" s="641" t="n">
        <v>1122780.98787922</v>
      </c>
      <c r="E82" s="641" t="n">
        <v>1122780.98787922</v>
      </c>
      <c r="F82" s="641" t="n">
        <v>1122780.98787922</v>
      </c>
      <c r="G82" s="642">
        <f>SUM(B82:F82)</f>
        <v/>
      </c>
      <c r="I82" s="590" t="n"/>
      <c r="K82" s="590" t="n"/>
      <c r="L82" s="590" t="n"/>
      <c r="M82" s="590" t="n"/>
      <c r="N82" s="590" t="n"/>
      <c r="O82" s="590" t="n"/>
      <c r="P82" s="590" t="n"/>
      <c r="Q82" s="590" t="n"/>
      <c r="R82" s="590" t="n"/>
    </row>
    <row r="83" ht="13.2" customHeight="1" s="586">
      <c r="A83" s="660" t="inlineStr">
        <is>
          <t>International Outbound Calls</t>
        </is>
      </c>
      <c r="B83" s="641" t="n">
        <v>328054.30628446</v>
      </c>
      <c r="C83" s="641" t="n">
        <v>282126.815198775</v>
      </c>
      <c r="D83" s="641" t="n">
        <v>282126.815198775</v>
      </c>
      <c r="E83" s="641" t="n">
        <v>282126.815198775</v>
      </c>
      <c r="F83" s="641" t="n">
        <v>282126.815198775</v>
      </c>
      <c r="G83" s="642">
        <f>SUM(B83:F83)</f>
        <v/>
      </c>
      <c r="I83" s="590" t="n"/>
      <c r="K83" s="590" t="n"/>
      <c r="L83" s="590" t="n"/>
      <c r="M83" s="590" t="n"/>
      <c r="N83" s="590" t="n"/>
      <c r="O83" s="590" t="n"/>
      <c r="P83" s="590" t="n"/>
      <c r="Q83" s="590" t="n"/>
      <c r="R83" s="590" t="n"/>
    </row>
    <row r="84" ht="13.2" customHeight="1" s="586">
      <c r="A84" s="660" t="inlineStr">
        <is>
          <t>Free phone Service Calls</t>
        </is>
      </c>
      <c r="B84" s="641" t="n">
        <v>114330</v>
      </c>
      <c r="C84" s="641" t="n">
        <v>112043.4</v>
      </c>
      <c r="D84" s="641" t="n">
        <v>109802.532</v>
      </c>
      <c r="E84" s="641" t="n">
        <v>107606.48136</v>
      </c>
      <c r="F84" s="641" t="n">
        <v>105454.3517328</v>
      </c>
      <c r="G84" s="642">
        <f>SUM(B84:F84)</f>
        <v/>
      </c>
      <c r="I84" s="590" t="n"/>
      <c r="K84" s="590" t="n"/>
      <c r="L84" s="590" t="n"/>
      <c r="M84" s="590" t="n"/>
      <c r="N84" s="590" t="n"/>
      <c r="O84" s="590" t="n"/>
      <c r="P84" s="590" t="n"/>
      <c r="Q84" s="590" t="n"/>
      <c r="R84" s="590" t="n"/>
    </row>
    <row r="85" ht="13.2" customHeight="1" s="586">
      <c r="A85" s="660" t="inlineStr">
        <is>
          <t>Mobile - national</t>
        </is>
      </c>
      <c r="B85" s="644" t="n"/>
      <c r="C85" s="641" t="n">
        <v>1280807.3327603</v>
      </c>
      <c r="D85" s="641" t="n">
        <v>1318274.09031113</v>
      </c>
      <c r="E85" s="641" t="n">
        <v>1251975.20081011</v>
      </c>
      <c r="F85" s="641" t="n">
        <v>1189376.44076961</v>
      </c>
      <c r="G85" s="642">
        <f>SUM(B85:F85)</f>
        <v/>
      </c>
      <c r="I85" s="590" t="n"/>
      <c r="K85" s="590" t="n"/>
      <c r="L85" s="590" t="n"/>
      <c r="M85" s="590" t="n"/>
      <c r="N85" s="590" t="n"/>
      <c r="O85" s="590" t="n"/>
      <c r="P85" s="590" t="n"/>
      <c r="Q85" s="590" t="n"/>
      <c r="R85" s="590" t="n"/>
    </row>
    <row r="86" ht="13.2" customHeight="1" s="586">
      <c r="A86" s="660" t="inlineStr">
        <is>
          <t>Mobile - international</t>
        </is>
      </c>
      <c r="B86" s="644" t="n"/>
      <c r="C86" s="641" t="n">
        <v>206290.472109129</v>
      </c>
      <c r="D86" s="641" t="n">
        <v>212325.143371855</v>
      </c>
      <c r="E86" s="641" t="n">
        <v>201647.728497722</v>
      </c>
      <c r="F86" s="641" t="n">
        <v>191565.342072836</v>
      </c>
      <c r="G86" s="642">
        <f>SUM(B86:F86)</f>
        <v/>
      </c>
      <c r="I86" s="590" t="n"/>
      <c r="K86" s="590" t="n"/>
      <c r="L86" s="590" t="n"/>
      <c r="M86" s="590" t="n"/>
      <c r="N86" s="590" t="n"/>
      <c r="O86" s="590" t="n"/>
      <c r="P86" s="590" t="n"/>
      <c r="Q86" s="590" t="n"/>
      <c r="R86" s="590" t="n"/>
    </row>
    <row r="87" ht="13.2" customHeight="1" s="586">
      <c r="A87" s="660" t="inlineStr">
        <is>
          <t>Mobile - roaming outbound</t>
        </is>
      </c>
      <c r="B87" s="644" t="n"/>
      <c r="C87" s="641" t="n">
        <v>513770.061884229</v>
      </c>
      <c r="D87" s="641" t="n">
        <v>528799.462672393</v>
      </c>
      <c r="E87" s="641" t="n">
        <v>502206.890486836</v>
      </c>
      <c r="F87" s="641" t="n">
        <v>477096.545962495</v>
      </c>
      <c r="G87" s="642">
        <f>SUM(B87:F87)</f>
        <v/>
      </c>
      <c r="I87" s="590" t="n"/>
      <c r="K87" s="590" t="n"/>
      <c r="L87" s="590" t="n"/>
      <c r="M87" s="590" t="n"/>
      <c r="N87" s="590" t="n"/>
      <c r="O87" s="590" t="n"/>
      <c r="P87" s="590" t="n"/>
      <c r="Q87" s="590" t="n"/>
      <c r="R87" s="590" t="n"/>
    </row>
    <row r="88" ht="13.2" customHeight="1" s="586">
      <c r="A88" s="660" t="inlineStr">
        <is>
          <t>Mobile - roaming inbound</t>
        </is>
      </c>
      <c r="B88" s="644" t="n"/>
      <c r="C88" s="641" t="n">
        <v>177119.7012</v>
      </c>
      <c r="D88" s="641" t="n">
        <v>168263.71614</v>
      </c>
      <c r="E88" s="641" t="n">
        <v>159850.530333</v>
      </c>
      <c r="F88" s="641" t="n">
        <v>151858.00381635</v>
      </c>
      <c r="G88" s="642">
        <f>SUM(B88:F88)</f>
        <v/>
      </c>
      <c r="I88" s="590" t="n"/>
      <c r="K88" s="590" t="n"/>
      <c r="L88" s="590" t="n"/>
      <c r="M88" s="590" t="n"/>
      <c r="N88" s="590" t="n"/>
      <c r="O88" s="590" t="n"/>
      <c r="P88" s="590" t="n"/>
      <c r="Q88" s="590" t="n"/>
      <c r="R88" s="590" t="n"/>
    </row>
    <row r="89" ht="13.2" customHeight="1" s="586">
      <c r="A89" s="660" t="inlineStr">
        <is>
          <t>Free phone Services Dedicated per min.</t>
        </is>
      </c>
      <c r="B89" s="641" t="n">
        <v>290800</v>
      </c>
      <c r="C89" s="641" t="n">
        <v>284984</v>
      </c>
      <c r="D89" s="641" t="n">
        <v>279284.32</v>
      </c>
      <c r="E89" s="641" t="n">
        <v>273698.6336</v>
      </c>
      <c r="F89" s="641" t="n">
        <v>268224.660928</v>
      </c>
      <c r="G89" s="642">
        <f>SUM(B89:F89)</f>
        <v/>
      </c>
      <c r="I89" s="590" t="n"/>
      <c r="K89" s="590" t="n"/>
      <c r="L89" s="590" t="n"/>
      <c r="M89" s="590" t="n"/>
    </row>
    <row r="90" ht="13.2" customHeight="1" s="586">
      <c r="A90" s="674" t="inlineStr">
        <is>
          <t>High Tariff Outbound Calls (0900)</t>
        </is>
      </c>
      <c r="B90" s="641" t="n">
        <v>191435.01871835</v>
      </c>
      <c r="C90" s="641" t="n">
        <v>95717.50935917519</v>
      </c>
      <c r="D90" s="641" t="n">
        <v>95717.50935917519</v>
      </c>
      <c r="E90" s="641" t="n">
        <v>95717.50935917519</v>
      </c>
      <c r="F90" s="641" t="n">
        <v>95717.50935917519</v>
      </c>
      <c r="G90" s="642">
        <f>SUM(B90:F90)</f>
        <v/>
      </c>
      <c r="I90" s="590" t="n"/>
      <c r="K90" s="590" t="n"/>
      <c r="L90" s="590" t="n"/>
      <c r="M90" s="590" t="n"/>
    </row>
    <row r="91" ht="13.2" customHeight="1" s="586">
      <c r="A91" s="674" t="inlineStr">
        <is>
          <t>High Tariff Outbound Calls (0676 internet)</t>
        </is>
      </c>
      <c r="B91" s="641" t="n">
        <v>502403.886203333</v>
      </c>
      <c r="C91" s="641" t="n">
        <v>401923.108962667</v>
      </c>
      <c r="D91" s="641" t="n">
        <v>200961.554481333</v>
      </c>
      <c r="E91" s="641" t="n">
        <v>200961.554481333</v>
      </c>
      <c r="F91" s="641" t="n">
        <v>200961.554481333</v>
      </c>
      <c r="G91" s="642">
        <f>SUM(B91:F91)</f>
        <v/>
      </c>
      <c r="I91" s="590" t="n"/>
      <c r="K91" s="590" t="n"/>
      <c r="L91" s="590" t="n"/>
      <c r="M91" s="590" t="n"/>
    </row>
    <row r="92" ht="13.2" customHeight="1" s="586">
      <c r="A92" s="674" t="inlineStr">
        <is>
          <t>High Tariff Outbound Calls  Other</t>
        </is>
      </c>
      <c r="B92" s="641" t="n">
        <v>22854.7620864063</v>
      </c>
      <c r="C92" s="641" t="n">
        <v>22511.9406551102</v>
      </c>
      <c r="D92" s="641" t="n">
        <v>22511.9406551102</v>
      </c>
      <c r="E92" s="641" t="n">
        <v>22511.9406551102</v>
      </c>
      <c r="F92" s="641" t="n">
        <v>22511.9406551102</v>
      </c>
      <c r="G92" s="642">
        <f>SUM(B92:F92)</f>
        <v/>
      </c>
      <c r="I92" s="590" t="n"/>
      <c r="K92" s="590" t="n"/>
      <c r="L92" s="590" t="n"/>
      <c r="M92" s="590" t="n"/>
    </row>
    <row r="93" ht="13.2" customHeight="1" s="586">
      <c r="A93" s="660" t="inlineStr">
        <is>
          <t>Voice - Directory Assistance Calls per call</t>
        </is>
      </c>
      <c r="B93" s="644" t="n">
        <v>0</v>
      </c>
      <c r="C93" s="644" t="n">
        <v>0</v>
      </c>
      <c r="D93" s="644" t="n">
        <v>0</v>
      </c>
      <c r="E93" s="644" t="n">
        <v>0</v>
      </c>
      <c r="F93" s="644" t="n">
        <v>0</v>
      </c>
      <c r="G93" s="645">
        <f>SUM(B93:F93)</f>
        <v/>
      </c>
      <c r="I93" s="590" t="n"/>
      <c r="K93" s="590" t="n"/>
      <c r="L93" s="590" t="n"/>
      <c r="M93" s="590" t="n"/>
    </row>
    <row r="94" ht="13.2" customHeight="1" s="586">
      <c r="A94" s="660" t="inlineStr">
        <is>
          <t>Voice - Hard IMACS</t>
        </is>
      </c>
      <c r="B94" s="641" t="n">
        <v>305060.655824309</v>
      </c>
      <c r="C94" s="641" t="n">
        <v>283777.354255171</v>
      </c>
      <c r="D94" s="641" t="n">
        <v>262494.052686033</v>
      </c>
      <c r="E94" s="641" t="n">
        <v>241210.751116895</v>
      </c>
      <c r="F94" s="641" t="n">
        <v>219927.449547758</v>
      </c>
      <c r="G94" s="642">
        <f>SUM(B94:F94)</f>
        <v/>
      </c>
      <c r="I94" s="590" t="n"/>
      <c r="K94" s="590" t="n"/>
      <c r="L94" s="590" t="n"/>
      <c r="M94" s="590" t="n"/>
    </row>
    <row r="95" ht="13.2" customHeight="1" s="586">
      <c r="A95" s="675" t="n"/>
      <c r="B95" s="676" t="n"/>
      <c r="C95" s="676" t="n"/>
      <c r="D95" s="676" t="n"/>
      <c r="E95" s="676" t="n"/>
      <c r="F95" s="676" t="n"/>
      <c r="G95" s="677" t="n"/>
      <c r="I95" s="590" t="n"/>
      <c r="K95" s="590" t="n"/>
      <c r="L95" s="590" t="n"/>
      <c r="M95" s="590" t="n"/>
    </row>
    <row r="96" ht="13.2" customHeight="1" s="586">
      <c r="A96" s="678" t="inlineStr">
        <is>
          <t>Subscriptions</t>
        </is>
      </c>
      <c r="B96" s="679" t="n"/>
      <c r="C96" s="679" t="n"/>
      <c r="D96" s="679" t="n"/>
      <c r="E96" s="679" t="n"/>
      <c r="F96" s="679" t="n"/>
      <c r="G96" s="680" t="n"/>
      <c r="I96" s="590" t="n"/>
      <c r="K96" s="590" t="n"/>
      <c r="L96" s="590" t="n"/>
      <c r="M96" s="590" t="n"/>
    </row>
    <row r="97" ht="13.2" customHeight="1" s="586">
      <c r="A97" s="669" t="inlineStr">
        <is>
          <t>ISDN 1</t>
        </is>
      </c>
      <c r="B97" s="641" t="n">
        <v>18754.56</v>
      </c>
      <c r="C97" s="641" t="n">
        <v>242743.68</v>
      </c>
      <c r="D97" s="641" t="n">
        <v>242743.68</v>
      </c>
      <c r="E97" s="641" t="n">
        <v>242743.68</v>
      </c>
      <c r="F97" s="641" t="n">
        <v>242743.68</v>
      </c>
      <c r="G97" s="642">
        <f>SUM(B97:F97)</f>
        <v/>
      </c>
      <c r="I97" s="590" t="n"/>
      <c r="K97" s="590" t="n"/>
      <c r="L97" s="590" t="n"/>
      <c r="M97" s="590" t="n"/>
    </row>
    <row r="98" ht="13.2" customHeight="1" s="586">
      <c r="A98" s="669" t="inlineStr">
        <is>
          <t>ISDN 2</t>
        </is>
      </c>
      <c r="B98" s="641" t="n">
        <v>1335519.36</v>
      </c>
      <c r="C98" s="641" t="n">
        <v>719146.08</v>
      </c>
      <c r="D98" s="641" t="n">
        <v>719146.08</v>
      </c>
      <c r="E98" s="641" t="n">
        <v>719146.08</v>
      </c>
      <c r="F98" s="641" t="n">
        <v>719146.08</v>
      </c>
      <c r="G98" s="642">
        <f>SUM(B98:F98)</f>
        <v/>
      </c>
      <c r="I98" s="590" t="n"/>
      <c r="K98" s="590" t="n"/>
      <c r="L98" s="590" t="n"/>
      <c r="M98" s="590" t="n"/>
    </row>
    <row r="99" ht="13.2" customHeight="1" s="586">
      <c r="A99" s="669" t="inlineStr">
        <is>
          <t>ISDN 15</t>
        </is>
      </c>
      <c r="B99" s="641" t="n">
        <v>9720</v>
      </c>
      <c r="C99" s="641" t="n">
        <v>6480</v>
      </c>
      <c r="D99" s="641" t="n">
        <v>6480</v>
      </c>
      <c r="E99" s="641" t="n">
        <v>6480</v>
      </c>
      <c r="F99" s="641" t="n">
        <v>6480</v>
      </c>
      <c r="G99" s="642">
        <f>SUM(B99:F99)</f>
        <v/>
      </c>
      <c r="I99" s="590" t="n"/>
      <c r="K99" s="590" t="n"/>
      <c r="L99" s="590" t="n"/>
      <c r="M99" s="590" t="n"/>
    </row>
    <row r="100" ht="13.2" customHeight="1" s="586">
      <c r="A100" s="669" t="inlineStr">
        <is>
          <t xml:space="preserve">ISDN 30  </t>
        </is>
      </c>
      <c r="B100" s="641" t="n">
        <v>490440.96</v>
      </c>
      <c r="C100" s="641" t="n">
        <v>393309.333333333</v>
      </c>
      <c r="D100" s="641" t="n">
        <v>393309.333333333</v>
      </c>
      <c r="E100" s="641" t="n">
        <v>393309.333333333</v>
      </c>
      <c r="F100" s="641" t="n">
        <v>393309.333333333</v>
      </c>
      <c r="G100" s="642">
        <f>SUM(B100:F100)</f>
        <v/>
      </c>
      <c r="I100" s="590" t="n"/>
      <c r="K100" s="590" t="n"/>
      <c r="L100" s="590" t="n"/>
      <c r="M100" s="590" t="n"/>
    </row>
    <row r="101" ht="13.2" customHeight="1" s="586">
      <c r="A101" s="669" t="inlineStr">
        <is>
          <t>ISDN 30 (CPA)</t>
        </is>
      </c>
      <c r="B101" s="641" t="n">
        <v>171180</v>
      </c>
      <c r="C101" s="641" t="n">
        <v>158220</v>
      </c>
      <c r="D101" s="641" t="n">
        <v>158220</v>
      </c>
      <c r="E101" s="641" t="n">
        <v>158220</v>
      </c>
      <c r="F101" s="641" t="n">
        <v>158220</v>
      </c>
      <c r="G101" s="642">
        <f>SUM(B101:F101)</f>
        <v/>
      </c>
      <c r="I101" s="590" t="n"/>
      <c r="K101" s="590" t="n"/>
      <c r="L101" s="590" t="n"/>
      <c r="M101" s="590" t="n"/>
    </row>
    <row r="102" ht="13.2" customHeight="1" s="586">
      <c r="A102" s="669" t="inlineStr">
        <is>
          <t>Dual homing telephony</t>
        </is>
      </c>
      <c r="B102" s="641" t="n">
        <v>116529</v>
      </c>
      <c r="C102" s="641" t="n">
        <v>116529.12</v>
      </c>
      <c r="D102" s="641" t="n">
        <v>116529.12</v>
      </c>
      <c r="E102" s="641" t="n">
        <v>116529.12</v>
      </c>
      <c r="F102" s="641" t="n">
        <v>116529.12</v>
      </c>
      <c r="G102" s="642">
        <f>SUM(B102:F102)</f>
        <v/>
      </c>
      <c r="I102" s="590" t="n"/>
      <c r="K102" s="590" t="n"/>
      <c r="L102" s="590" t="n"/>
      <c r="M102" s="590" t="n"/>
    </row>
    <row r="103" ht="13.2" customHeight="1" s="586">
      <c r="A103" s="669" t="inlineStr">
        <is>
          <t>DDI reserved numbers (10)</t>
        </is>
      </c>
      <c r="B103" s="641" t="n">
        <v>140335.2</v>
      </c>
      <c r="C103" s="641" t="n">
        <v>71220.3833707865</v>
      </c>
      <c r="D103" s="641" t="n">
        <v>71220.3833707865</v>
      </c>
      <c r="E103" s="641" t="n">
        <v>71220.3833707865</v>
      </c>
      <c r="F103" s="641" t="n">
        <v>71220.3833707865</v>
      </c>
      <c r="G103" s="642">
        <f>SUM(B103:F103)</f>
        <v/>
      </c>
      <c r="I103" s="590" t="n"/>
      <c r="K103" s="590" t="n"/>
      <c r="L103" s="590" t="n"/>
      <c r="M103" s="590" t="n"/>
    </row>
    <row r="104" ht="13.2" customHeight="1" s="586">
      <c r="A104" s="669" t="inlineStr">
        <is>
          <t>DDI reserved numbers (100)</t>
        </is>
      </c>
      <c r="B104" s="641" t="n">
        <v>577180.8</v>
      </c>
      <c r="C104" s="641" t="n">
        <v>278787.672653061</v>
      </c>
      <c r="D104" s="641" t="n">
        <v>278787.672653061</v>
      </c>
      <c r="E104" s="641" t="n">
        <v>278787.672653061</v>
      </c>
      <c r="F104" s="641" t="n">
        <v>278787.672653061</v>
      </c>
      <c r="G104" s="642">
        <f>SUM(B104:F104)</f>
        <v/>
      </c>
      <c r="I104" s="590" t="n"/>
      <c r="K104" s="590" t="n"/>
      <c r="L104" s="590" t="n"/>
      <c r="M104" s="590" t="n"/>
    </row>
    <row r="105" ht="13.2" customHeight="1" s="586">
      <c r="A105" s="669" t="inlineStr">
        <is>
          <t>DDI reserved numbers (1000)</t>
        </is>
      </c>
      <c r="B105" s="641" t="n">
        <v>325446</v>
      </c>
      <c r="C105" s="641" t="n">
        <v>136095.6</v>
      </c>
      <c r="D105" s="641" t="n">
        <v>136095.6</v>
      </c>
      <c r="E105" s="641" t="n">
        <v>136095.6</v>
      </c>
      <c r="F105" s="641" t="n">
        <v>136095.6</v>
      </c>
      <c r="G105" s="642">
        <f>SUM(B105:F105)</f>
        <v/>
      </c>
      <c r="I105" s="590" t="n"/>
      <c r="K105" s="590" t="n"/>
      <c r="L105" s="590" t="n"/>
      <c r="M105" s="590" t="n"/>
    </row>
    <row r="106" ht="13.2" customHeight="1" s="586">
      <c r="A106" s="669" t="inlineStr">
        <is>
          <t>DDI reserved numbers (10000)</t>
        </is>
      </c>
      <c r="B106" s="641" t="n">
        <v>126027.72</v>
      </c>
      <c r="C106" s="641" t="n">
        <v>84018.48</v>
      </c>
      <c r="D106" s="641" t="n">
        <v>84018.48</v>
      </c>
      <c r="E106" s="641" t="n">
        <v>84018.48</v>
      </c>
      <c r="F106" s="641" t="n">
        <v>84018.48</v>
      </c>
      <c r="G106" s="642">
        <f>SUM(B106:F106)</f>
        <v/>
      </c>
      <c r="I106" s="590" t="n"/>
      <c r="K106" s="590" t="n"/>
      <c r="L106" s="590" t="n"/>
      <c r="M106" s="590" t="n"/>
    </row>
    <row r="107" ht="13.2" customHeight="1" s="586">
      <c r="A107" s="669" t="inlineStr">
        <is>
          <t>DDI facilities</t>
        </is>
      </c>
      <c r="B107" s="641" t="n">
        <v>176449.152755906</v>
      </c>
      <c r="C107" s="641" t="n">
        <v>176409.36</v>
      </c>
      <c r="D107" s="641" t="n">
        <v>176409.36</v>
      </c>
      <c r="E107" s="641" t="n">
        <v>176409.36</v>
      </c>
      <c r="F107" s="641" t="n">
        <v>176409.36</v>
      </c>
      <c r="G107" s="642">
        <f>SUM(B107:F107)</f>
        <v/>
      </c>
      <c r="I107" s="590" t="n"/>
      <c r="K107" s="590" t="n"/>
      <c r="L107" s="590" t="n"/>
      <c r="M107" s="590" t="n"/>
    </row>
    <row r="108" ht="13.2" customHeight="1" s="586">
      <c r="A108" s="669" t="inlineStr">
        <is>
          <t>Calamity services</t>
        </is>
      </c>
      <c r="B108" s="641" t="n">
        <v>89170.2</v>
      </c>
      <c r="C108" s="641" t="n">
        <v>89170.32000000001</v>
      </c>
      <c r="D108" s="641" t="n">
        <v>89170.32000000001</v>
      </c>
      <c r="E108" s="641" t="n">
        <v>89170.32000000001</v>
      </c>
      <c r="F108" s="641" t="n">
        <v>89170.32000000001</v>
      </c>
      <c r="G108" s="642">
        <f>SUM(B108:F108)</f>
        <v/>
      </c>
      <c r="I108" s="590" t="n"/>
      <c r="K108" s="590" t="n"/>
      <c r="L108" s="590" t="n"/>
      <c r="M108" s="590" t="n"/>
    </row>
    <row r="109" ht="13.2" customHeight="1" s="586">
      <c r="A109" s="669" t="inlineStr">
        <is>
          <t>Infrastructure services</t>
        </is>
      </c>
      <c r="B109" s="641" t="n">
        <v>290298.24</v>
      </c>
      <c r="C109" s="641" t="n">
        <v>290279.28</v>
      </c>
      <c r="D109" s="641" t="n">
        <v>290279.28</v>
      </c>
      <c r="E109" s="641" t="n">
        <v>290279.28</v>
      </c>
      <c r="F109" s="641" t="n">
        <v>290279.28</v>
      </c>
      <c r="G109" s="642">
        <f>SUM(B109:F109)</f>
        <v/>
      </c>
      <c r="I109" s="590" t="n"/>
      <c r="K109" s="590" t="n"/>
      <c r="L109" s="590" t="n"/>
      <c r="M109" s="590" t="n"/>
    </row>
    <row r="110" ht="13.2" customHeight="1" s="586">
      <c r="A110" s="669" t="inlineStr">
        <is>
          <t>ADSL</t>
        </is>
      </c>
      <c r="B110" s="641" t="n">
        <v>132175.8</v>
      </c>
      <c r="C110" s="641" t="n">
        <v>325932.754974874</v>
      </c>
      <c r="D110" s="641" t="n">
        <v>325932.754974874</v>
      </c>
      <c r="E110" s="641" t="n">
        <v>325932.754974874</v>
      </c>
      <c r="F110" s="641" t="n">
        <v>325932.754974874</v>
      </c>
      <c r="G110" s="642">
        <f>SUM(B110:F110)</f>
        <v/>
      </c>
      <c r="I110" s="590" t="n"/>
      <c r="K110" s="590" t="n"/>
      <c r="L110" s="590" t="n"/>
      <c r="M110" s="590" t="n"/>
    </row>
    <row r="111" ht="13.2" customHeight="1" s="586">
      <c r="A111" s="669" t="inlineStr">
        <is>
          <t>PSTN</t>
        </is>
      </c>
      <c r="B111" s="641" t="n">
        <v>643666.800000001</v>
      </c>
      <c r="C111" s="641" t="n">
        <v>577926.72</v>
      </c>
      <c r="D111" s="641" t="n">
        <v>577926.72</v>
      </c>
      <c r="E111" s="641" t="n">
        <v>577926.72</v>
      </c>
      <c r="F111" s="641" t="n">
        <v>577926.72</v>
      </c>
      <c r="G111" s="642">
        <f>SUM(B111:F111)</f>
        <v/>
      </c>
      <c r="I111" s="590" t="n"/>
      <c r="K111" s="590" t="n"/>
      <c r="L111" s="590" t="n"/>
      <c r="M111" s="590" t="n"/>
    </row>
    <row r="112" ht="13.8" customHeight="1" s="586">
      <c r="A112" s="681" t="inlineStr">
        <is>
          <t>Telex</t>
        </is>
      </c>
      <c r="B112" s="682" t="n">
        <v>42823.2</v>
      </c>
      <c r="C112" s="683" t="n">
        <v>0</v>
      </c>
      <c r="D112" s="683" t="n">
        <v>0</v>
      </c>
      <c r="E112" s="683" t="n">
        <v>0</v>
      </c>
      <c r="F112" s="683" t="n">
        <v>0</v>
      </c>
      <c r="G112" s="684">
        <f>SUM(B112:F112)</f>
        <v/>
      </c>
      <c r="I112" s="590" t="n"/>
      <c r="K112" s="590" t="n"/>
      <c r="L112" s="590" t="n"/>
      <c r="M112" s="590" t="n"/>
    </row>
    <row r="113" ht="13.8" customHeight="1" s="586">
      <c r="A113" s="651" t="inlineStr">
        <is>
          <t>TOTAL VOICE SERVICES</t>
        </is>
      </c>
      <c r="B113" s="631">
        <f>SUM(B55:B112)</f>
        <v/>
      </c>
      <c r="C113" s="631">
        <f>SUM(C55:C112)</f>
        <v/>
      </c>
      <c r="D113" s="631">
        <f>SUM(D55:D112)</f>
        <v/>
      </c>
      <c r="E113" s="631">
        <f>SUM(E55:E112)</f>
        <v/>
      </c>
      <c r="F113" s="631">
        <f>SUM(F55:F112)</f>
        <v/>
      </c>
      <c r="G113" s="632">
        <f>SUM(B113:F113)</f>
        <v/>
      </c>
      <c r="I113" s="590" t="n"/>
      <c r="K113" s="590" t="n"/>
      <c r="L113" s="590" t="n"/>
      <c r="M113" s="590" t="n"/>
    </row>
    <row r="114" ht="13.8" customHeight="1" s="586">
      <c r="A114" s="633" t="inlineStr">
        <is>
          <t>Desktop Hardware Services</t>
        </is>
      </c>
      <c r="B114" s="625" t="n"/>
      <c r="C114" s="625" t="n"/>
      <c r="D114" s="625" t="n"/>
      <c r="E114" s="625" t="n"/>
      <c r="F114" s="625" t="n"/>
      <c r="G114" s="626" t="n"/>
    </row>
    <row r="115" ht="13.2" customHeight="1" s="586">
      <c r="A115" s="685" t="n"/>
      <c r="B115" s="712" t="n"/>
      <c r="C115" s="712" t="n"/>
      <c r="D115" s="712" t="n"/>
      <c r="E115" s="712" t="n"/>
      <c r="F115" s="712" t="n"/>
      <c r="G115" s="713" t="n"/>
    </row>
    <row r="116" ht="13.8" customHeight="1" s="586">
      <c r="A116" s="640" t="inlineStr">
        <is>
          <t>Desktop Hardware Services</t>
        </is>
      </c>
      <c r="B116" s="695" t="n">
        <v>4420766.73154947</v>
      </c>
      <c r="C116" s="695" t="n">
        <v>1736672.75765341</v>
      </c>
      <c r="D116" s="695" t="n">
        <v>1527958.36619737</v>
      </c>
      <c r="E116" s="695" t="n">
        <v>4438750.13580479</v>
      </c>
      <c r="F116" s="695" t="n">
        <v>1736672.75765341</v>
      </c>
      <c r="G116" s="642">
        <f>SUM(B116:F116)</f>
        <v/>
      </c>
    </row>
    <row r="117" ht="13.8" customHeight="1" s="586">
      <c r="A117" s="651" t="inlineStr">
        <is>
          <t>TOTAL DESKTOP HARDWARE SERVICES</t>
        </is>
      </c>
      <c r="B117" s="700">
        <f>SUM(B115:B116)</f>
        <v/>
      </c>
      <c r="C117" s="700">
        <f>SUM(C115:C116)</f>
        <v/>
      </c>
      <c r="D117" s="700">
        <f>SUM(D115:D116)</f>
        <v/>
      </c>
      <c r="E117" s="700">
        <f>SUM(E115:E116)</f>
        <v/>
      </c>
      <c r="F117" s="700">
        <f>SUM(F115:F116)</f>
        <v/>
      </c>
      <c r="G117" s="701">
        <f>SUM(B117:F117)</f>
        <v/>
      </c>
    </row>
    <row r="118" ht="13.8" customHeight="1" s="586">
      <c r="A118" s="714" t="inlineStr">
        <is>
          <t>Server Management</t>
        </is>
      </c>
      <c r="B118" s="715" t="n"/>
      <c r="C118" s="715" t="n"/>
      <c r="D118" s="715" t="n"/>
      <c r="E118" s="715" t="n"/>
      <c r="F118" s="715" t="n"/>
      <c r="G118" s="716" t="n"/>
    </row>
    <row r="119" ht="13.8" customHeight="1" s="586">
      <c r="A119" s="687" t="inlineStr">
        <is>
          <t>Support Services</t>
        </is>
      </c>
      <c r="B119" s="717" t="n"/>
      <c r="C119" s="717" t="n"/>
      <c r="D119" s="717" t="n"/>
      <c r="E119" s="717" t="n"/>
      <c r="F119" s="717" t="n"/>
      <c r="G119" s="694" t="n"/>
    </row>
    <row r="120" ht="37.5" customHeight="1" s="586">
      <c r="A120" s="640" t="n"/>
      <c r="B120" s="695">
        <f>Facilities!D50</f>
        <v/>
      </c>
      <c r="C120" s="695">
        <f>Facilities!E50</f>
        <v/>
      </c>
      <c r="D120" s="695" t="n"/>
      <c r="E120" s="695" t="n"/>
      <c r="F120" s="695" t="n"/>
      <c r="G120" s="642">
        <f>SUM(B120:F120)</f>
        <v/>
      </c>
      <c r="H120" s="649" t="inlineStr">
        <is>
          <t>Row used for PST reimbursement for use of EuroBank facilities</t>
        </is>
      </c>
    </row>
    <row r="121" ht="13.2" customHeight="1" s="586">
      <c r="A121" s="640" t="inlineStr">
        <is>
          <t>Servers</t>
        </is>
      </c>
      <c r="B121" s="695" t="n">
        <v>4562399.88992754</v>
      </c>
      <c r="C121" s="695" t="n">
        <v>3941045.12364341</v>
      </c>
      <c r="D121" s="695" t="n">
        <v>2418181.43494832</v>
      </c>
      <c r="E121" s="695" t="n">
        <v>2463578.1125323</v>
      </c>
      <c r="F121" s="695" t="n">
        <v>2113297.0380491</v>
      </c>
      <c r="G121" s="642">
        <f>SUM(B121:F121)</f>
        <v/>
      </c>
    </row>
    <row r="122" ht="13.2" customHeight="1" s="586">
      <c r="A122" s="640" t="n"/>
      <c r="B122" s="695" t="n"/>
      <c r="C122" s="695" t="n"/>
      <c r="D122" s="695" t="n"/>
      <c r="E122" s="695" t="n"/>
      <c r="F122" s="695" t="n"/>
      <c r="G122" s="645">
        <f>SUM(B122:F122)</f>
        <v/>
      </c>
    </row>
    <row r="123" ht="13.2" customHeight="1" s="586">
      <c r="A123" s="640" t="n"/>
      <c r="B123" s="695" t="n"/>
      <c r="C123" s="695" t="n"/>
      <c r="D123" s="695" t="n"/>
      <c r="E123" s="695" t="n"/>
      <c r="F123" s="695" t="n"/>
      <c r="G123" s="645">
        <f>SUM(B123:F123)</f>
        <v/>
      </c>
    </row>
    <row r="124" ht="13.2" customHeight="1" s="586">
      <c r="A124" s="640" t="n"/>
      <c r="B124" s="695" t="n"/>
      <c r="C124" s="695" t="n"/>
      <c r="D124" s="695" t="n"/>
      <c r="E124" s="695" t="n"/>
      <c r="F124" s="695" t="n"/>
      <c r="G124" s="645">
        <f>SUM(B124:F124)</f>
        <v/>
      </c>
      <c r="H124" s="590" t="inlineStr">
        <is>
          <t xml:space="preserve"> </t>
        </is>
      </c>
    </row>
    <row r="125" ht="13.2" customHeight="1" s="586">
      <c r="A125" s="640" t="n"/>
      <c r="B125" s="695" t="n"/>
      <c r="C125" s="695" t="n"/>
      <c r="D125" s="695" t="n"/>
      <c r="E125" s="695" t="n"/>
      <c r="F125" s="695" t="n"/>
      <c r="G125" s="645">
        <f>SUM(B125:F125)</f>
        <v/>
      </c>
      <c r="H125" s="590" t="inlineStr">
        <is>
          <t xml:space="preserve"> </t>
        </is>
      </c>
    </row>
    <row r="126" ht="13.2" customHeight="1" s="586">
      <c r="A126" s="640" t="n"/>
      <c r="B126" s="695" t="n"/>
      <c r="C126" s="695" t="n"/>
      <c r="D126" s="695" t="n"/>
      <c r="E126" s="695" t="n"/>
      <c r="F126" s="695" t="n"/>
      <c r="G126" s="645">
        <f>SUM(B126:F126)</f>
        <v/>
      </c>
    </row>
    <row r="127" ht="13.2" customHeight="1" s="586">
      <c r="A127" s="640" t="n"/>
      <c r="B127" s="695" t="n"/>
      <c r="C127" s="695" t="n"/>
      <c r="D127" s="695" t="n"/>
      <c r="E127" s="695" t="n"/>
      <c r="F127" s="695" t="n"/>
      <c r="G127" s="645">
        <f>SUM(B127:F127)</f>
        <v/>
      </c>
    </row>
    <row r="128" ht="13.2" customHeight="1" s="586">
      <c r="A128" s="640" t="n"/>
      <c r="B128" s="695" t="n"/>
      <c r="C128" s="695" t="n"/>
      <c r="D128" s="695" t="n"/>
      <c r="E128" s="695" t="n"/>
      <c r="F128" s="695" t="n"/>
      <c r="G128" s="645">
        <f>SUM(B128:F128)</f>
        <v/>
      </c>
    </row>
    <row r="129" ht="13.2" customHeight="1" s="586">
      <c r="A129" s="640" t="n"/>
      <c r="B129" s="695" t="n"/>
      <c r="C129" s="695" t="n"/>
      <c r="D129" s="695" t="n"/>
      <c r="E129" s="695" t="n"/>
      <c r="F129" s="695" t="n"/>
      <c r="G129" s="645">
        <f>SUM(B129:F129)</f>
        <v/>
      </c>
    </row>
    <row r="130" ht="13.2" customHeight="1" s="586">
      <c r="A130" s="640" t="n"/>
      <c r="B130" s="695" t="n"/>
      <c r="C130" s="695" t="n"/>
      <c r="D130" s="695" t="n"/>
      <c r="E130" s="695" t="n"/>
      <c r="F130" s="695" t="n"/>
      <c r="G130" s="645">
        <f>SUM(B130:F130)</f>
        <v/>
      </c>
    </row>
    <row r="131" ht="13.2" customHeight="1" s="586">
      <c r="A131" s="640" t="inlineStr">
        <is>
          <t>Total DAS (TB)</t>
        </is>
      </c>
      <c r="B131" s="695" t="n">
        <v>2009557.28087885</v>
      </c>
      <c r="C131" s="695" t="n">
        <v>1535764.71132888</v>
      </c>
      <c r="D131" s="695" t="n">
        <v>1242987.86208044</v>
      </c>
      <c r="E131" s="695" t="n">
        <v>1133196.45580669</v>
      </c>
      <c r="F131" s="695" t="n">
        <v>931912.562193834</v>
      </c>
      <c r="G131" s="642">
        <f>SUM(B131:F131)</f>
        <v/>
      </c>
    </row>
    <row r="132" ht="13.8" customHeight="1" s="586">
      <c r="A132" s="640" t="inlineStr">
        <is>
          <t>E-mail Accounts</t>
        </is>
      </c>
      <c r="B132" s="695" t="n">
        <v>712593.8883726021</v>
      </c>
      <c r="C132" s="695" t="n">
        <v>695155.742633794</v>
      </c>
      <c r="D132" s="695" t="n">
        <v>677718.252883617</v>
      </c>
      <c r="E132" s="695" t="n">
        <v>660280.763133439</v>
      </c>
      <c r="F132" s="695" t="n">
        <v>644167.731919313</v>
      </c>
      <c r="G132" s="642">
        <f>SUM(B132:F132)</f>
        <v/>
      </c>
    </row>
    <row r="133" ht="13.8" customHeight="1" s="586">
      <c r="A133" s="651" t="inlineStr">
        <is>
          <t>TOTAL SERVER MANAGEMENT</t>
        </is>
      </c>
      <c r="B133" s="700">
        <f>SUM(B120:B132)</f>
        <v/>
      </c>
      <c r="C133" s="700">
        <f>SUM(C120:C132)</f>
        <v/>
      </c>
      <c r="D133" s="700">
        <f>SUM(D120:D132)</f>
        <v/>
      </c>
      <c r="E133" s="700">
        <f>SUM(E120:E132)</f>
        <v/>
      </c>
      <c r="F133" s="700">
        <f>SUM(F120:F132)</f>
        <v/>
      </c>
      <c r="G133" s="701">
        <f>SUM(B133:F133)</f>
        <v/>
      </c>
    </row>
    <row r="134" ht="13.8" customHeight="1" s="586">
      <c r="A134" s="718" t="inlineStr">
        <is>
          <t>2IM Services</t>
        </is>
      </c>
      <c r="B134" s="625" t="n"/>
      <c r="C134" s="625" t="n"/>
      <c r="D134" s="625" t="n"/>
      <c r="E134" s="625" t="n"/>
      <c r="F134" s="625" t="n"/>
      <c r="G134" s="626" t="n"/>
    </row>
    <row r="135" ht="13.2" customHeight="1" s="586">
      <c r="A135" s="685" t="n"/>
      <c r="B135" s="712" t="n"/>
      <c r="C135" s="712" t="n"/>
      <c r="D135" s="712" t="n"/>
      <c r="E135" s="712" t="n"/>
      <c r="F135" s="712" t="n"/>
      <c r="G135" s="713" t="n"/>
    </row>
    <row r="136" ht="13.8" customHeight="1" s="586">
      <c r="A136" s="640" t="inlineStr">
        <is>
          <t>FTEs</t>
        </is>
      </c>
      <c r="B136" s="695" t="n">
        <v>4631060.7</v>
      </c>
      <c r="C136" s="695" t="n">
        <v>4343528</v>
      </c>
      <c r="D136" s="695" t="n">
        <v>3789409.4</v>
      </c>
      <c r="E136" s="695" t="n">
        <v>3454406.9</v>
      </c>
      <c r="F136" s="695" t="n">
        <v>2930591.3</v>
      </c>
      <c r="G136" s="642">
        <f>SUM(B136:F136)</f>
        <v/>
      </c>
    </row>
    <row r="137" ht="13.8" customHeight="1" s="586">
      <c r="A137" s="651" t="inlineStr">
        <is>
          <t>TOTAL 2IM SERVICES</t>
        </is>
      </c>
      <c r="B137" s="700">
        <f>SUM(B135:B136)</f>
        <v/>
      </c>
      <c r="C137" s="700">
        <f>SUM(C135:C136)</f>
        <v/>
      </c>
      <c r="D137" s="700">
        <f>SUM(D135:D136)</f>
        <v/>
      </c>
      <c r="E137" s="700">
        <f>SUM(E135:E136)</f>
        <v/>
      </c>
      <c r="F137" s="700">
        <f>SUM(F135:F136)</f>
        <v/>
      </c>
      <c r="G137" s="701">
        <f>SUM(B137:F137)</f>
        <v/>
      </c>
    </row>
  </sheetData>
  <mergeCells count="6">
    <mergeCell ref="A114:G114"/>
    <mergeCell ref="A2:G2"/>
    <mergeCell ref="A54:G54"/>
    <mergeCell ref="A134:G134"/>
    <mergeCell ref="A47:G47"/>
    <mergeCell ref="A37:G37"/>
  </mergeCells>
  <printOptions horizontalCentered="1" verticalCentered="0" headings="0" gridLines="0" gridLinesSet="1"/>
  <pageMargins left="1" right="1" top="0.6402777777777779" bottom="0.420138888888889" header="0.25" footer="0.25"/>
  <pageSetup orientation="landscape" paperSize="9" scale="100" fitToHeight="2"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L137"/>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47.23" customWidth="1" style="590" min="1" max="1"/>
    <col width="10.3" customWidth="1" style="590" min="2" max="6"/>
    <col width="13" customWidth="1" style="591" min="7" max="7"/>
    <col width="28.52" customWidth="1" style="590" min="8" max="8"/>
    <col width="14.51" customWidth="1" style="590" min="9" max="9"/>
    <col width="8.4" customWidth="1" style="590" min="10" max="257"/>
  </cols>
  <sheetData>
    <row r="1" ht="19.5" customHeight="1" s="586">
      <c r="A1" s="630" t="inlineStr">
        <is>
          <t>Detailed Base Charges - Belgium</t>
        </is>
      </c>
      <c r="B1" s="689" t="inlineStr">
        <is>
          <t>Year 1</t>
        </is>
      </c>
      <c r="C1" s="689" t="inlineStr">
        <is>
          <t>Year 2</t>
        </is>
      </c>
      <c r="D1" s="689" t="inlineStr">
        <is>
          <t>Year 3</t>
        </is>
      </c>
      <c r="E1" s="689" t="inlineStr">
        <is>
          <t>Year 4</t>
        </is>
      </c>
      <c r="F1" s="689" t="inlineStr">
        <is>
          <t>Year 5</t>
        </is>
      </c>
      <c r="G1" s="689" t="inlineStr">
        <is>
          <t>Total 5 Yr</t>
        </is>
      </c>
    </row>
    <row r="2" ht="13.8" customHeight="1" s="586">
      <c r="A2" s="633" t="inlineStr">
        <is>
          <t>EUC</t>
        </is>
      </c>
      <c r="B2" s="625" t="n"/>
      <c r="C2" s="625" t="n"/>
      <c r="D2" s="625" t="n"/>
      <c r="E2" s="625" t="n"/>
      <c r="F2" s="625" t="n"/>
      <c r="G2" s="626" t="n"/>
    </row>
    <row r="3" ht="13.8" customHeight="1" s="586">
      <c r="A3" s="634" t="inlineStr">
        <is>
          <t>Support Services</t>
        </is>
      </c>
      <c r="B3" s="691" t="n"/>
      <c r="C3" s="691" t="n"/>
      <c r="D3" s="691" t="n"/>
      <c r="E3" s="691" t="n"/>
      <c r="F3" s="691" t="n"/>
      <c r="G3" s="691" t="n"/>
    </row>
    <row r="4" ht="13.2" customHeight="1" s="586">
      <c r="A4" s="637" t="inlineStr">
        <is>
          <t xml:space="preserve">Medium Service Level </t>
        </is>
      </c>
      <c r="B4" s="693" t="n"/>
      <c r="C4" s="693" t="n"/>
      <c r="D4" s="693" t="n"/>
      <c r="E4" s="693" t="n"/>
      <c r="F4" s="693" t="n"/>
      <c r="G4" s="693" t="n"/>
    </row>
    <row r="5" ht="13.2" customHeight="1" s="586">
      <c r="A5" s="640" t="inlineStr">
        <is>
          <t>Standard Desktops (CEDS)</t>
        </is>
      </c>
      <c r="B5" s="695" t="n">
        <v>1055346.75836732</v>
      </c>
      <c r="C5" s="695" t="n">
        <v>1254087.01261273</v>
      </c>
      <c r="D5" s="695" t="n">
        <v>1121541.03467979</v>
      </c>
      <c r="E5" s="695" t="n">
        <v>1059318.61822044</v>
      </c>
      <c r="F5" s="695" t="n">
        <v>996578.103194891</v>
      </c>
      <c r="G5" s="672">
        <f>SUM(B5:F5)</f>
        <v/>
      </c>
    </row>
    <row r="6" ht="13.2" customHeight="1" s="586">
      <c r="A6" s="640" t="inlineStr">
        <is>
          <t>Non-Standard Desktops (non CEDS)</t>
        </is>
      </c>
      <c r="B6" s="696" t="n"/>
      <c r="C6" s="696" t="n"/>
      <c r="D6" s="696" t="n"/>
      <c r="E6" s="696" t="n"/>
      <c r="F6" s="696" t="n"/>
      <c r="G6" s="719">
        <f>SUM(B6:F6)</f>
        <v/>
      </c>
    </row>
    <row r="7" ht="13.2" customHeight="1" s="586">
      <c r="A7" s="640" t="inlineStr">
        <is>
          <t>Standard Laptops (CEDS)</t>
        </is>
      </c>
      <c r="B7" s="695" t="n">
        <v>219999.864652357</v>
      </c>
      <c r="C7" s="695" t="n">
        <v>302976.323948331</v>
      </c>
      <c r="D7" s="695" t="n">
        <v>282586.311186207</v>
      </c>
      <c r="E7" s="695" t="n">
        <v>271739.732384932</v>
      </c>
      <c r="F7" s="695" t="n">
        <v>260929.546689932</v>
      </c>
      <c r="G7" s="672">
        <f>SUM(B7:F7)</f>
        <v/>
      </c>
    </row>
    <row r="8" ht="13.2" customHeight="1" s="586">
      <c r="A8" s="640" t="inlineStr">
        <is>
          <t>Non-Standard Laptops (non CEDS)</t>
        </is>
      </c>
      <c r="B8" s="696" t="n"/>
      <c r="C8" s="696" t="n"/>
      <c r="D8" s="696" t="n"/>
      <c r="E8" s="696" t="n"/>
      <c r="F8" s="696" t="n"/>
      <c r="G8" s="719">
        <f>SUM(B8:F8)</f>
        <v/>
      </c>
      <c r="H8" s="590" t="n"/>
    </row>
    <row r="9" ht="13.2" customHeight="1" s="586">
      <c r="A9" s="640" t="inlineStr">
        <is>
          <t>Standard Local Printers</t>
        </is>
      </c>
      <c r="B9" s="695" t="n">
        <v>153322.633155498</v>
      </c>
      <c r="C9" s="695" t="n">
        <v>462410.343279016</v>
      </c>
      <c r="D9" s="695" t="n">
        <v>454236.103905148</v>
      </c>
      <c r="E9" s="695" t="n">
        <v>448547.751584653</v>
      </c>
      <c r="F9" s="695" t="n">
        <v>438282.115951287</v>
      </c>
      <c r="G9" s="672">
        <f>SUM(B9:F9)</f>
        <v/>
      </c>
      <c r="H9" s="590" t="n"/>
    </row>
    <row r="10" ht="13.2" customHeight="1" s="586">
      <c r="A10" s="640" t="inlineStr">
        <is>
          <t>Non-Standard Local Printers</t>
        </is>
      </c>
      <c r="B10" s="696" t="n"/>
      <c r="C10" s="696" t="n"/>
      <c r="D10" s="696" t="n"/>
      <c r="E10" s="696" t="n"/>
      <c r="F10" s="696" t="n"/>
      <c r="G10" s="719">
        <f>SUM(B10:F10)</f>
        <v/>
      </c>
      <c r="H10" s="590" t="n"/>
    </row>
    <row r="11" ht="13.2" customHeight="1" s="586">
      <c r="A11" s="640" t="inlineStr">
        <is>
          <t>Standard Network Printers</t>
        </is>
      </c>
      <c r="B11" s="695" t="n">
        <v>24490.2952388546</v>
      </c>
      <c r="C11" s="695" t="n">
        <v>73845.55443667959</v>
      </c>
      <c r="D11" s="695" t="n">
        <v>72829.5241424713</v>
      </c>
      <c r="E11" s="695" t="n">
        <v>71966.6009977419</v>
      </c>
      <c r="F11" s="695" t="n">
        <v>70604.96034898319</v>
      </c>
      <c r="G11" s="672">
        <f>SUM(B11:F11)</f>
        <v/>
      </c>
      <c r="H11" s="590" t="n"/>
    </row>
    <row r="12" ht="13.2" customHeight="1" s="586">
      <c r="A12" s="640" t="inlineStr">
        <is>
          <t>Non-Standard Network Printers</t>
        </is>
      </c>
      <c r="B12" s="695" t="n">
        <v>9852.557901906979</v>
      </c>
      <c r="C12" s="695" t="n">
        <v>29688.7034969469</v>
      </c>
      <c r="D12" s="695" t="n">
        <v>29516.8447965507</v>
      </c>
      <c r="E12" s="695" t="n">
        <v>29190.4777228491</v>
      </c>
      <c r="F12" s="695" t="n">
        <v>28733.2815870481</v>
      </c>
      <c r="G12" s="672">
        <f>SUM(B12:F12)</f>
        <v/>
      </c>
      <c r="H12" s="590" t="n"/>
    </row>
    <row r="13" ht="13.2" customHeight="1" s="586">
      <c r="A13" s="640" t="inlineStr">
        <is>
          <t>Other Peripherals</t>
        </is>
      </c>
      <c r="B13" s="696" t="n"/>
      <c r="C13" s="696" t="n"/>
      <c r="D13" s="696" t="n"/>
      <c r="E13" s="696" t="n"/>
      <c r="F13" s="696" t="n"/>
      <c r="G13" s="719">
        <f>SUM(B13:F13)</f>
        <v/>
      </c>
      <c r="H13" s="590" t="n"/>
    </row>
    <row r="14" ht="13.2" customHeight="1" s="586">
      <c r="A14" s="640" t="inlineStr">
        <is>
          <t>Dealing room support</t>
        </is>
      </c>
      <c r="B14" s="695">
        <f>8*90000</f>
        <v/>
      </c>
      <c r="C14" s="695">
        <f>8*90000</f>
        <v/>
      </c>
      <c r="D14" s="695">
        <f>8*90000</f>
        <v/>
      </c>
      <c r="E14" s="695">
        <f>8*90000</f>
        <v/>
      </c>
      <c r="F14" s="695">
        <f>8*90000</f>
        <v/>
      </c>
      <c r="G14" s="672">
        <f>SUM(B14:F14)</f>
        <v/>
      </c>
      <c r="H14" s="590" t="n"/>
    </row>
    <row r="15" ht="13.2" customHeight="1" s="586">
      <c r="A15" s="640" t="inlineStr">
        <is>
          <t>Installations</t>
        </is>
      </c>
      <c r="B15" s="695" t="n">
        <v>58096.4007228445</v>
      </c>
      <c r="C15" s="695" t="n">
        <v>177612.123270514</v>
      </c>
      <c r="D15" s="695" t="n">
        <v>184560.570611805</v>
      </c>
      <c r="E15" s="695" t="n">
        <v>181456.994024168</v>
      </c>
      <c r="F15" s="695" t="n">
        <v>184199.693181784</v>
      </c>
      <c r="G15" s="672">
        <f>SUM(B15:F15)</f>
        <v/>
      </c>
      <c r="H15" s="590" t="n"/>
    </row>
    <row r="16" ht="13.2" customHeight="1" s="586">
      <c r="A16" s="640" t="inlineStr">
        <is>
          <t>Moves</t>
        </is>
      </c>
      <c r="B16" s="695" t="n">
        <v>39457.9502823674</v>
      </c>
      <c r="C16" s="695" t="n">
        <v>122794.246398384</v>
      </c>
      <c r="D16" s="695" t="n">
        <v>129784.993965732</v>
      </c>
      <c r="E16" s="695" t="n">
        <v>126439.931831066</v>
      </c>
      <c r="F16" s="695" t="n">
        <v>130534.0600857</v>
      </c>
      <c r="G16" s="672">
        <f>SUM(B16:F16)</f>
        <v/>
      </c>
      <c r="H16" s="590" t="n"/>
    </row>
    <row r="17" ht="13.2" customHeight="1" s="586">
      <c r="A17" s="640" t="inlineStr">
        <is>
          <t>Adds</t>
        </is>
      </c>
      <c r="B17" s="696" t="n"/>
      <c r="C17" s="696" t="n"/>
      <c r="D17" s="696" t="n"/>
      <c r="E17" s="696" t="n"/>
      <c r="F17" s="696" t="n"/>
      <c r="G17" s="719">
        <f>SUM(B17:F17)</f>
        <v/>
      </c>
      <c r="H17" s="590" t="n"/>
    </row>
    <row r="18" ht="13.2" customHeight="1" s="586">
      <c r="A18" s="640" t="inlineStr">
        <is>
          <t xml:space="preserve">Changes </t>
        </is>
      </c>
      <c r="B18" s="695" t="n">
        <v>32693.7302339616</v>
      </c>
      <c r="C18" s="695" t="n">
        <v>101743.804158661</v>
      </c>
      <c r="D18" s="695" t="n">
        <v>107536.137857321</v>
      </c>
      <c r="E18" s="695" t="n">
        <v>104764.514945741</v>
      </c>
      <c r="F18" s="695" t="n">
        <v>108156.792642437</v>
      </c>
      <c r="G18" s="672">
        <f>SUM(B18:F18)</f>
        <v/>
      </c>
      <c r="H18" s="590" t="n"/>
    </row>
    <row r="19" ht="13.2" customHeight="1" s="586">
      <c r="A19" s="637" t="inlineStr">
        <is>
          <t xml:space="preserve">Low Service Level </t>
        </is>
      </c>
      <c r="B19" s="697" t="n"/>
      <c r="C19" s="697" t="n"/>
      <c r="D19" s="697" t="n"/>
      <c r="E19" s="697" t="n"/>
      <c r="F19" s="697" t="n"/>
      <c r="G19" s="720" t="n"/>
    </row>
    <row r="20" ht="13.2" customHeight="1" s="586">
      <c r="A20" s="640" t="inlineStr">
        <is>
          <t>Standard Desktops</t>
        </is>
      </c>
      <c r="B20" s="695" t="n">
        <v>2382792.83410714</v>
      </c>
      <c r="C20" s="695" t="n">
        <v>2746253.18119981</v>
      </c>
      <c r="D20" s="695" t="n">
        <v>2461137.95835834</v>
      </c>
      <c r="E20" s="695" t="n">
        <v>2321269.99747014</v>
      </c>
      <c r="F20" s="695" t="n">
        <v>2185816.2663905</v>
      </c>
      <c r="G20" s="672">
        <f>SUM(B20:F20)</f>
        <v/>
      </c>
    </row>
    <row r="21" ht="13.2" customHeight="1" s="586">
      <c r="A21" s="640" t="inlineStr">
        <is>
          <t>Non-Standard Desktops</t>
        </is>
      </c>
      <c r="B21" s="696" t="n"/>
      <c r="C21" s="696" t="n"/>
      <c r="D21" s="696" t="n"/>
      <c r="E21" s="696" t="n"/>
      <c r="F21" s="696" t="n"/>
      <c r="G21" s="719">
        <f>SUM(B21:F21)</f>
        <v/>
      </c>
    </row>
    <row r="22" ht="13.2" customHeight="1" s="586">
      <c r="A22" s="640" t="inlineStr">
        <is>
          <t>Standard Laptops</t>
        </is>
      </c>
      <c r="B22" s="695" t="n">
        <v>260168.324026602</v>
      </c>
      <c r="C22" s="695" t="n">
        <v>345669.562908589</v>
      </c>
      <c r="D22" s="695" t="n">
        <v>324284.380935125</v>
      </c>
      <c r="E22" s="695" t="n">
        <v>312304.907473058</v>
      </c>
      <c r="F22" s="695" t="n">
        <v>300903.588656832</v>
      </c>
      <c r="G22" s="672">
        <f>SUM(B22:F22)</f>
        <v/>
      </c>
    </row>
    <row r="23" ht="13.2" customHeight="1" s="586">
      <c r="A23" s="640" t="inlineStr">
        <is>
          <t>Non-Standard Laptops</t>
        </is>
      </c>
      <c r="B23" s="696" t="n"/>
      <c r="C23" s="696" t="n"/>
      <c r="D23" s="696" t="n"/>
      <c r="E23" s="696" t="n"/>
      <c r="F23" s="696" t="n"/>
      <c r="G23" s="719">
        <f>SUM(B23:F23)</f>
        <v/>
      </c>
    </row>
    <row r="24" ht="13.2" customHeight="1" s="586">
      <c r="A24" s="640" t="inlineStr">
        <is>
          <t>Standard Local Printers</t>
        </is>
      </c>
      <c r="B24" s="695" t="n">
        <v>320061.20067978</v>
      </c>
      <c r="C24" s="695" t="n">
        <v>964786.871401472</v>
      </c>
      <c r="D24" s="695" t="n">
        <v>954226.314695523</v>
      </c>
      <c r="E24" s="695" t="n">
        <v>943029.4947343461</v>
      </c>
      <c r="F24" s="695" t="n">
        <v>924969.737286173</v>
      </c>
      <c r="G24" s="672">
        <f>SUM(B24:F24)</f>
        <v/>
      </c>
    </row>
    <row r="25" ht="13.2" customHeight="1" s="586">
      <c r="A25" s="640" t="inlineStr">
        <is>
          <t>Non-Standard Local Printers</t>
        </is>
      </c>
      <c r="B25" s="696" t="n"/>
      <c r="C25" s="696" t="n"/>
      <c r="D25" s="696" t="n"/>
      <c r="E25" s="696" t="n"/>
      <c r="F25" s="696" t="n"/>
      <c r="G25" s="719">
        <f>SUM(B25:F25)</f>
        <v/>
      </c>
    </row>
    <row r="26" ht="13.2" customHeight="1" s="586">
      <c r="A26" s="640" t="inlineStr">
        <is>
          <t>Standard Network Printers</t>
        </is>
      </c>
      <c r="B26" s="695" t="n">
        <v>86155.4275295995</v>
      </c>
      <c r="C26" s="695" t="n">
        <v>181471.285176516</v>
      </c>
      <c r="D26" s="695" t="n">
        <v>167111.637017016</v>
      </c>
      <c r="E26" s="695" t="n">
        <v>165069.649990219</v>
      </c>
      <c r="F26" s="695" t="n">
        <v>162005.324486217</v>
      </c>
      <c r="G26" s="672">
        <f>SUM(B26:F26)</f>
        <v/>
      </c>
    </row>
    <row r="27" ht="13.2" customHeight="1" s="586">
      <c r="A27" s="640" t="inlineStr">
        <is>
          <t>Non-Standard Network Printers</t>
        </is>
      </c>
      <c r="B27" s="695" t="n">
        <v>23236.4668700453</v>
      </c>
      <c r="C27" s="695" t="n">
        <v>64917.6369809652</v>
      </c>
      <c r="D27" s="695" t="n">
        <v>64022.5733637433</v>
      </c>
      <c r="E27" s="695" t="n">
        <v>63340.0762567989</v>
      </c>
      <c r="F27" s="695" t="n">
        <v>62486.1951614736</v>
      </c>
      <c r="G27" s="672">
        <f>SUM(B27:F27)</f>
        <v/>
      </c>
    </row>
    <row r="28" ht="13.2" customHeight="1" s="586">
      <c r="A28" s="640" t="inlineStr">
        <is>
          <t xml:space="preserve">Other Peripherals </t>
        </is>
      </c>
      <c r="B28" s="696" t="n"/>
      <c r="C28" s="696" t="n"/>
      <c r="D28" s="696" t="n"/>
      <c r="E28" s="696" t="n"/>
      <c r="F28" s="696" t="n"/>
      <c r="G28" s="719">
        <f>SUM(B28:F28)</f>
        <v/>
      </c>
    </row>
    <row r="29" ht="129" customHeight="1" s="586">
      <c r="A29" s="721" t="inlineStr">
        <is>
          <t>Secondment of 5 FTE</t>
        </is>
      </c>
      <c r="B29" s="695">
        <f>560000/12*8</f>
        <v/>
      </c>
      <c r="C29" s="695" t="n"/>
      <c r="D29" s="695" t="n"/>
      <c r="E29" s="695" t="n"/>
      <c r="F29" s="695" t="n"/>
      <c r="G29" s="672">
        <f>SUM(B29:F29)</f>
        <v/>
      </c>
      <c r="H29" s="722" t="inlineStr">
        <is>
          <t xml:space="preserve">Delivery of capacity of 5 named FTEs to EuroBank in order to monitor EuroBank Technics and AMSIT contracts on behalf of EuroBank during the period from commencement date until the date the in scope activities of AMSIT and INGTechnics will be taken over by Neptune (planned 11/01/07)
</t>
        </is>
      </c>
    </row>
    <row r="30" ht="13.2" customHeight="1" s="586">
      <c r="A30" s="640" t="inlineStr">
        <is>
          <t>Installations</t>
        </is>
      </c>
      <c r="B30" s="695" t="n">
        <v>87404.8311073276</v>
      </c>
      <c r="C30" s="695" t="n">
        <v>266610.300588252</v>
      </c>
      <c r="D30" s="695" t="n">
        <v>271029.970808253</v>
      </c>
      <c r="E30" s="695" t="n">
        <v>268622.130987279</v>
      </c>
      <c r="F30" s="695" t="n">
        <v>273110.203440847</v>
      </c>
      <c r="G30" s="672">
        <f>SUM(B30:F30)</f>
        <v/>
      </c>
    </row>
    <row r="31" ht="13.2" customHeight="1" s="586">
      <c r="A31" s="640" t="inlineStr">
        <is>
          <t>Moves</t>
        </is>
      </c>
      <c r="B31" s="695" t="n">
        <v>59363.6686156276</v>
      </c>
      <c r="C31" s="695" t="n">
        <v>184324.191051524</v>
      </c>
      <c r="D31" s="695" t="n">
        <v>190591.213547276</v>
      </c>
      <c r="E31" s="695" t="n">
        <v>187176.934749749</v>
      </c>
      <c r="F31" s="695" t="n">
        <v>193540.950531241</v>
      </c>
      <c r="G31" s="672">
        <f>SUM(B31:F31)</f>
        <v/>
      </c>
    </row>
    <row r="32" ht="13.2" customHeight="1" s="586">
      <c r="A32" s="640" t="inlineStr">
        <is>
          <t>Adds</t>
        </is>
      </c>
      <c r="B32" s="696" t="n"/>
      <c r="C32" s="696" t="n"/>
      <c r="D32" s="696" t="n"/>
      <c r="E32" s="696" t="n"/>
      <c r="F32" s="696" t="n"/>
      <c r="G32" s="719">
        <f>SUM(B32:F32)</f>
        <v/>
      </c>
    </row>
    <row r="33" ht="13.2" customHeight="1" s="586">
      <c r="A33" s="640" t="inlineStr">
        <is>
          <t xml:space="preserve">Changes </t>
        </is>
      </c>
      <c r="B33" s="695" t="n">
        <v>49187.0397100915</v>
      </c>
      <c r="C33" s="695" t="n">
        <v>152725.758299834</v>
      </c>
      <c r="D33" s="695" t="n">
        <v>157918.434082028</v>
      </c>
      <c r="E33" s="695" t="n">
        <v>155089.460221221</v>
      </c>
      <c r="F33" s="695" t="n">
        <v>160362.501868742</v>
      </c>
      <c r="G33" s="672">
        <f>SUM(B33:F33)</f>
        <v/>
      </c>
    </row>
    <row r="34" ht="36.75" customHeight="1" s="586">
      <c r="A34" s="648" t="inlineStr">
        <is>
          <t>Packaging &amp; Distribution</t>
        </is>
      </c>
      <c r="B34" s="695">
        <f>SUM(Facilities!D45,Facilities!D47,Facilities!D49)</f>
        <v/>
      </c>
      <c r="C34" s="695">
        <f>SUM(Facilities!E45,Facilities!E47,Facilities!E49)</f>
        <v/>
      </c>
      <c r="D34" s="695" t="n"/>
      <c r="E34" s="695" t="n"/>
      <c r="F34" s="695" t="n"/>
      <c r="G34" s="723">
        <f>SUM(B34:F34)</f>
        <v/>
      </c>
      <c r="H34" s="649" t="inlineStr">
        <is>
          <t>Row used for PST reimbursement for use of EuroBank facilities</t>
        </is>
      </c>
    </row>
    <row r="35" ht="13.8" customHeight="1" s="586">
      <c r="A35" s="650" t="inlineStr">
        <is>
          <t xml:space="preserve">Packaging </t>
        </is>
      </c>
      <c r="B35" s="695" t="n">
        <v>951790.229113275</v>
      </c>
      <c r="C35" s="695" t="n">
        <v>931495.020725389</v>
      </c>
      <c r="D35" s="695" t="n">
        <v>926579.683937824</v>
      </c>
      <c r="E35" s="695" t="n">
        <v>921664.347150259</v>
      </c>
      <c r="F35" s="695" t="n">
        <v>930070.005284974</v>
      </c>
      <c r="G35" s="672">
        <f>SUM(B35:F35)</f>
        <v/>
      </c>
      <c r="H35" s="643" t="n"/>
    </row>
    <row r="36" ht="13.8" customHeight="1" s="586">
      <c r="A36" s="651" t="inlineStr">
        <is>
          <t>TOTAL EUC</t>
        </is>
      </c>
      <c r="B36" s="700">
        <f>SUM(B5:B35)</f>
        <v/>
      </c>
      <c r="C36" s="700">
        <f>SUM(C5:C35)</f>
        <v/>
      </c>
      <c r="D36" s="700">
        <f>SUM(D5:D35)</f>
        <v/>
      </c>
      <c r="E36" s="700">
        <f>SUM(E5:E35)</f>
        <v/>
      </c>
      <c r="F36" s="700">
        <f>SUM(F5:F35)</f>
        <v/>
      </c>
      <c r="G36" s="700">
        <f>SUM(B36:F36)</f>
        <v/>
      </c>
    </row>
    <row r="37" ht="13.8" customHeight="1" s="586">
      <c r="A37" s="724" t="inlineStr">
        <is>
          <t>Service Desk</t>
        </is>
      </c>
      <c r="B37" s="725" t="n"/>
      <c r="C37" s="725" t="n"/>
      <c r="D37" s="725" t="n"/>
      <c r="E37" s="725" t="n"/>
      <c r="F37" s="725" t="n"/>
      <c r="G37" s="726" t="n"/>
    </row>
    <row r="38" ht="13.2" customHeight="1" s="586">
      <c r="A38" s="654" t="inlineStr">
        <is>
          <t xml:space="preserve">Seats </t>
        </is>
      </c>
      <c r="B38" s="702" t="n">
        <v>1246672.45182866</v>
      </c>
      <c r="C38" s="702" t="n">
        <v>3503392.63727382</v>
      </c>
      <c r="D38" s="702" t="n">
        <v>2431876.94278598</v>
      </c>
      <c r="E38" s="702" t="n">
        <v>1905816.97189083</v>
      </c>
      <c r="F38" s="702" t="n">
        <v>1520623.02044387</v>
      </c>
      <c r="G38" s="727">
        <f>SUM(B38:F38)</f>
        <v/>
      </c>
    </row>
    <row r="39" ht="13.2" customHeight="1" s="586">
      <c r="A39" s="657" t="n"/>
      <c r="B39" s="704" t="n"/>
      <c r="C39" s="704" t="n"/>
      <c r="D39" s="704" t="n"/>
      <c r="E39" s="704" t="n"/>
      <c r="F39" s="704" t="n"/>
      <c r="G39" s="728">
        <f>SUM(B39:F39)</f>
        <v/>
      </c>
    </row>
    <row r="40" ht="13.2" customHeight="1" s="586">
      <c r="A40" s="660" t="n"/>
      <c r="B40" s="704" t="n"/>
      <c r="C40" s="704" t="n"/>
      <c r="D40" s="704" t="n"/>
      <c r="E40" s="704" t="n"/>
      <c r="F40" s="704" t="n"/>
      <c r="G40" s="728">
        <f>SUM(B40:F40)</f>
        <v/>
      </c>
    </row>
    <row r="41" ht="13.2" customHeight="1" s="586">
      <c r="A41" s="661" t="n"/>
      <c r="B41" s="704" t="n"/>
      <c r="C41" s="704" t="n"/>
      <c r="D41" s="704" t="n"/>
      <c r="E41" s="704" t="n"/>
      <c r="F41" s="704" t="n"/>
      <c r="G41" s="728">
        <f>SUM(B41:F41)</f>
        <v/>
      </c>
    </row>
    <row r="42" ht="13.2" customHeight="1" s="586">
      <c r="A42" s="660" t="n"/>
      <c r="B42" s="704" t="n"/>
      <c r="C42" s="704" t="n"/>
      <c r="D42" s="704" t="n"/>
      <c r="E42" s="704" t="n"/>
      <c r="F42" s="704" t="n"/>
      <c r="G42" s="728">
        <f>SUM(B42:F42)</f>
        <v/>
      </c>
      <c r="H42" s="643" t="n"/>
    </row>
    <row r="43" ht="13.2" customHeight="1" s="586">
      <c r="A43" s="660" t="n"/>
      <c r="B43" s="704" t="n"/>
      <c r="C43" s="704" t="n"/>
      <c r="D43" s="704" t="n"/>
      <c r="E43" s="704" t="n"/>
      <c r="F43" s="704" t="n"/>
      <c r="G43" s="728">
        <f>SUM(B43:F43)</f>
        <v/>
      </c>
    </row>
    <row r="44" ht="13.2" customHeight="1" s="586">
      <c r="A44" s="660" t="n"/>
      <c r="B44" s="704" t="n"/>
      <c r="C44" s="704" t="n"/>
      <c r="D44" s="704" t="n"/>
      <c r="E44" s="704" t="n"/>
      <c r="F44" s="704" t="n"/>
      <c r="G44" s="728">
        <f>SUM(B44:F44)</f>
        <v/>
      </c>
    </row>
    <row r="45" ht="39.75" customHeight="1" s="586">
      <c r="A45" s="661" t="n"/>
      <c r="B45" s="706">
        <f>Facilities!D53</f>
        <v/>
      </c>
      <c r="C45" s="706">
        <f>Facilities!E53</f>
        <v/>
      </c>
      <c r="D45" s="706" t="n"/>
      <c r="E45" s="706" t="n"/>
      <c r="F45" s="706" t="n"/>
      <c r="G45" s="729">
        <f>SUM(B45:F45)</f>
        <v/>
      </c>
      <c r="H45" s="649" t="inlineStr">
        <is>
          <t>Row used for PST reimbursement for use of EuroBank facilities</t>
        </is>
      </c>
    </row>
    <row r="46" ht="13.8" customHeight="1" s="586">
      <c r="A46" s="651" t="inlineStr">
        <is>
          <t>TOTAL SERVICE DESK (seats supported)</t>
        </is>
      </c>
      <c r="B46" s="700">
        <f>SUM(B38:B45)</f>
        <v/>
      </c>
      <c r="C46" s="700">
        <f>SUM(C38:C45)</f>
        <v/>
      </c>
      <c r="D46" s="700">
        <f>SUM(D38:D45)</f>
        <v/>
      </c>
      <c r="E46" s="700">
        <f>SUM(E38:E45)</f>
        <v/>
      </c>
      <c r="F46" s="700">
        <f>SUM(F38:F45)</f>
        <v/>
      </c>
      <c r="G46" s="700">
        <f>SUM(B46:F46)</f>
        <v/>
      </c>
    </row>
    <row r="47" ht="13.8" customHeight="1" s="586">
      <c r="A47" s="730" t="inlineStr">
        <is>
          <t>LAN Services</t>
        </is>
      </c>
      <c r="B47" s="731" t="n"/>
      <c r="C47" s="731" t="n"/>
      <c r="D47" s="731" t="n"/>
      <c r="E47" s="731" t="n"/>
      <c r="F47" s="731" t="n"/>
      <c r="G47" s="732" t="n"/>
    </row>
    <row r="48" ht="13.8" customHeight="1" s="586">
      <c r="A48" s="663" t="inlineStr">
        <is>
          <t>Support Services</t>
        </is>
      </c>
      <c r="B48" s="610" t="n"/>
      <c r="C48" s="610" t="n"/>
      <c r="D48" s="610" t="n"/>
      <c r="E48" s="610" t="n"/>
      <c r="F48" s="610" t="n"/>
      <c r="G48" s="733" t="n"/>
      <c r="I48" s="590" t="n"/>
      <c r="J48" s="590" t="n"/>
      <c r="K48" s="590" t="n"/>
      <c r="L48" s="590" t="n"/>
    </row>
    <row r="49" ht="13.2" customHeight="1" s="586">
      <c r="A49" s="666" t="inlineStr">
        <is>
          <t>Monitoring LAN port IT, SP, ...</t>
        </is>
      </c>
      <c r="B49" s="610" t="n">
        <v>75962.02986348121</v>
      </c>
      <c r="C49" s="610" t="n">
        <v>75962.02986348121</v>
      </c>
      <c r="D49" s="610" t="n">
        <v>69602.662116041</v>
      </c>
      <c r="E49" s="610" t="n">
        <v>69602.662116041</v>
      </c>
      <c r="F49" s="610" t="n">
        <v>69602.662116041</v>
      </c>
      <c r="G49" s="672">
        <f>SUM(B49:F49)</f>
        <v/>
      </c>
      <c r="I49" s="590" t="n"/>
      <c r="J49" s="590" t="n"/>
      <c r="K49" s="590" t="n"/>
      <c r="L49" s="590" t="n"/>
    </row>
    <row r="50" ht="13.2" customHeight="1" s="586">
      <c r="A50" s="666" t="inlineStr">
        <is>
          <t>Site Type A: # of Active LAN Ports</t>
        </is>
      </c>
      <c r="B50" s="641" t="n">
        <v>1452014.44801984</v>
      </c>
      <c r="C50" s="641" t="n">
        <v>993614.666008193</v>
      </c>
      <c r="D50" s="641" t="n">
        <v>947591.804752672</v>
      </c>
      <c r="E50" s="641" t="n">
        <v>947682.962995183</v>
      </c>
      <c r="F50" s="641" t="n">
        <v>947665.708058684</v>
      </c>
      <c r="G50" s="672">
        <f>SUM(B50:F50)</f>
        <v/>
      </c>
      <c r="I50" s="590" t="n"/>
      <c r="J50" s="590" t="n"/>
      <c r="K50" s="590" t="n"/>
      <c r="L50" s="590" t="n"/>
    </row>
    <row r="51" ht="13.2" customHeight="1" s="586">
      <c r="A51" s="666" t="inlineStr">
        <is>
          <t>Site Type B: # of Active LAN Ports</t>
        </is>
      </c>
      <c r="B51" s="641" t="n">
        <v>242838.976061947</v>
      </c>
      <c r="C51" s="641" t="n">
        <v>166174.90853663</v>
      </c>
      <c r="D51" s="641" t="n">
        <v>158477.915908235</v>
      </c>
      <c r="E51" s="641" t="n">
        <v>158493.161468843</v>
      </c>
      <c r="F51" s="641" t="n">
        <v>158490.275704781</v>
      </c>
      <c r="G51" s="672">
        <f>SUM(B51:F51)</f>
        <v/>
      </c>
      <c r="I51" s="590" t="n"/>
      <c r="J51" s="590" t="n"/>
      <c r="K51" s="590" t="n"/>
      <c r="L51" s="590" t="n"/>
    </row>
    <row r="52" ht="13.8" customHeight="1" s="586">
      <c r="A52" s="666" t="inlineStr">
        <is>
          <t>Site Type C: # of Active LAN Ports</t>
        </is>
      </c>
      <c r="B52" s="641" t="n">
        <v>1172734.56732355</v>
      </c>
      <c r="C52" s="641" t="n">
        <v>802503.216835433</v>
      </c>
      <c r="D52" s="641" t="n">
        <v>765332.374386111</v>
      </c>
      <c r="E52" s="641" t="n">
        <v>765405.99928856</v>
      </c>
      <c r="F52" s="641" t="n">
        <v>765392.063159676</v>
      </c>
      <c r="G52" s="672">
        <f>SUM(B52:F52)</f>
        <v/>
      </c>
      <c r="I52" s="590" t="n"/>
      <c r="J52" s="590" t="n"/>
      <c r="K52" s="590" t="n"/>
      <c r="L52" s="590" t="n"/>
    </row>
    <row r="53" ht="13.8" customHeight="1" s="586">
      <c r="A53" s="651" t="inlineStr">
        <is>
          <t>TOTAL LAN SERVICES</t>
        </is>
      </c>
      <c r="B53" s="631">
        <f>SUM(B47:B52)</f>
        <v/>
      </c>
      <c r="C53" s="631">
        <f>SUM(C47:C52)</f>
        <v/>
      </c>
      <c r="D53" s="631">
        <f>SUM(D47:D52)</f>
        <v/>
      </c>
      <c r="E53" s="631">
        <f>SUM(E47:E52)</f>
        <v/>
      </c>
      <c r="F53" s="631">
        <f>SUM(F47:F52)</f>
        <v/>
      </c>
      <c r="G53" s="631">
        <f>SUM(B53:F53)</f>
        <v/>
      </c>
      <c r="I53" s="590" t="n"/>
      <c r="J53" s="590" t="n"/>
      <c r="K53" s="590" t="n"/>
      <c r="L53" s="590" t="n"/>
    </row>
    <row r="54" ht="13.8" customHeight="1" s="586">
      <c r="A54" s="730" t="inlineStr">
        <is>
          <t>Voice Services</t>
        </is>
      </c>
      <c r="B54" s="731" t="n"/>
      <c r="C54" s="731" t="n"/>
      <c r="D54" s="731" t="n"/>
      <c r="E54" s="731" t="n"/>
      <c r="F54" s="731" t="n"/>
      <c r="G54" s="732" t="n"/>
    </row>
    <row r="55" ht="13.2" customHeight="1" s="586">
      <c r="A55" s="667" t="inlineStr">
        <is>
          <t>Locations (Systems &amp; Services)</t>
        </is>
      </c>
      <c r="B55" s="708" t="n"/>
      <c r="C55" s="708" t="n"/>
      <c r="D55" s="708" t="n"/>
      <c r="E55" s="708" t="n"/>
      <c r="F55" s="708" t="n"/>
      <c r="G55" s="734" t="n"/>
    </row>
    <row r="56" ht="13.2" customHeight="1" s="586">
      <c r="A56" s="666" t="inlineStr">
        <is>
          <t>Call Centres</t>
        </is>
      </c>
      <c r="B56" s="641" t="n">
        <v>130563.664124188</v>
      </c>
      <c r="C56" s="641" t="n">
        <v>124925.481518076</v>
      </c>
      <c r="D56" s="641" t="n">
        <v>118864.991815064</v>
      </c>
      <c r="E56" s="641" t="n">
        <v>112232.389505535</v>
      </c>
      <c r="F56" s="641" t="n">
        <v>105554.580715699</v>
      </c>
      <c r="G56" s="672">
        <f>SUM(B56:F56)</f>
        <v/>
      </c>
    </row>
    <row r="57" ht="13.2" customHeight="1" s="586">
      <c r="A57" s="666" t="inlineStr">
        <is>
          <t>Employee ISDN</t>
        </is>
      </c>
      <c r="B57" s="641" t="n">
        <v>75840</v>
      </c>
      <c r="C57" s="641" t="n">
        <v>75600</v>
      </c>
      <c r="D57" s="641" t="n">
        <v>75360</v>
      </c>
      <c r="E57" s="641" t="n">
        <v>75360</v>
      </c>
      <c r="F57" s="641" t="n">
        <v>75360</v>
      </c>
      <c r="G57" s="672">
        <f>SUM(B57:F57)</f>
        <v/>
      </c>
    </row>
    <row r="58" ht="13.2" customHeight="1" s="586">
      <c r="A58" s="666" t="inlineStr">
        <is>
          <t>Dealing room voice</t>
        </is>
      </c>
      <c r="B58" s="644" t="n"/>
      <c r="C58" s="644" t="n"/>
      <c r="D58" s="644" t="n"/>
      <c r="E58" s="644" t="n"/>
      <c r="F58" s="644" t="n"/>
      <c r="G58" s="719">
        <f>SUM(B58:F58)</f>
        <v/>
      </c>
    </row>
    <row r="59" ht="13.2" customHeight="1" s="586">
      <c r="A59" s="666" t="inlineStr">
        <is>
          <t>Video conferencing</t>
        </is>
      </c>
      <c r="B59" s="641" t="n">
        <v>107158.84057971</v>
      </c>
      <c r="C59" s="641" t="n">
        <v>76097.1014492754</v>
      </c>
      <c r="D59" s="641" t="n">
        <v>75482.3188405797</v>
      </c>
      <c r="E59" s="641" t="n">
        <v>74885.79710144929</v>
      </c>
      <c r="F59" s="641" t="n">
        <v>74301.44927536231</v>
      </c>
      <c r="G59" s="672">
        <f>SUM(B59:F59)</f>
        <v/>
      </c>
    </row>
    <row r="60" ht="39.6" customHeight="1" s="586">
      <c r="A60" s="735" t="inlineStr">
        <is>
          <t xml:space="preserve">  Assets Call Center</t>
        </is>
      </c>
      <c r="B60" s="641" t="n">
        <v>36907.2</v>
      </c>
      <c r="C60" s="641" t="n">
        <v>23097.6</v>
      </c>
      <c r="D60" s="641" t="n">
        <v>24638.4</v>
      </c>
      <c r="E60" s="641" t="n">
        <v>27014.4</v>
      </c>
      <c r="F60" s="641" t="n">
        <v>27014.4</v>
      </c>
      <c r="G60" s="672">
        <f>SUM(B60:F60)</f>
        <v/>
      </c>
      <c r="H60" s="649" t="inlineStr">
        <is>
          <t>Charges for PBX's: Small, Medium, and Large per Attachment 4-D are included in the Handsets</t>
        </is>
      </c>
    </row>
    <row r="61" ht="39.6" customHeight="1" s="586">
      <c r="A61" s="735" t="inlineStr">
        <is>
          <t xml:space="preserve">  Assets Digital Voice Fixed</t>
        </is>
      </c>
      <c r="B61" s="641" t="n">
        <v>702236.37</v>
      </c>
      <c r="C61" s="599" t="n">
        <v>1203425.31</v>
      </c>
      <c r="D61" s="599" t="n">
        <v>1186437.93</v>
      </c>
      <c r="E61" s="599" t="n">
        <v>1186437.93</v>
      </c>
      <c r="F61" s="599" t="n">
        <v>1186437.93</v>
      </c>
      <c r="G61" s="672">
        <f>SUM(B61:F61)</f>
        <v/>
      </c>
      <c r="H61" s="649" t="inlineStr">
        <is>
          <t>Charges for PBX's: Small, Medium, and Large per Attachment 4-D are included in the Handsets</t>
        </is>
      </c>
    </row>
    <row r="62" ht="39.6" customHeight="1" s="586">
      <c r="A62" s="735" t="inlineStr">
        <is>
          <t xml:space="preserve">  Assets Analogue Voice Fixed</t>
        </is>
      </c>
      <c r="B62" s="641" t="n">
        <v>122931.732</v>
      </c>
      <c r="C62" s="641" t="n">
        <v>76934.25599999999</v>
      </c>
      <c r="D62" s="641" t="n">
        <v>82066.40399999999</v>
      </c>
      <c r="E62" s="641" t="n">
        <v>89980.46400000001</v>
      </c>
      <c r="F62" s="641" t="n">
        <v>89980.46400000001</v>
      </c>
      <c r="G62" s="672">
        <f>SUM(B62:F62)</f>
        <v/>
      </c>
      <c r="H62" s="649" t="inlineStr">
        <is>
          <t>Charges for PBX's: Small, Medium, and Large per Attachment 4-D are included in the Handsets</t>
        </is>
      </c>
    </row>
    <row r="63" ht="13.2" customHeight="1" s="586">
      <c r="A63" s="660" t="inlineStr">
        <is>
          <t xml:space="preserve">  Handsets - Digital (incl. DECT)</t>
        </is>
      </c>
      <c r="B63" s="641" t="n">
        <v>548883.848483586</v>
      </c>
      <c r="C63" s="641" t="n">
        <v>810481.057136329</v>
      </c>
      <c r="D63" s="641" t="n">
        <v>777479.5062851229</v>
      </c>
      <c r="E63" s="641" t="n">
        <v>727252.345190831</v>
      </c>
      <c r="F63" s="641" t="n">
        <v>676838.185190831</v>
      </c>
      <c r="G63" s="672">
        <f>SUM(B63:F63)</f>
        <v/>
      </c>
    </row>
    <row r="64" ht="13.2" customHeight="1" s="586">
      <c r="A64" s="660" t="inlineStr">
        <is>
          <t xml:space="preserve">  Handsets - Analog</t>
        </is>
      </c>
      <c r="B64" s="641" t="n">
        <v>152958.786354875</v>
      </c>
      <c r="C64" s="641" t="n">
        <v>152409.68821274</v>
      </c>
      <c r="D64" s="641" t="n">
        <v>145188.227643799</v>
      </c>
      <c r="E64" s="641" t="n">
        <v>134197.427091194</v>
      </c>
      <c r="F64" s="641" t="n">
        <v>125084.267091194</v>
      </c>
      <c r="G64" s="672">
        <f>SUM(B64:F64)</f>
        <v/>
      </c>
    </row>
    <row r="65" ht="13.2" customHeight="1" s="586">
      <c r="A65" s="660" t="inlineStr">
        <is>
          <t>Cellular Phones management fee</t>
        </is>
      </c>
      <c r="B65" s="590" t="n">
        <v>398284.310567809</v>
      </c>
      <c r="C65" s="641" t="n">
        <v>384070.641655902</v>
      </c>
      <c r="D65" s="641" t="n">
        <v>358253.126287512</v>
      </c>
      <c r="E65" s="641" t="n">
        <v>334952.010919123</v>
      </c>
      <c r="F65" s="641" t="n">
        <v>313143.210919123</v>
      </c>
      <c r="G65" s="672">
        <f>SUM(B65:F65)</f>
        <v/>
      </c>
    </row>
    <row r="66" ht="13.2" customHeight="1" s="586">
      <c r="A66" s="660" t="inlineStr">
        <is>
          <t xml:space="preserve">  Cellular Phones subscription</t>
        </is>
      </c>
      <c r="B66" s="641" t="n">
        <v>234864</v>
      </c>
      <c r="C66" s="641" t="n">
        <v>322938</v>
      </c>
      <c r="D66" s="641" t="n">
        <v>293580</v>
      </c>
      <c r="E66" s="641" t="n">
        <v>264222</v>
      </c>
      <c r="F66" s="641" t="n">
        <v>234864</v>
      </c>
      <c r="G66" s="672">
        <f>SUM(B66:F66)</f>
        <v/>
      </c>
    </row>
    <row r="67" ht="13.2" customHeight="1" s="586">
      <c r="A67" s="660" t="inlineStr">
        <is>
          <t xml:space="preserve">  Cellular Phones refresh (budget) + lease fees</t>
        </is>
      </c>
      <c r="B67" s="641" t="n">
        <v>211307.7</v>
      </c>
      <c r="C67" s="641" t="n">
        <v>211307.7</v>
      </c>
      <c r="D67" s="641" t="n">
        <v>211307.7</v>
      </c>
      <c r="E67" s="641" t="n">
        <v>211307.7</v>
      </c>
      <c r="F67" s="641" t="n">
        <v>211307.7</v>
      </c>
      <c r="G67" s="672">
        <f>SUM(B67:F67)</f>
        <v/>
      </c>
    </row>
    <row r="68" ht="13.2" customHeight="1" s="586">
      <c r="A68" s="660" t="inlineStr">
        <is>
          <t>GPRS/UMTS Cards or Devices management fee</t>
        </is>
      </c>
      <c r="B68" s="644" t="n"/>
      <c r="C68" s="644" t="n"/>
      <c r="D68" s="644" t="n"/>
      <c r="E68" s="644" t="n"/>
      <c r="F68" s="644" t="n"/>
      <c r="G68" s="719">
        <f>SUM(B68:F68)</f>
        <v/>
      </c>
    </row>
    <row r="69" ht="13.2" customHeight="1" s="586">
      <c r="A69" s="660" t="inlineStr">
        <is>
          <t xml:space="preserve">  GPRS/UMTS Cards or Devices subscription</t>
        </is>
      </c>
      <c r="B69" s="644" t="n"/>
      <c r="C69" s="644" t="n"/>
      <c r="D69" s="644" t="n"/>
      <c r="E69" s="644" t="n"/>
      <c r="F69" s="644" t="n"/>
      <c r="G69" s="719">
        <f>SUM(B69:F69)</f>
        <v/>
      </c>
    </row>
    <row r="70" ht="13.2" customHeight="1" s="586">
      <c r="A70" s="660" t="inlineStr">
        <is>
          <t xml:space="preserve">  GPRS/UMTS Cards or Devices refresh (budget)</t>
        </is>
      </c>
      <c r="B70" s="644" t="n"/>
      <c r="C70" s="644" t="n"/>
      <c r="D70" s="644" t="n"/>
      <c r="E70" s="644" t="n"/>
      <c r="F70" s="644" t="n"/>
      <c r="G70" s="719">
        <f>SUM(B70:F70)</f>
        <v/>
      </c>
    </row>
    <row r="71" ht="13.2" customHeight="1" s="586">
      <c r="A71" s="666" t="inlineStr">
        <is>
          <t>Blackberries management fee</t>
        </is>
      </c>
      <c r="B71" s="641" t="n">
        <v>12381.8297754622</v>
      </c>
      <c r="C71" s="641" t="n">
        <v>14760.5835683987</v>
      </c>
      <c r="D71" s="641" t="n">
        <v>16727.4288713726</v>
      </c>
      <c r="E71" s="641" t="n">
        <v>18386.6543183838</v>
      </c>
      <c r="F71" s="641" t="n">
        <v>19742.9978166104</v>
      </c>
      <c r="G71" s="672">
        <f>SUM(B71:F71)</f>
        <v/>
      </c>
    </row>
    <row r="72" ht="13.2" customHeight="1" s="586">
      <c r="A72" s="666" t="inlineStr">
        <is>
          <t xml:space="preserve">  Blackberries subscription (data)</t>
        </is>
      </c>
      <c r="B72" s="641" t="n">
        <v>90720</v>
      </c>
      <c r="C72" s="641" t="n">
        <v>115920</v>
      </c>
      <c r="D72" s="641" t="n">
        <v>134064</v>
      </c>
      <c r="E72" s="641" t="n">
        <v>150103.8</v>
      </c>
      <c r="F72" s="641" t="n">
        <v>164204.46</v>
      </c>
      <c r="G72" s="672">
        <f>SUM(B72:F72)</f>
        <v/>
      </c>
    </row>
    <row r="73" ht="13.2" customHeight="1" s="586">
      <c r="A73" s="666" t="inlineStr">
        <is>
          <t xml:space="preserve">  Blackberries refresh / new CAL licence (budget)</t>
        </is>
      </c>
      <c r="B73" s="641" t="n">
        <v>32300.1037344398</v>
      </c>
      <c r="C73" s="641" t="n">
        <v>41272.3547717842</v>
      </c>
      <c r="D73" s="641" t="n">
        <v>50244.6058091286</v>
      </c>
      <c r="E73" s="641" t="n">
        <v>59216.856846473</v>
      </c>
      <c r="F73" s="641" t="n">
        <v>68189.1078838174</v>
      </c>
      <c r="G73" s="672">
        <f>SUM(B73:F73)</f>
        <v/>
      </c>
    </row>
    <row r="74" ht="13.2" customHeight="1" s="586">
      <c r="A74" s="640" t="inlineStr">
        <is>
          <t>Internal Pagers management fee</t>
        </is>
      </c>
      <c r="B74" s="641" t="n">
        <v>14700</v>
      </c>
      <c r="C74" s="641" t="n">
        <v>13566</v>
      </c>
      <c r="D74" s="641" t="n">
        <v>12474</v>
      </c>
      <c r="E74" s="641" t="n">
        <v>11466</v>
      </c>
      <c r="F74" s="641" t="n">
        <v>10668</v>
      </c>
      <c r="G74" s="672">
        <f>SUM(B74:F74)</f>
        <v/>
      </c>
    </row>
    <row r="75" ht="13.2" customHeight="1" s="586">
      <c r="A75" s="640" t="inlineStr">
        <is>
          <t xml:space="preserve">  Internal Pagers refresh (budget)</t>
        </is>
      </c>
      <c r="B75" s="641" t="n">
        <v>20825</v>
      </c>
      <c r="C75" s="641" t="n">
        <v>20825</v>
      </c>
      <c r="D75" s="641" t="n">
        <v>20825</v>
      </c>
      <c r="E75" s="641" t="n">
        <v>20825</v>
      </c>
      <c r="F75" s="641" t="n">
        <v>20825</v>
      </c>
      <c r="G75" s="672">
        <f>SUM(B75:F75)</f>
        <v/>
      </c>
    </row>
    <row r="76" ht="13.2" customHeight="1" s="586">
      <c r="A76" s="640" t="inlineStr">
        <is>
          <t>External Pagers management fee</t>
        </is>
      </c>
      <c r="B76" s="644" t="n"/>
      <c r="C76" s="644" t="n"/>
      <c r="D76" s="644" t="n"/>
      <c r="E76" s="644" t="n"/>
      <c r="F76" s="644" t="n"/>
      <c r="G76" s="719">
        <f>SUM(B76:F76)</f>
        <v/>
      </c>
    </row>
    <row r="77" ht="13.2" customHeight="1" s="586">
      <c r="A77" s="640" t="inlineStr">
        <is>
          <t xml:space="preserve">  External Pagers refresh (budget)</t>
        </is>
      </c>
      <c r="B77" s="644" t="n"/>
      <c r="C77" s="644" t="n"/>
      <c r="D77" s="644" t="n"/>
      <c r="E77" s="644" t="n"/>
      <c r="F77" s="644" t="n"/>
      <c r="G77" s="719">
        <f>SUM(B77:F77)</f>
        <v/>
      </c>
    </row>
    <row r="78" ht="13.2" customHeight="1" s="586">
      <c r="A78" s="671" t="n"/>
      <c r="B78" s="644" t="n"/>
      <c r="C78" s="644" t="n"/>
      <c r="D78" s="644" t="n"/>
      <c r="E78" s="644" t="n"/>
      <c r="F78" s="644" t="n"/>
      <c r="G78" s="719" t="n"/>
    </row>
    <row r="79" ht="13.2" customHeight="1" s="586">
      <c r="A79" s="673" t="inlineStr">
        <is>
          <t>VOICE</t>
        </is>
      </c>
      <c r="B79" s="736" t="n"/>
      <c r="C79" s="736" t="n"/>
      <c r="D79" s="736" t="n"/>
      <c r="E79" s="736" t="n"/>
      <c r="F79" s="736" t="n"/>
      <c r="G79" s="734" t="n"/>
      <c r="I79" s="590" t="n"/>
    </row>
    <row r="80" ht="13.2" customHeight="1" s="586">
      <c r="A80" s="660" t="inlineStr">
        <is>
          <t>Domestic Outbound Calls - Local</t>
        </is>
      </c>
      <c r="B80" s="641" t="n">
        <v>692717.498414761</v>
      </c>
      <c r="C80" s="641" t="n">
        <v>662268.37760532</v>
      </c>
      <c r="D80" s="641" t="n">
        <v>650849.957301781</v>
      </c>
      <c r="E80" s="641" t="n">
        <v>635625.39689706</v>
      </c>
      <c r="F80" s="641" t="n">
        <v>620400.83649234</v>
      </c>
      <c r="G80" s="672">
        <f>SUM(B80:F80)</f>
        <v/>
      </c>
      <c r="I80" s="590" t="n"/>
    </row>
    <row r="81" ht="13.2" customHeight="1" s="586">
      <c r="A81" s="660" t="inlineStr">
        <is>
          <t>Domestic Outbound Calls - Long Distance</t>
        </is>
      </c>
      <c r="B81" s="644" t="n"/>
      <c r="C81" s="644" t="n"/>
      <c r="D81" s="644" t="n"/>
      <c r="E81" s="644" t="n"/>
      <c r="F81" s="644" t="n"/>
      <c r="G81" s="719">
        <f>SUM(B81:F81)</f>
        <v/>
      </c>
      <c r="I81" s="590" t="n"/>
    </row>
    <row r="82" ht="13.2" customHeight="1" s="586">
      <c r="A82" s="660" t="inlineStr">
        <is>
          <t>Domestic Outbound Calls - Cellular</t>
        </is>
      </c>
      <c r="B82" s="641" t="n">
        <v>952787.045065126</v>
      </c>
      <c r="C82" s="641" t="n">
        <v>788772.455178751</v>
      </c>
      <c r="D82" s="641" t="n">
        <v>721413.791546025</v>
      </c>
      <c r="E82" s="641" t="n">
        <v>721413.791546025</v>
      </c>
      <c r="F82" s="641" t="n">
        <v>721413.791546025</v>
      </c>
      <c r="G82" s="672">
        <f>SUM(B82:F82)</f>
        <v/>
      </c>
      <c r="I82" s="590" t="n"/>
    </row>
    <row r="83" ht="13.2" customHeight="1" s="586">
      <c r="A83" s="660" t="inlineStr">
        <is>
          <t>International Outbound Calls</t>
        </is>
      </c>
      <c r="B83" s="641" t="n">
        <v>170542.225134169</v>
      </c>
      <c r="C83" s="641" t="n">
        <v>149489.136101725</v>
      </c>
      <c r="D83" s="641" t="n">
        <v>149489.136101725</v>
      </c>
      <c r="E83" s="641" t="n">
        <v>149489.136101725</v>
      </c>
      <c r="F83" s="641" t="n">
        <v>149489.136101725</v>
      </c>
      <c r="G83" s="672">
        <f>SUM(B83:F83)</f>
        <v/>
      </c>
      <c r="I83" s="590" t="n"/>
    </row>
    <row r="84" ht="13.2" customHeight="1" s="586">
      <c r="A84" s="660" t="inlineStr">
        <is>
          <t>Free phone Service Calls</t>
        </is>
      </c>
      <c r="B84" s="644" t="n"/>
      <c r="C84" s="644" t="n"/>
      <c r="D84" s="644" t="n"/>
      <c r="E84" s="644" t="n"/>
      <c r="F84" s="644" t="n"/>
      <c r="G84" s="719">
        <f>SUM(B84:F84)</f>
        <v/>
      </c>
      <c r="I84" s="590" t="n"/>
    </row>
    <row r="85" ht="13.2" customHeight="1" s="586">
      <c r="A85" s="660" t="inlineStr">
        <is>
          <t>Mobile - national</t>
        </is>
      </c>
      <c r="B85" s="641" t="n">
        <v>269751.140352</v>
      </c>
      <c r="C85" s="641" t="n">
        <v>384395.3750016</v>
      </c>
      <c r="D85" s="641" t="n">
        <v>365175.60625152</v>
      </c>
      <c r="E85" s="641" t="n">
        <v>346916.825938944</v>
      </c>
      <c r="F85" s="641" t="n">
        <v>329570.984641997</v>
      </c>
      <c r="G85" s="672">
        <f>SUM(B85:F85)</f>
        <v/>
      </c>
      <c r="I85" s="590" t="n"/>
    </row>
    <row r="86" ht="13.2" customHeight="1" s="586">
      <c r="A86" s="660" t="inlineStr">
        <is>
          <t>Mobile - international</t>
        </is>
      </c>
      <c r="B86" s="641" t="n">
        <v>17563.4240689121</v>
      </c>
      <c r="C86" s="641" t="n">
        <v>25027.8792981998</v>
      </c>
      <c r="D86" s="641" t="n">
        <v>23776.4853332898</v>
      </c>
      <c r="E86" s="641" t="n">
        <v>22587.6610666253</v>
      </c>
      <c r="F86" s="641" t="n">
        <v>21458.278013294</v>
      </c>
      <c r="G86" s="672">
        <f>SUM(B86:F86)</f>
        <v/>
      </c>
      <c r="I86" s="590" t="n"/>
    </row>
    <row r="87" ht="13.2" customHeight="1" s="586">
      <c r="A87" s="660" t="inlineStr">
        <is>
          <t>Mobile - roaming outbound</t>
        </is>
      </c>
      <c r="B87" s="641" t="n">
        <v>67069.37232264</v>
      </c>
      <c r="C87" s="641" t="n">
        <v>95573.8555597619</v>
      </c>
      <c r="D87" s="641" t="n">
        <v>90795.1627817738</v>
      </c>
      <c r="E87" s="641" t="n">
        <v>86255.4046426851</v>
      </c>
      <c r="F87" s="641" t="n">
        <v>81942.63441055091</v>
      </c>
      <c r="G87" s="672">
        <f>SUM(B87:F87)</f>
        <v/>
      </c>
      <c r="I87" s="590" t="n"/>
    </row>
    <row r="88" ht="13.2" customHeight="1" s="586">
      <c r="A88" s="660" t="inlineStr">
        <is>
          <t>Mobile - roaming inbound</t>
        </is>
      </c>
      <c r="B88" s="641" t="n">
        <v>23988.4300156831</v>
      </c>
      <c r="C88" s="641" t="n">
        <v>34183.5127723484</v>
      </c>
      <c r="D88" s="641" t="n">
        <v>32474.337133731</v>
      </c>
      <c r="E88" s="641" t="n">
        <v>30850.6202770444</v>
      </c>
      <c r="F88" s="641" t="n">
        <v>29308.0892631922</v>
      </c>
      <c r="G88" s="672">
        <f>SUM(B88:F88)</f>
        <v/>
      </c>
      <c r="I88" s="590" t="n"/>
    </row>
    <row r="89" ht="13.2" customHeight="1" s="586">
      <c r="A89" s="660" t="inlineStr">
        <is>
          <t>Free phone Services Dedicated per min.</t>
        </is>
      </c>
      <c r="B89" s="644" t="n"/>
      <c r="C89" s="644" t="n"/>
      <c r="D89" s="644" t="n"/>
      <c r="E89" s="644" t="n"/>
      <c r="F89" s="644" t="n"/>
      <c r="G89" s="719">
        <f>SUM(B89:F89)</f>
        <v/>
      </c>
      <c r="I89" s="590" t="n"/>
    </row>
    <row r="90" ht="13.2" customHeight="1" s="586">
      <c r="A90" s="674" t="inlineStr">
        <is>
          <t>High Tariff Outbound Calls (0900)</t>
        </is>
      </c>
      <c r="B90" s="641" t="n">
        <v>5811.9886818068</v>
      </c>
      <c r="C90" s="641" t="n">
        <v>2905.9943409034</v>
      </c>
      <c r="D90" s="641" t="n">
        <v>2905.9943409034</v>
      </c>
      <c r="E90" s="641" t="n">
        <v>2905.9943409034</v>
      </c>
      <c r="F90" s="641" t="n">
        <v>2905.9943409034</v>
      </c>
      <c r="G90" s="672">
        <f>SUM(B90:F90)</f>
        <v/>
      </c>
      <c r="I90" s="590" t="n"/>
    </row>
    <row r="91" ht="13.2" customHeight="1" s="586">
      <c r="A91" s="674" t="inlineStr">
        <is>
          <t>High Tariff Outbound Calls (0676 internet)</t>
        </is>
      </c>
      <c r="B91" s="641" t="n">
        <v>57072.069201378</v>
      </c>
      <c r="C91" s="641" t="n">
        <v>57072.069201378</v>
      </c>
      <c r="D91" s="641" t="n">
        <v>57072.069201378</v>
      </c>
      <c r="E91" s="641" t="n">
        <v>57072.069201378</v>
      </c>
      <c r="F91" s="641" t="n">
        <v>57072.069201378</v>
      </c>
      <c r="G91" s="672">
        <f>SUM(B91:F91)</f>
        <v/>
      </c>
      <c r="I91" s="590" t="n"/>
    </row>
    <row r="92" ht="13.2" customHeight="1" s="586">
      <c r="A92" s="674" t="inlineStr">
        <is>
          <t>High Tariff Outbound Calls  Other</t>
        </is>
      </c>
      <c r="B92" s="644" t="n"/>
      <c r="C92" s="644" t="n"/>
      <c r="D92" s="644" t="n"/>
      <c r="E92" s="644" t="n"/>
      <c r="F92" s="644" t="n"/>
      <c r="G92" s="719">
        <f>SUM(B92:F92)</f>
        <v/>
      </c>
      <c r="I92" s="590" t="n"/>
    </row>
    <row r="93" ht="13.2" customHeight="1" s="586">
      <c r="A93" s="660" t="inlineStr">
        <is>
          <t>Voice - Directory Assistance Calls per call</t>
        </is>
      </c>
      <c r="B93" s="641" t="n">
        <v>54900</v>
      </c>
      <c r="C93" s="641" t="n">
        <v>54900</v>
      </c>
      <c r="D93" s="641" t="n">
        <v>54900</v>
      </c>
      <c r="E93" s="641" t="n">
        <v>54900</v>
      </c>
      <c r="F93" s="641" t="n">
        <v>54900</v>
      </c>
      <c r="G93" s="672">
        <f>SUM(B93:F93)</f>
        <v/>
      </c>
      <c r="I93" s="590" t="n"/>
    </row>
    <row r="94" ht="13.2" customHeight="1" s="586">
      <c r="A94" s="660" t="inlineStr">
        <is>
          <t>Voice - Hard IMACS</t>
        </is>
      </c>
      <c r="B94" s="599" t="n">
        <v>198644.770723404</v>
      </c>
      <c r="C94" s="599" t="n">
        <v>198644.770723404</v>
      </c>
      <c r="D94" s="599" t="n">
        <v>198644.770723404</v>
      </c>
      <c r="E94" s="599" t="n">
        <v>198644.770723404</v>
      </c>
      <c r="F94" s="599" t="n">
        <v>198644.770723404</v>
      </c>
      <c r="G94" s="672">
        <f>SUM(B94:F94)</f>
        <v/>
      </c>
      <c r="I94" s="590" t="n"/>
    </row>
    <row r="95" ht="13.2" customHeight="1" s="586">
      <c r="A95" s="675" t="n"/>
      <c r="B95" s="602" t="n"/>
      <c r="C95" s="602" t="n"/>
      <c r="D95" s="602" t="n"/>
      <c r="E95" s="602" t="n"/>
      <c r="F95" s="602" t="n"/>
      <c r="G95" s="737" t="n"/>
      <c r="I95" s="590" t="n"/>
    </row>
    <row r="96" ht="13.2" customHeight="1" s="586">
      <c r="A96" s="678" t="inlineStr">
        <is>
          <t>Subscriptions</t>
        </is>
      </c>
      <c r="B96" s="679" t="n"/>
      <c r="C96" s="679" t="n"/>
      <c r="D96" s="679" t="n"/>
      <c r="E96" s="679" t="n"/>
      <c r="F96" s="679" t="n"/>
      <c r="G96" s="738" t="n"/>
      <c r="I96" s="590" t="n"/>
    </row>
    <row r="97" ht="13.2" customHeight="1" s="586">
      <c r="A97" s="739" t="inlineStr">
        <is>
          <t>ISDN 1</t>
        </is>
      </c>
      <c r="B97" s="704" t="n"/>
      <c r="C97" s="704" t="n"/>
      <c r="D97" s="704" t="n"/>
      <c r="E97" s="704" t="n"/>
      <c r="F97" s="704" t="n"/>
      <c r="G97" s="719">
        <f>SUM(B97:F97)</f>
        <v/>
      </c>
      <c r="I97" s="590" t="n"/>
    </row>
    <row r="98" ht="13.2" customHeight="1" s="586">
      <c r="A98" s="739" t="inlineStr">
        <is>
          <t>ISDN 2</t>
        </is>
      </c>
      <c r="B98" s="599" t="n">
        <v>808404</v>
      </c>
      <c r="C98" s="599" t="n">
        <v>732540</v>
      </c>
      <c r="D98" s="599" t="n">
        <v>732540</v>
      </c>
      <c r="E98" s="599" t="n">
        <v>732540</v>
      </c>
      <c r="F98" s="599" t="n">
        <v>732540</v>
      </c>
      <c r="G98" s="672">
        <f>SUM(B98:F98)</f>
        <v/>
      </c>
      <c r="I98" s="590" t="n"/>
    </row>
    <row r="99" ht="13.2" customHeight="1" s="586">
      <c r="A99" s="739" t="inlineStr">
        <is>
          <t>ISDN 15</t>
        </is>
      </c>
      <c r="B99" s="704" t="n"/>
      <c r="C99" s="704" t="n"/>
      <c r="D99" s="704" t="n"/>
      <c r="E99" s="704" t="n"/>
      <c r="F99" s="704" t="n"/>
      <c r="G99" s="719">
        <f>SUM(B99:F99)</f>
        <v/>
      </c>
      <c r="I99" s="590" t="n"/>
    </row>
    <row r="100" ht="13.2" customHeight="1" s="586">
      <c r="A100" s="739" t="inlineStr">
        <is>
          <t xml:space="preserve">ISDN 30  </t>
        </is>
      </c>
      <c r="B100" s="599" t="n">
        <v>503304</v>
      </c>
      <c r="C100" s="599" t="n">
        <v>450720</v>
      </c>
      <c r="D100" s="599" t="n">
        <v>450720</v>
      </c>
      <c r="E100" s="599" t="n">
        <v>450720</v>
      </c>
      <c r="F100" s="599" t="n">
        <v>450720</v>
      </c>
      <c r="G100" s="672">
        <f>SUM(B100:F100)</f>
        <v/>
      </c>
      <c r="I100" s="590" t="n"/>
    </row>
    <row r="101" ht="13.2" customHeight="1" s="586">
      <c r="A101" s="739" t="inlineStr">
        <is>
          <t>ISDN 30 (CPA)</t>
        </is>
      </c>
      <c r="B101" s="704" t="n"/>
      <c r="C101" s="704" t="n"/>
      <c r="D101" s="704" t="n"/>
      <c r="E101" s="704" t="n"/>
      <c r="F101" s="704" t="n"/>
      <c r="G101" s="719">
        <f>SUM(B101:F101)</f>
        <v/>
      </c>
      <c r="I101" s="590" t="n"/>
    </row>
    <row r="102" ht="13.2" customHeight="1" s="586">
      <c r="A102" s="739" t="inlineStr">
        <is>
          <t>Dual homing telephony</t>
        </is>
      </c>
      <c r="B102" s="704" t="n"/>
      <c r="C102" s="704" t="n"/>
      <c r="D102" s="704" t="n"/>
      <c r="E102" s="704" t="n"/>
      <c r="F102" s="704" t="n"/>
      <c r="G102" s="719">
        <f>SUM(B102:F102)</f>
        <v/>
      </c>
      <c r="I102" s="590" t="n"/>
    </row>
    <row r="103" ht="13.2" customHeight="1" s="586">
      <c r="A103" s="739" t="inlineStr">
        <is>
          <t>DDI reserved numbers (10)</t>
        </is>
      </c>
      <c r="B103" s="599" t="n">
        <v>77495.03999999999</v>
      </c>
      <c r="C103" s="599" t="n">
        <v>72941.75999999999</v>
      </c>
      <c r="D103" s="599" t="n">
        <v>72941.75999999999</v>
      </c>
      <c r="E103" s="599" t="n">
        <v>72941.75999999999</v>
      </c>
      <c r="F103" s="599" t="n">
        <v>72941.75999999999</v>
      </c>
      <c r="G103" s="672">
        <f>SUM(B103:F103)</f>
        <v/>
      </c>
      <c r="I103" s="590" t="n"/>
    </row>
    <row r="104" ht="13.2" customHeight="1" s="586">
      <c r="A104" s="739" t="inlineStr">
        <is>
          <t>DDI reserved numbers (100)</t>
        </is>
      </c>
      <c r="B104" s="599" t="n">
        <v>38016</v>
      </c>
      <c r="C104" s="599" t="n">
        <v>36480</v>
      </c>
      <c r="D104" s="599" t="n">
        <v>36480</v>
      </c>
      <c r="E104" s="599" t="n">
        <v>36480</v>
      </c>
      <c r="F104" s="599" t="n">
        <v>36480</v>
      </c>
      <c r="G104" s="672">
        <f>SUM(B104:F104)</f>
        <v/>
      </c>
      <c r="I104" s="590" t="n"/>
    </row>
    <row r="105" ht="13.2" customHeight="1" s="586">
      <c r="A105" s="739" t="inlineStr">
        <is>
          <t>DDI reserved numbers (1000)</t>
        </is>
      </c>
      <c r="B105" s="599" t="n">
        <v>27648</v>
      </c>
      <c r="C105" s="599" t="n">
        <v>26112</v>
      </c>
      <c r="D105" s="599" t="n">
        <v>26112</v>
      </c>
      <c r="E105" s="599" t="n">
        <v>26112</v>
      </c>
      <c r="F105" s="599" t="n">
        <v>26112</v>
      </c>
      <c r="G105" s="672">
        <f>SUM(B105:F105)</f>
        <v/>
      </c>
      <c r="I105" s="590" t="n"/>
    </row>
    <row r="106" ht="13.2" customHeight="1" s="586">
      <c r="A106" s="739" t="inlineStr">
        <is>
          <t>DDI reserved numbers (10000)</t>
        </is>
      </c>
      <c r="B106" s="704" t="n"/>
      <c r="C106" s="704" t="n"/>
      <c r="D106" s="704" t="n"/>
      <c r="E106" s="704" t="n"/>
      <c r="F106" s="704" t="n"/>
      <c r="G106" s="719">
        <f>SUM(B106:F106)</f>
        <v/>
      </c>
      <c r="I106" s="590" t="n"/>
    </row>
    <row r="107" ht="13.2" customHeight="1" s="586">
      <c r="A107" s="739" t="inlineStr">
        <is>
          <t>DDI facilities</t>
        </is>
      </c>
      <c r="B107" s="704" t="n"/>
      <c r="C107" s="704" t="n"/>
      <c r="D107" s="704" t="n"/>
      <c r="E107" s="704" t="n"/>
      <c r="F107" s="704" t="n"/>
      <c r="G107" s="719">
        <f>SUM(B107:F107)</f>
        <v/>
      </c>
      <c r="I107" s="590" t="n"/>
    </row>
    <row r="108" ht="13.2" customHeight="1" s="586">
      <c r="A108" s="739" t="inlineStr">
        <is>
          <t>Calamity services</t>
        </is>
      </c>
      <c r="B108" s="704" t="n"/>
      <c r="C108" s="704" t="n"/>
      <c r="D108" s="704" t="n"/>
      <c r="E108" s="704" t="n"/>
      <c r="F108" s="704" t="n"/>
      <c r="G108" s="719">
        <f>SUM(B108:F108)</f>
        <v/>
      </c>
      <c r="I108" s="590" t="n"/>
    </row>
    <row r="109" ht="13.2" customHeight="1" s="586">
      <c r="A109" s="739" t="inlineStr">
        <is>
          <t>Infrastructure services</t>
        </is>
      </c>
      <c r="B109" s="704" t="n"/>
      <c r="C109" s="704" t="n"/>
      <c r="D109" s="704" t="n"/>
      <c r="E109" s="704" t="n"/>
      <c r="F109" s="704" t="n"/>
      <c r="G109" s="719">
        <f>SUM(B109:F109)</f>
        <v/>
      </c>
      <c r="I109" s="590" t="n"/>
    </row>
    <row r="110" ht="13.2" customHeight="1" s="586">
      <c r="A110" s="739" t="inlineStr">
        <is>
          <t>ADSL</t>
        </is>
      </c>
      <c r="B110" s="704" t="n"/>
      <c r="C110" s="704" t="n"/>
      <c r="D110" s="704" t="n"/>
      <c r="E110" s="704" t="n"/>
      <c r="F110" s="704" t="n"/>
      <c r="G110" s="719">
        <f>SUM(B110:F110)</f>
        <v/>
      </c>
      <c r="I110" s="590" t="n"/>
    </row>
    <row r="111" ht="13.2" customHeight="1" s="586">
      <c r="A111" s="739" t="inlineStr">
        <is>
          <t>PSTN</t>
        </is>
      </c>
      <c r="B111" s="599" t="n">
        <v>181856.88</v>
      </c>
      <c r="C111" s="599" t="n">
        <v>146752.68</v>
      </c>
      <c r="D111" s="599" t="n">
        <v>146752.68</v>
      </c>
      <c r="E111" s="599" t="n">
        <v>146752.68</v>
      </c>
      <c r="F111" s="599" t="n">
        <v>146752.68</v>
      </c>
      <c r="G111" s="672">
        <f>SUM(B111:F111)</f>
        <v/>
      </c>
      <c r="I111" s="590" t="n"/>
    </row>
    <row r="112" ht="13.8" customHeight="1" s="586">
      <c r="A112" s="740" t="inlineStr">
        <is>
          <t>Telex</t>
        </is>
      </c>
      <c r="B112" s="741" t="n"/>
      <c r="C112" s="741" t="n"/>
      <c r="D112" s="741" t="n"/>
      <c r="E112" s="741" t="n"/>
      <c r="F112" s="741" t="n"/>
      <c r="G112" s="742">
        <f>SUM(B112:F112)</f>
        <v/>
      </c>
      <c r="I112" s="590" t="n"/>
    </row>
    <row r="113" ht="13.8" customHeight="1" s="586">
      <c r="A113" s="651" t="inlineStr">
        <is>
          <t>TOTAL VOICE SERVICES</t>
        </is>
      </c>
      <c r="B113" s="743">
        <f>SUM(B55:B112)</f>
        <v/>
      </c>
      <c r="C113" s="743">
        <f>SUM(C55:C112)</f>
        <v/>
      </c>
      <c r="D113" s="743">
        <f>SUM(D55:D112)</f>
        <v/>
      </c>
      <c r="E113" s="743">
        <f>SUM(E55:E112)</f>
        <v/>
      </c>
      <c r="F113" s="743">
        <f>SUM(F55:F112)</f>
        <v/>
      </c>
      <c r="G113" s="743">
        <f>SUM(B113:F113)</f>
        <v/>
      </c>
      <c r="I113" s="590" t="n"/>
    </row>
    <row r="114" ht="13.8" customHeight="1" s="586">
      <c r="A114" s="724" t="inlineStr">
        <is>
          <t>Desktop Hardware Services</t>
        </is>
      </c>
      <c r="B114" s="725" t="n"/>
      <c r="C114" s="725" t="n"/>
      <c r="D114" s="725" t="n"/>
      <c r="E114" s="725" t="n"/>
      <c r="F114" s="725" t="n"/>
      <c r="G114" s="726" t="n"/>
    </row>
    <row r="115" ht="13.2" customHeight="1" s="586">
      <c r="A115" s="685" t="n"/>
      <c r="B115" s="712" t="n"/>
      <c r="C115" s="712" t="n"/>
      <c r="D115" s="712" t="n"/>
      <c r="E115" s="712" t="n"/>
      <c r="F115" s="712" t="n"/>
      <c r="G115" s="744" t="n"/>
    </row>
    <row r="116" ht="13.8" customHeight="1" s="586">
      <c r="A116" s="640" t="inlineStr">
        <is>
          <t>Desktop Hardware Services</t>
        </is>
      </c>
      <c r="B116" s="695" t="n">
        <v>1723438.51588339</v>
      </c>
      <c r="C116" s="695" t="n">
        <v>1451547.05331392</v>
      </c>
      <c r="D116" s="695" t="n">
        <v>2278340.19043371</v>
      </c>
      <c r="E116" s="695" t="n">
        <v>1723438.51588339</v>
      </c>
      <c r="F116" s="695" t="n">
        <v>1451547.05331392</v>
      </c>
      <c r="G116" s="672">
        <f>SUM(B116:F116)</f>
        <v/>
      </c>
    </row>
    <row r="117" ht="13.8" customHeight="1" s="586">
      <c r="A117" s="651" t="inlineStr">
        <is>
          <t>TOTAL DESKTOP HARDWARE SERVICES</t>
        </is>
      </c>
      <c r="B117" s="700">
        <f>SUM(B115:B116)</f>
        <v/>
      </c>
      <c r="C117" s="700">
        <f>SUM(C115:C116)</f>
        <v/>
      </c>
      <c r="D117" s="700">
        <f>SUM(D115:D116)</f>
        <v/>
      </c>
      <c r="E117" s="700">
        <f>SUM(E115:E116)</f>
        <v/>
      </c>
      <c r="F117" s="700">
        <f>SUM(F115:F116)</f>
        <v/>
      </c>
      <c r="G117" s="700">
        <f>SUM(B117:F117)</f>
        <v/>
      </c>
    </row>
    <row r="118" ht="13.8" customHeight="1" s="586">
      <c r="A118" s="714" t="inlineStr">
        <is>
          <t>Server Management</t>
        </is>
      </c>
      <c r="B118" s="745" t="n"/>
      <c r="C118" s="745" t="n"/>
      <c r="D118" s="745" t="n"/>
      <c r="E118" s="745" t="n"/>
      <c r="F118" s="745" t="n"/>
      <c r="G118" s="745" t="n"/>
    </row>
    <row r="119" ht="13.8" customHeight="1" s="586">
      <c r="A119" s="687" t="inlineStr">
        <is>
          <t>Support Services</t>
        </is>
      </c>
      <c r="B119" s="693" t="n"/>
      <c r="C119" s="693" t="n"/>
      <c r="D119" s="693" t="n"/>
      <c r="E119" s="693" t="n"/>
      <c r="F119" s="693" t="n"/>
      <c r="G119" s="693" t="n"/>
    </row>
    <row r="120" ht="37.5" customHeight="1" s="586">
      <c r="A120" s="640" t="n"/>
      <c r="B120" s="695">
        <f>Facilities!D51</f>
        <v/>
      </c>
      <c r="C120" s="695">
        <f>Facilities!E51</f>
        <v/>
      </c>
      <c r="D120" s="695" t="n"/>
      <c r="E120" s="695" t="n"/>
      <c r="F120" s="695" t="n"/>
      <c r="G120" s="672">
        <f>SUM(B120:F120)</f>
        <v/>
      </c>
      <c r="H120" s="649" t="inlineStr">
        <is>
          <t>Row used for PST reimbursement for use of EuroBank facilities</t>
        </is>
      </c>
    </row>
    <row r="121" ht="13.2" customHeight="1" s="586">
      <c r="A121" s="640" t="inlineStr">
        <is>
          <t>Servers</t>
        </is>
      </c>
      <c r="B121" s="695" t="n">
        <v>2221193</v>
      </c>
      <c r="C121" s="695" t="n">
        <v>2446829.33435659</v>
      </c>
      <c r="D121" s="695" t="n">
        <v>3429329.48852095</v>
      </c>
      <c r="E121" s="695" t="n">
        <v>1560864.5814677</v>
      </c>
      <c r="F121" s="695" t="n">
        <v>1526982.02337468</v>
      </c>
      <c r="G121" s="672">
        <f>SUM(B121:F121)</f>
        <v/>
      </c>
    </row>
    <row r="122" ht="13.2" customHeight="1" s="586">
      <c r="A122" s="640" t="n"/>
      <c r="B122" s="695" t="n"/>
      <c r="C122" s="695" t="n"/>
      <c r="D122" s="695" t="n"/>
      <c r="E122" s="695" t="n"/>
      <c r="F122" s="695" t="n"/>
      <c r="G122" s="719">
        <f>SUM(B122:F122)</f>
        <v/>
      </c>
    </row>
    <row r="123" ht="13.2" customHeight="1" s="586">
      <c r="A123" s="640" t="n"/>
      <c r="B123" s="695" t="inlineStr">
        <is>
          <t xml:space="preserve"> </t>
        </is>
      </c>
      <c r="C123" s="695" t="n"/>
      <c r="D123" s="695" t="n"/>
      <c r="E123" s="695" t="n"/>
      <c r="F123" s="695" t="n"/>
      <c r="G123" s="719">
        <f>SUM(B123:F123)</f>
        <v/>
      </c>
    </row>
    <row r="124" ht="13.2" customHeight="1" s="586">
      <c r="A124" s="640" t="n"/>
      <c r="B124" s="695" t="inlineStr">
        <is>
          <t xml:space="preserve"> </t>
        </is>
      </c>
      <c r="C124" s="695" t="n"/>
      <c r="D124" s="695" t="n"/>
      <c r="E124" s="695" t="n"/>
      <c r="F124" s="695" t="n"/>
      <c r="G124" s="719">
        <f>SUM(B124:F124)</f>
        <v/>
      </c>
    </row>
    <row r="125" ht="13.2" customHeight="1" s="586">
      <c r="A125" s="640" t="n"/>
      <c r="B125" s="695" t="n"/>
      <c r="C125" s="695" t="n"/>
      <c r="D125" s="695" t="n"/>
      <c r="E125" s="695" t="n"/>
      <c r="F125" s="695" t="n"/>
      <c r="G125" s="719">
        <f>SUM(B125:F125)</f>
        <v/>
      </c>
    </row>
    <row r="126" ht="13.2" customHeight="1" s="586">
      <c r="A126" s="640" t="n"/>
      <c r="B126" s="695" t="n"/>
      <c r="C126" s="695" t="n"/>
      <c r="D126" s="695" t="n"/>
      <c r="E126" s="695" t="n"/>
      <c r="F126" s="695" t="n"/>
      <c r="G126" s="719">
        <f>SUM(B126:F126)</f>
        <v/>
      </c>
    </row>
    <row r="127" ht="13.2" customHeight="1" s="586">
      <c r="A127" s="640" t="n"/>
      <c r="B127" s="695" t="n"/>
      <c r="C127" s="695" t="n"/>
      <c r="D127" s="695" t="n"/>
      <c r="E127" s="695" t="n"/>
      <c r="F127" s="695" t="n"/>
      <c r="G127" s="719">
        <f>SUM(B127:F127)</f>
        <v/>
      </c>
    </row>
    <row r="128" ht="13.2" customHeight="1" s="586">
      <c r="A128" s="640" t="n"/>
      <c r="B128" s="695" t="n"/>
      <c r="C128" s="695" t="n"/>
      <c r="D128" s="695" t="n"/>
      <c r="E128" s="695" t="n"/>
      <c r="F128" s="695" t="n"/>
      <c r="G128" s="719">
        <f>SUM(B128:F128)</f>
        <v/>
      </c>
    </row>
    <row r="129" ht="13.2" customHeight="1" s="586">
      <c r="A129" s="640" t="n"/>
      <c r="B129" s="695" t="n"/>
      <c r="C129" s="695" t="n"/>
      <c r="D129" s="695" t="n"/>
      <c r="E129" s="695" t="n"/>
      <c r="F129" s="695" t="n"/>
      <c r="G129" s="719">
        <f>SUM(B129:F129)</f>
        <v/>
      </c>
    </row>
    <row r="130" ht="13.2" customHeight="1" s="586">
      <c r="A130" s="640" t="n"/>
      <c r="B130" s="695" t="n"/>
      <c r="C130" s="695" t="n"/>
      <c r="D130" s="695" t="n"/>
      <c r="E130" s="695" t="n"/>
      <c r="F130" s="695" t="n"/>
      <c r="G130" s="719">
        <f>SUM(B130:F130)</f>
        <v/>
      </c>
    </row>
    <row r="131" ht="13.2" customHeight="1" s="586">
      <c r="A131" s="640" t="inlineStr">
        <is>
          <t>Total DAS (TB)</t>
        </is>
      </c>
      <c r="B131" s="695" t="n">
        <v>887436.719121148</v>
      </c>
      <c r="C131" s="695" t="n">
        <v>650549.288671124</v>
      </c>
      <c r="D131" s="695" t="n">
        <v>526529.137919558</v>
      </c>
      <c r="E131" s="695" t="n">
        <v>480021.54419331</v>
      </c>
      <c r="F131" s="695" t="n">
        <v>394757.771139499</v>
      </c>
      <c r="G131" s="672">
        <f>SUM(B131:F131)</f>
        <v/>
      </c>
    </row>
    <row r="132" ht="13.8" customHeight="1" s="586">
      <c r="A132" s="640" t="inlineStr">
        <is>
          <t>E-mail Accounts</t>
        </is>
      </c>
      <c r="B132" s="695" t="n">
        <v>302852.402558356</v>
      </c>
      <c r="C132" s="695" t="n">
        <v>295441.190619363</v>
      </c>
      <c r="D132" s="695" t="n">
        <v>288030.257475537</v>
      </c>
      <c r="E132" s="695" t="n">
        <v>280619.324331712</v>
      </c>
      <c r="F132" s="695" t="n">
        <v>273771.286065708</v>
      </c>
      <c r="G132" s="672">
        <f>SUM(B132:F132)</f>
        <v/>
      </c>
    </row>
    <row r="133" ht="13.8" customHeight="1" s="586">
      <c r="A133" s="651" t="inlineStr">
        <is>
          <t>TOTAL SERVER MANAGEMENT</t>
        </is>
      </c>
      <c r="B133" s="700">
        <f>SUM(B120:B132)</f>
        <v/>
      </c>
      <c r="C133" s="700">
        <f>SUM(C120:C132)</f>
        <v/>
      </c>
      <c r="D133" s="700">
        <f>SUM(D120:D132)</f>
        <v/>
      </c>
      <c r="E133" s="700">
        <f>SUM(E120:E132)</f>
        <v/>
      </c>
      <c r="F133" s="700">
        <f>SUM(F120:F132)</f>
        <v/>
      </c>
      <c r="G133" s="700">
        <f>SUM(B133:F133)</f>
        <v/>
      </c>
    </row>
    <row r="134" ht="13.8" customHeight="1" s="586">
      <c r="A134" s="714" t="inlineStr">
        <is>
          <t>2IM Services</t>
        </is>
      </c>
      <c r="B134" s="625" t="n"/>
      <c r="C134" s="625" t="n"/>
      <c r="D134" s="625" t="n"/>
      <c r="E134" s="625" t="n"/>
      <c r="F134" s="625" t="n"/>
      <c r="G134" s="625" t="n"/>
    </row>
    <row r="135" ht="13.8" customHeight="1" s="586">
      <c r="A135" s="685" t="n"/>
      <c r="B135" s="746" t="n"/>
      <c r="C135" s="746" t="n"/>
      <c r="D135" s="746" t="n"/>
      <c r="E135" s="746" t="n"/>
      <c r="F135" s="746" t="n"/>
      <c r="G135" s="746" t="n"/>
    </row>
    <row r="136" ht="13.8" customHeight="1" s="586">
      <c r="A136" s="640" t="inlineStr">
        <is>
          <t>FTEs</t>
        </is>
      </c>
      <c r="B136" s="695" t="n">
        <v>1984740.3</v>
      </c>
      <c r="C136" s="695" t="n">
        <v>1861512</v>
      </c>
      <c r="D136" s="695" t="n">
        <v>1624032.6</v>
      </c>
      <c r="E136" s="695" t="n">
        <v>1480460.1</v>
      </c>
      <c r="F136" s="695" t="n">
        <v>1255967.7</v>
      </c>
      <c r="G136" s="672">
        <f>SUM(B136:F136)</f>
        <v/>
      </c>
    </row>
    <row r="137" ht="13.8" customHeight="1" s="586">
      <c r="A137" s="651" t="inlineStr">
        <is>
          <t>TOTAL 2IM SERVICES</t>
        </is>
      </c>
      <c r="B137" s="700">
        <f>SUM(B135:B136)</f>
        <v/>
      </c>
      <c r="C137" s="700">
        <f>SUM(C135:C136)</f>
        <v/>
      </c>
      <c r="D137" s="700">
        <f>SUM(D135:D136)</f>
        <v/>
      </c>
      <c r="E137" s="700">
        <f>SUM(E135:E136)</f>
        <v/>
      </c>
      <c r="F137" s="700">
        <f>SUM(F135:F136)</f>
        <v/>
      </c>
      <c r="G137" s="700">
        <f>SUM(B137:F137)</f>
        <v/>
      </c>
    </row>
  </sheetData>
  <mergeCells count="2">
    <mergeCell ref="A2:G2"/>
    <mergeCell ref="A134:G134"/>
  </mergeCells>
  <printOptions horizontalCentered="1" verticalCentered="0" headings="0" gridLines="0" gridLinesSet="1"/>
  <pageMargins left="1" right="1" top="0.75" bottom="0.45" header="0.25" footer="0.25"/>
  <pageSetup orientation="landscape" paperSize="9" scale="100" fitToHeight="2"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1"/>
  </sheetPr>
  <dimension ref="A1:H137"/>
  <sheetViews>
    <sheetView showFormulas="0" showGridLines="1" showRowColHeaders="1" showZeros="1" rightToLeft="0" tabSelected="0" showOutlineSymbols="1" defaultGridColor="1"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B3" activeCellId="0" sqref="B3"/>
    </sheetView>
  </sheetViews>
  <sheetFormatPr baseColWidth="8" defaultColWidth="8.3984375" defaultRowHeight="13.2" customHeight="1" zeroHeight="0" outlineLevelRow="0"/>
  <cols>
    <col width="42.73" customWidth="1" style="590" min="1" max="1"/>
    <col width="15.31" customWidth="1" style="590" min="2" max="6"/>
    <col width="35.52" customWidth="1" style="747" min="7" max="7"/>
    <col width="34.32" customWidth="1" style="590" min="8" max="8"/>
    <col width="8.4" customWidth="1" style="590" min="9" max="257"/>
  </cols>
  <sheetData>
    <row r="1" ht="13.8" customHeight="1" s="586">
      <c r="A1" s="748" t="inlineStr">
        <is>
          <t xml:space="preserve">ARC'S &amp; RRC'S - NETHERLANDS </t>
        </is>
      </c>
      <c r="B1" s="749" t="inlineStr">
        <is>
          <t xml:space="preserve">Year 1 ARC/RRC </t>
        </is>
      </c>
      <c r="C1" s="749" t="inlineStr">
        <is>
          <t>Year 2 ARC/RRC</t>
        </is>
      </c>
      <c r="D1" s="749" t="inlineStr">
        <is>
          <t>Year 3 ARC/RRC</t>
        </is>
      </c>
      <c r="E1" s="749" t="inlineStr">
        <is>
          <t>Year 4 ARC/RRC</t>
        </is>
      </c>
      <c r="F1" s="749" t="inlineStr">
        <is>
          <t>Year 5 ARC/RRC</t>
        </is>
      </c>
      <c r="G1" s="750" t="inlineStr">
        <is>
          <t>Resource Unit</t>
        </is>
      </c>
    </row>
    <row r="2" ht="13.8" customHeight="1" s="586">
      <c r="A2" s="730" t="inlineStr">
        <is>
          <t>EUC</t>
        </is>
      </c>
      <c r="B2" s="751" t="n"/>
      <c r="C2" s="751" t="n"/>
      <c r="D2" s="751" t="n"/>
      <c r="E2" s="751" t="n"/>
      <c r="F2" s="751" t="n"/>
      <c r="G2" s="752" t="n"/>
    </row>
    <row r="3" ht="13.8" customHeight="1" s="586">
      <c r="A3" s="634" t="inlineStr">
        <is>
          <t>Support Services</t>
        </is>
      </c>
      <c r="B3" s="746" t="n"/>
      <c r="C3" s="746" t="n"/>
      <c r="D3" s="746" t="n"/>
      <c r="E3" s="746" t="n"/>
      <c r="F3" s="746" t="n"/>
      <c r="G3" s="753" t="n"/>
    </row>
    <row r="4" ht="13.8" customHeight="1" s="586">
      <c r="A4" s="637" t="inlineStr">
        <is>
          <t xml:space="preserve">Medium Service Level </t>
        </is>
      </c>
      <c r="B4" s="754" t="n"/>
      <c r="C4" s="754" t="n"/>
      <c r="D4" s="754" t="n"/>
      <c r="E4" s="754" t="n"/>
      <c r="F4" s="754" t="n"/>
      <c r="G4" s="755" t="n"/>
    </row>
    <row r="5" ht="13.2" customHeight="1" s="586">
      <c r="A5" s="640" t="inlineStr">
        <is>
          <t>Standard Desktops (CEDS)</t>
        </is>
      </c>
      <c r="B5" s="756" t="n">
        <v>19.4901217896784</v>
      </c>
      <c r="C5" s="756" t="n">
        <v>17.5954397471285</v>
      </c>
      <c r="D5" s="756" t="n">
        <v>16.1919664744574</v>
      </c>
      <c r="E5" s="756" t="n">
        <v>15.3005827500508</v>
      </c>
      <c r="F5" s="756" t="n">
        <v>14.6888819094371</v>
      </c>
      <c r="G5" s="757" t="inlineStr">
        <is>
          <t>per device per month</t>
        </is>
      </c>
    </row>
    <row r="6" ht="13.2" customHeight="1" s="586">
      <c r="A6" s="640" t="inlineStr">
        <is>
          <t>Non-Standard Desktops (non CEDS)</t>
        </is>
      </c>
      <c r="B6" s="756" t="n">
        <v>22.0253305530399</v>
      </c>
      <c r="C6" s="756" t="n">
        <v>20.0839906889173</v>
      </c>
      <c r="D6" s="756" t="n">
        <v>18.6851986378639</v>
      </c>
      <c r="E6" s="756" t="n">
        <v>17.7598033062667</v>
      </c>
      <c r="F6" s="756" t="n">
        <v>17.1553474762675</v>
      </c>
      <c r="G6" s="757" t="inlineStr">
        <is>
          <t>per device per month</t>
        </is>
      </c>
    </row>
    <row r="7" ht="13.2" customHeight="1" s="586">
      <c r="A7" s="640" t="inlineStr">
        <is>
          <t>Standard Laptops (CEDS)</t>
        </is>
      </c>
      <c r="B7" s="756" t="n">
        <v>25.4859165380876</v>
      </c>
      <c r="C7" s="756" t="n">
        <v>23.4291180511291</v>
      </c>
      <c r="D7" s="756" t="n">
        <v>21.9856149142114</v>
      </c>
      <c r="E7" s="756" t="n">
        <v>21.0429258438073</v>
      </c>
      <c r="F7" s="756" t="n">
        <v>20.3974317636973</v>
      </c>
      <c r="G7" s="757" t="inlineStr">
        <is>
          <t>per device per month</t>
        </is>
      </c>
    </row>
    <row r="8" ht="13.2" customHeight="1" s="586">
      <c r="A8" s="640" t="inlineStr">
        <is>
          <t>Non-Standard Laptops (non CEDS)</t>
        </is>
      </c>
      <c r="B8" s="756" t="n"/>
      <c r="C8" s="756" t="n"/>
      <c r="D8" s="756" t="n"/>
      <c r="E8" s="756" t="n"/>
      <c r="F8" s="756" t="n"/>
      <c r="G8" s="757" t="n"/>
    </row>
    <row r="9" ht="13.2" customHeight="1" s="586">
      <c r="A9" s="640" t="inlineStr">
        <is>
          <t>Standard Local Printers</t>
        </is>
      </c>
      <c r="B9" s="756" t="n">
        <v>12.2187891644379</v>
      </c>
      <c r="C9" s="756" t="n">
        <v>11.9620303804967</v>
      </c>
      <c r="D9" s="756" t="n">
        <v>11.9531193796635</v>
      </c>
      <c r="E9" s="756" t="n">
        <v>11.8071382373433</v>
      </c>
      <c r="F9" s="756" t="n">
        <v>11.8106904679563</v>
      </c>
      <c r="G9" s="757" t="inlineStr">
        <is>
          <t>per device per month</t>
        </is>
      </c>
    </row>
    <row r="10" ht="13.2" customHeight="1" s="586">
      <c r="A10" s="640" t="inlineStr">
        <is>
          <t>Non-Standard Local Printers</t>
        </is>
      </c>
      <c r="B10" s="756" t="n"/>
      <c r="C10" s="756" t="n"/>
      <c r="D10" s="756" t="n"/>
      <c r="E10" s="756" t="n"/>
      <c r="F10" s="756" t="n"/>
      <c r="G10" s="757" t="n"/>
    </row>
    <row r="11" ht="13.2" customHeight="1" s="586">
      <c r="A11" s="640" t="inlineStr">
        <is>
          <t>Standard Network Printers</t>
        </is>
      </c>
      <c r="B11" s="756" t="n"/>
      <c r="C11" s="756" t="n"/>
      <c r="D11" s="756" t="n"/>
      <c r="E11" s="756" t="n"/>
      <c r="F11" s="756" t="n"/>
      <c r="G11" s="757" t="n"/>
    </row>
    <row r="12" ht="13.2" customHeight="1" s="586">
      <c r="A12" s="640" t="inlineStr">
        <is>
          <t>Non-Standard Network Printers</t>
        </is>
      </c>
      <c r="B12" s="756" t="n"/>
      <c r="C12" s="756" t="n"/>
      <c r="D12" s="756" t="n"/>
      <c r="E12" s="756" t="n"/>
      <c r="F12" s="756" t="n"/>
      <c r="G12" s="757" t="n"/>
    </row>
    <row r="13" ht="13.2" customHeight="1" s="586">
      <c r="A13" s="640" t="inlineStr">
        <is>
          <t>Other Peripherals</t>
        </is>
      </c>
      <c r="B13" s="756" t="n"/>
      <c r="C13" s="756" t="n"/>
      <c r="D13" s="756" t="n"/>
      <c r="E13" s="756" t="n"/>
      <c r="F13" s="756" t="n"/>
      <c r="G13" s="757" t="n"/>
    </row>
    <row r="14" ht="13.2" customHeight="1" s="586">
      <c r="A14" s="640" t="n"/>
      <c r="B14" s="756" t="n"/>
      <c r="C14" s="756" t="n"/>
      <c r="D14" s="756" t="n"/>
      <c r="E14" s="756" t="n"/>
      <c r="F14" s="756" t="n"/>
      <c r="G14" s="757" t="n"/>
    </row>
    <row r="15" ht="13.2" customHeight="1" s="586">
      <c r="A15" s="640" t="inlineStr">
        <is>
          <t>Installations</t>
        </is>
      </c>
      <c r="B15" s="756" t="n">
        <v>184.469387834397</v>
      </c>
      <c r="C15" s="756" t="n">
        <v>143.845203941863</v>
      </c>
      <c r="D15" s="756" t="n">
        <v>145.675940875887</v>
      </c>
      <c r="E15" s="756" t="n">
        <v>144.661846424095</v>
      </c>
      <c r="F15" s="756" t="n">
        <v>146.520349202515</v>
      </c>
      <c r="G15" s="757" t="inlineStr">
        <is>
          <t>per installation</t>
        </is>
      </c>
    </row>
    <row r="16" ht="13.2" customHeight="1" s="586">
      <c r="A16" s="640" t="inlineStr">
        <is>
          <t>Moves</t>
        </is>
      </c>
      <c r="B16" s="756" t="n">
        <v>59.1256898169919</v>
      </c>
      <c r="C16" s="756" t="n">
        <v>47.1145534491305</v>
      </c>
      <c r="D16" s="756" t="n">
        <v>48.716448266401</v>
      </c>
      <c r="E16" s="756" t="n">
        <v>47.8291156210835</v>
      </c>
      <c r="F16" s="756" t="n">
        <v>49.4553055522003</v>
      </c>
      <c r="G16" s="757" t="inlineStr">
        <is>
          <t>per move</t>
        </is>
      </c>
    </row>
    <row r="17" ht="13.2" customHeight="1" s="586">
      <c r="A17" s="640" t="inlineStr">
        <is>
          <t>Adds</t>
        </is>
      </c>
      <c r="B17" s="756" t="n">
        <v>176.022860717684</v>
      </c>
      <c r="C17" s="756" t="n">
        <v>137.114553449131</v>
      </c>
      <c r="D17" s="756" t="n">
        <v>138.716448266401</v>
      </c>
      <c r="E17" s="756" t="n">
        <v>137.829115621084</v>
      </c>
      <c r="F17" s="756" t="n">
        <v>139.4553055522</v>
      </c>
      <c r="G17" s="757" t="inlineStr">
        <is>
          <t>per add</t>
        </is>
      </c>
    </row>
    <row r="18" ht="13.2" customHeight="1" s="586">
      <c r="A18" s="640" t="inlineStr">
        <is>
          <t xml:space="preserve">Changes </t>
        </is>
      </c>
      <c r="B18" s="756" t="n">
        <v>59.1256898169919</v>
      </c>
      <c r="C18" s="756" t="n">
        <v>47.1145534491305</v>
      </c>
      <c r="D18" s="756" t="n">
        <v>48.716448266401</v>
      </c>
      <c r="E18" s="756" t="n">
        <v>47.8291156210835</v>
      </c>
      <c r="F18" s="756" t="n">
        <v>49.4553055522003</v>
      </c>
      <c r="G18" s="757" t="inlineStr">
        <is>
          <t>per change</t>
        </is>
      </c>
    </row>
    <row r="19" ht="13.2" customHeight="1" s="586">
      <c r="A19" s="637" t="inlineStr">
        <is>
          <t xml:space="preserve">Low Service Level </t>
        </is>
      </c>
      <c r="B19" s="758" t="n"/>
      <c r="C19" s="758" t="n"/>
      <c r="D19" s="758" t="n"/>
      <c r="E19" s="758" t="n"/>
      <c r="F19" s="758" t="n"/>
      <c r="G19" s="759" t="n"/>
    </row>
    <row r="20" ht="13.2" customHeight="1" s="586">
      <c r="A20" s="640" t="inlineStr">
        <is>
          <t>Standard Desktops (CEDS)</t>
        </is>
      </c>
      <c r="B20" s="756" t="n">
        <v>18.4851396221766</v>
      </c>
      <c r="C20" s="756" t="n">
        <v>16.5976172890356</v>
      </c>
      <c r="D20" s="756" t="n">
        <v>15.1810989499911</v>
      </c>
      <c r="E20" s="756" t="n">
        <v>14.3095767853205</v>
      </c>
      <c r="F20" s="756" t="n">
        <v>13.683852499792</v>
      </c>
      <c r="G20" s="757" t="inlineStr">
        <is>
          <t>per device per month</t>
        </is>
      </c>
    </row>
    <row r="21" ht="13.2" customHeight="1" s="586">
      <c r="A21" s="640" t="inlineStr">
        <is>
          <t>Non-Standard Desktops (non CEDS)</t>
        </is>
      </c>
      <c r="B21" s="756" t="n">
        <v>20.8042743270034</v>
      </c>
      <c r="C21" s="756" t="n">
        <v>18.8700593585321</v>
      </c>
      <c r="D21" s="756" t="n">
        <v>17.4538636911874</v>
      </c>
      <c r="E21" s="756" t="n">
        <v>16.553486039489</v>
      </c>
      <c r="F21" s="756" t="n">
        <v>15.9304431280691</v>
      </c>
      <c r="G21" s="757" t="inlineStr">
        <is>
          <t>per device per month</t>
        </is>
      </c>
    </row>
    <row r="22" ht="13.2" customHeight="1" s="586">
      <c r="A22" s="640" t="inlineStr">
        <is>
          <t>Standard Laptops (CEDS)</t>
        </is>
      </c>
      <c r="B22" s="756" t="n">
        <v>23.9919989903928</v>
      </c>
      <c r="C22" s="756" t="n">
        <v>21.9535783839448</v>
      </c>
      <c r="D22" s="756" t="n">
        <v>20.4983185097133</v>
      </c>
      <c r="E22" s="756" t="n">
        <v>19.5808012514331</v>
      </c>
      <c r="F22" s="756" t="n">
        <v>18.9220701799777</v>
      </c>
      <c r="G22" s="757" t="inlineStr">
        <is>
          <t>per device per month</t>
        </is>
      </c>
    </row>
    <row r="23" ht="13.2" customHeight="1" s="586">
      <c r="A23" s="640" t="inlineStr">
        <is>
          <t>Non-Standard Laptops (non CEDS)</t>
        </is>
      </c>
      <c r="B23" s="756" t="n">
        <v>29.5380237336795</v>
      </c>
      <c r="C23" s="756" t="n">
        <v>27.3591629420235</v>
      </c>
      <c r="D23" s="756" t="n">
        <v>25.8762682303567</v>
      </c>
      <c r="E23" s="756" t="n">
        <v>24.9059397966396</v>
      </c>
      <c r="F23" s="756" t="n">
        <v>24.2253108362683</v>
      </c>
      <c r="G23" s="757" t="inlineStr">
        <is>
          <t>per device per month</t>
        </is>
      </c>
    </row>
    <row r="24" ht="13.2" customHeight="1" s="586">
      <c r="A24" s="640" t="inlineStr">
        <is>
          <t>Standard Local Printers</t>
        </is>
      </c>
      <c r="B24" s="756" t="n">
        <v>10.3745026071452</v>
      </c>
      <c r="C24" s="756" t="n">
        <v>10.1484392631243</v>
      </c>
      <c r="D24" s="756" t="n">
        <v>10.1329180930393</v>
      </c>
      <c r="E24" s="756" t="n">
        <v>10.0135063500188</v>
      </c>
      <c r="F24" s="756" t="n">
        <v>10.0085941979126</v>
      </c>
      <c r="G24" s="757" t="inlineStr">
        <is>
          <t>per device per month</t>
        </is>
      </c>
    </row>
    <row r="25" ht="13.2" customHeight="1" s="586">
      <c r="A25" s="640" t="inlineStr">
        <is>
          <t>Non-Standard Local Printers</t>
        </is>
      </c>
      <c r="B25" s="756" t="n">
        <v>11.2221695764923</v>
      </c>
      <c r="C25" s="756" t="n">
        <v>10.9955032636552</v>
      </c>
      <c r="D25" s="756" t="n">
        <v>10.9963508703945</v>
      </c>
      <c r="E25" s="756" t="n">
        <v>10.8571276276693</v>
      </c>
      <c r="F25" s="756" t="n">
        <v>10.8693912898016</v>
      </c>
      <c r="G25" s="757" t="inlineStr">
        <is>
          <t>per device per month</t>
        </is>
      </c>
    </row>
    <row r="26" ht="13.2" customHeight="1" s="586">
      <c r="A26" s="640" t="inlineStr">
        <is>
          <t>Standard Network Printers</t>
        </is>
      </c>
      <c r="B26" s="756" t="n">
        <v>13.2472861995212</v>
      </c>
      <c r="C26" s="756" t="n">
        <v>12.5863409054166</v>
      </c>
      <c r="D26" s="756" t="n">
        <v>11.9665144655715</v>
      </c>
      <c r="E26" s="756" t="n">
        <v>11.8253310105932</v>
      </c>
      <c r="F26" s="756" t="n">
        <v>11.7753272680017</v>
      </c>
      <c r="G26" s="757" t="inlineStr">
        <is>
          <t>per device per month</t>
        </is>
      </c>
    </row>
    <row r="27" ht="13.2" customHeight="1" s="586">
      <c r="A27" s="640" t="inlineStr">
        <is>
          <t>Non-Standard Network Printers</t>
        </is>
      </c>
      <c r="B27" s="756" t="n">
        <v>19.8000478371523</v>
      </c>
      <c r="C27" s="756" t="n">
        <v>19.1328947980434</v>
      </c>
      <c r="D27" s="756" t="n">
        <v>18.748176112457</v>
      </c>
      <c r="E27" s="756" t="n">
        <v>18.5485535624191</v>
      </c>
      <c r="F27" s="756" t="n">
        <v>18.4771138668414</v>
      </c>
      <c r="G27" s="757" t="inlineStr">
        <is>
          <t>per device per month</t>
        </is>
      </c>
    </row>
    <row r="28" ht="13.2" customHeight="1" s="586">
      <c r="A28" s="640" t="inlineStr">
        <is>
          <t>Other Peripherals</t>
        </is>
      </c>
      <c r="B28" s="756" t="n">
        <v>35.0705656579978</v>
      </c>
      <c r="C28" s="756" t="n">
        <v>34.1452785144957</v>
      </c>
      <c r="D28" s="756" t="n">
        <v>33.9338026029949</v>
      </c>
      <c r="E28" s="756" t="n">
        <v>33.6207856051863</v>
      </c>
      <c r="F28" s="756" t="n">
        <v>33.4457120789452</v>
      </c>
      <c r="G28" s="757" t="inlineStr">
        <is>
          <t>per device per month</t>
        </is>
      </c>
    </row>
    <row r="29" ht="13.2" customHeight="1" s="586">
      <c r="A29" s="640" t="n"/>
      <c r="B29" s="756" t="n"/>
      <c r="C29" s="756" t="n"/>
      <c r="D29" s="756" t="n"/>
      <c r="E29" s="756" t="n"/>
      <c r="F29" s="756" t="n"/>
      <c r="G29" s="757" t="n"/>
    </row>
    <row r="30" ht="13.2" customHeight="1" s="586">
      <c r="A30" s="640" t="inlineStr">
        <is>
          <t>Installations</t>
        </is>
      </c>
      <c r="B30" s="756" t="n">
        <v>142.024351634651</v>
      </c>
      <c r="C30" s="756" t="n">
        <v>143.845203941863</v>
      </c>
      <c r="D30" s="756" t="n">
        <v>145.675940875887</v>
      </c>
      <c r="E30" s="756" t="n">
        <v>144.661846424095</v>
      </c>
      <c r="F30" s="756" t="n">
        <v>146.520349202515</v>
      </c>
      <c r="G30" s="757" t="inlineStr">
        <is>
          <t>per installation</t>
        </is>
      </c>
    </row>
    <row r="31" ht="13.2" customHeight="1" s="586">
      <c r="A31" s="640" t="inlineStr">
        <is>
          <t>Moves</t>
        </is>
      </c>
      <c r="B31" s="756" t="n">
        <v>45.5213076803193</v>
      </c>
      <c r="C31" s="756" t="n">
        <v>47.1145534491305</v>
      </c>
      <c r="D31" s="756" t="n">
        <v>48.716448266401</v>
      </c>
      <c r="E31" s="756" t="n">
        <v>47.8291156210835</v>
      </c>
      <c r="F31" s="756" t="n">
        <v>49.4553055522003</v>
      </c>
      <c r="G31" s="757" t="inlineStr">
        <is>
          <t>per move</t>
        </is>
      </c>
    </row>
    <row r="32" ht="13.2" customHeight="1" s="586">
      <c r="A32" s="640" t="inlineStr">
        <is>
          <t>Adds</t>
        </is>
      </c>
      <c r="B32" s="756" t="n"/>
      <c r="C32" s="756" t="n"/>
      <c r="D32" s="756" t="n"/>
      <c r="E32" s="756" t="n"/>
      <c r="F32" s="756" t="n"/>
      <c r="G32" s="757" t="inlineStr">
        <is>
          <t>per add</t>
        </is>
      </c>
    </row>
    <row r="33" ht="13.2" customHeight="1" s="586">
      <c r="A33" s="640" t="inlineStr">
        <is>
          <t xml:space="preserve">Changes </t>
        </is>
      </c>
      <c r="B33" s="756" t="n">
        <v>45.5213076803194</v>
      </c>
      <c r="C33" s="756" t="n">
        <v>47.1145534491305</v>
      </c>
      <c r="D33" s="756" t="n">
        <v>48.716448266401</v>
      </c>
      <c r="E33" s="756" t="n">
        <v>47.8291156210835</v>
      </c>
      <c r="F33" s="756" t="n">
        <v>49.4553055522003</v>
      </c>
      <c r="G33" s="757" t="inlineStr">
        <is>
          <t>per change</t>
        </is>
      </c>
    </row>
    <row r="34" ht="13.2" customHeight="1" s="586">
      <c r="A34" s="637" t="inlineStr">
        <is>
          <t>Packaging &amp; Distribution</t>
        </is>
      </c>
      <c r="B34" s="758" t="n"/>
      <c r="C34" s="758" t="n"/>
      <c r="D34" s="758" t="n"/>
      <c r="E34" s="758" t="n"/>
      <c r="F34" s="758" t="n"/>
      <c r="G34" s="759" t="n"/>
    </row>
    <row r="35" ht="13.8" customHeight="1" s="586">
      <c r="A35" s="650" t="inlineStr">
        <is>
          <t xml:space="preserve">Packaging </t>
        </is>
      </c>
      <c r="B35" s="756" t="n">
        <v>883.599405433111</v>
      </c>
      <c r="C35" s="756" t="n">
        <v>883.479813471503</v>
      </c>
      <c r="D35" s="756" t="n">
        <v>878.817844559586</v>
      </c>
      <c r="E35" s="756" t="n">
        <v>874.1558756476689</v>
      </c>
      <c r="F35" s="756" t="n">
        <v>882.128252435233</v>
      </c>
      <c r="G35" s="757" t="inlineStr">
        <is>
          <t xml:space="preserve">per package </t>
        </is>
      </c>
    </row>
    <row r="36" ht="13.8" customHeight="1" s="586">
      <c r="A36" s="651" t="inlineStr">
        <is>
          <t>TOTAL EUC</t>
        </is>
      </c>
      <c r="B36" s="760" t="n"/>
      <c r="C36" s="760" t="n"/>
      <c r="D36" s="760" t="n"/>
      <c r="E36" s="760" t="n"/>
      <c r="F36" s="760" t="n"/>
      <c r="G36" s="761" t="n"/>
    </row>
    <row r="37" ht="13.8" customHeight="1" s="586">
      <c r="A37" s="730" t="inlineStr">
        <is>
          <t>Service Desk</t>
        </is>
      </c>
      <c r="B37" s="762" t="n"/>
      <c r="C37" s="762" t="n"/>
      <c r="D37" s="762" t="n"/>
      <c r="E37" s="762" t="n"/>
      <c r="F37" s="762" t="n"/>
      <c r="G37" s="763" t="n"/>
    </row>
    <row r="38" ht="13.2" customHeight="1" s="586">
      <c r="A38" s="654" t="inlineStr">
        <is>
          <t xml:space="preserve">Seats Supported  </t>
        </is>
      </c>
      <c r="B38" s="702" t="n"/>
      <c r="C38" s="702" t="n"/>
      <c r="D38" s="702" t="n"/>
      <c r="E38" s="702" t="n"/>
      <c r="F38" s="702" t="n"/>
      <c r="G38" s="757" t="n"/>
      <c r="H38" s="764" t="n"/>
    </row>
    <row r="39" ht="13.2" customHeight="1" s="586">
      <c r="A39" s="660" t="inlineStr">
        <is>
          <t>Price per seat</t>
        </is>
      </c>
      <c r="B39" s="756" t="n">
        <v>16.6127045144089</v>
      </c>
      <c r="C39" s="756" t="n">
        <v>15.9584587714014</v>
      </c>
      <c r="D39" s="756" t="n">
        <v>12.3731816189196</v>
      </c>
      <c r="E39" s="756" t="n">
        <v>9.314059504535591</v>
      </c>
      <c r="F39" s="756" t="n">
        <v>8.44219140171429</v>
      </c>
      <c r="G39" s="757" t="inlineStr">
        <is>
          <t>per seat per month</t>
        </is>
      </c>
    </row>
    <row r="40" ht="13.2" customHeight="1" s="586">
      <c r="A40" s="660" t="n"/>
      <c r="B40" s="706" t="n"/>
      <c r="C40" s="706" t="n"/>
      <c r="D40" s="706" t="n"/>
      <c r="E40" s="706" t="n"/>
      <c r="F40" s="706" t="n"/>
      <c r="G40" s="765" t="n"/>
    </row>
    <row r="41" ht="13.2" customHeight="1" s="586">
      <c r="A41" s="661" t="n"/>
      <c r="B41" s="706" t="n"/>
      <c r="C41" s="706" t="n"/>
      <c r="D41" s="706" t="n"/>
      <c r="E41" s="706" t="n"/>
      <c r="F41" s="706" t="n"/>
      <c r="G41" s="765" t="n"/>
    </row>
    <row r="42" ht="13.2" customHeight="1" s="586">
      <c r="A42" s="660" t="n"/>
      <c r="B42" s="766" t="n"/>
      <c r="C42" s="766" t="n"/>
      <c r="D42" s="766" t="n"/>
      <c r="E42" s="766" t="n"/>
      <c r="F42" s="766" t="n"/>
      <c r="G42" s="767" t="n"/>
    </row>
    <row r="43" ht="13.2" customHeight="1" s="586">
      <c r="A43" s="660" t="n"/>
      <c r="B43" s="766" t="n"/>
      <c r="C43" s="766" t="n"/>
      <c r="D43" s="766" t="n"/>
      <c r="E43" s="766" t="n"/>
      <c r="F43" s="766" t="n"/>
      <c r="G43" s="767" t="n"/>
    </row>
    <row r="44" ht="13.2" customHeight="1" s="586">
      <c r="A44" s="660" t="n"/>
      <c r="B44" s="766" t="n"/>
      <c r="C44" s="766" t="n"/>
      <c r="D44" s="766" t="n"/>
      <c r="E44" s="766" t="n"/>
      <c r="F44" s="766" t="n"/>
      <c r="G44" s="767" t="n"/>
    </row>
    <row r="45" ht="13.2" customHeight="1" s="586">
      <c r="A45" s="661" t="n"/>
      <c r="B45" s="706" t="n"/>
      <c r="C45" s="706" t="n"/>
      <c r="D45" s="706" t="n"/>
      <c r="E45" s="706" t="n"/>
      <c r="F45" s="706" t="n"/>
      <c r="G45" s="765" t="n"/>
    </row>
    <row r="46" ht="13.8" customHeight="1" s="586">
      <c r="A46" s="660" t="n"/>
      <c r="B46" s="768" t="n"/>
      <c r="C46" s="768" t="n"/>
      <c r="D46" s="768" t="n"/>
      <c r="E46" s="768" t="n"/>
      <c r="F46" s="768" t="n"/>
      <c r="G46" s="769" t="n"/>
    </row>
    <row r="47" ht="13.8" customHeight="1" s="586">
      <c r="A47" s="651" t="inlineStr">
        <is>
          <t>TOTAL SERVICE DESK (seats supported)</t>
        </is>
      </c>
      <c r="B47" s="760" t="n"/>
      <c r="C47" s="760" t="n"/>
      <c r="D47" s="760" t="n"/>
      <c r="E47" s="760" t="n"/>
      <c r="F47" s="760" t="n"/>
      <c r="G47" s="761" t="n"/>
    </row>
    <row r="48" ht="13.8" customHeight="1" s="586">
      <c r="A48" s="730" t="inlineStr">
        <is>
          <t>LAN Services</t>
        </is>
      </c>
      <c r="B48" s="762" t="n"/>
      <c r="C48" s="762" t="n"/>
      <c r="D48" s="762" t="n"/>
      <c r="E48" s="762" t="n"/>
      <c r="F48" s="762" t="n"/>
      <c r="G48" s="763" t="n"/>
    </row>
    <row r="49" ht="13.8" customHeight="1" s="586">
      <c r="A49" s="770" t="inlineStr">
        <is>
          <t>Support Services</t>
        </is>
      </c>
      <c r="B49" s="599" t="n"/>
      <c r="C49" s="599" t="n"/>
      <c r="D49" s="599" t="n"/>
      <c r="E49" s="599" t="n"/>
      <c r="F49" s="599" t="n"/>
      <c r="G49" s="771" t="n"/>
    </row>
    <row r="50" ht="13.8" customHeight="1" s="586">
      <c r="A50" s="663" t="n"/>
      <c r="B50" s="599" t="n"/>
      <c r="C50" s="599" t="n"/>
      <c r="D50" s="599" t="n"/>
      <c r="E50" s="599" t="n"/>
      <c r="F50" s="599" t="n"/>
      <c r="G50" s="771" t="n"/>
    </row>
    <row r="51" ht="13.2" customHeight="1" s="586">
      <c r="A51" s="640" t="inlineStr">
        <is>
          <t>Site Type A: # of Active LAN Ports</t>
        </is>
      </c>
      <c r="B51" s="756" t="n">
        <v>8.37170453563054</v>
      </c>
      <c r="C51" s="756" t="n">
        <v>6.33275012742153</v>
      </c>
      <c r="D51" s="756" t="n">
        <v>6.06759260267319</v>
      </c>
      <c r="E51" s="756" t="n">
        <v>6.06811780456819</v>
      </c>
      <c r="F51" s="756" t="n">
        <v>6.06801839144769</v>
      </c>
      <c r="G51" s="757" t="inlineStr">
        <is>
          <t>per active LAN Port per month</t>
        </is>
      </c>
    </row>
    <row r="52" ht="13.2" customHeight="1" s="586">
      <c r="A52" s="640" t="inlineStr">
        <is>
          <t>Site Type B: # of Active LAN Ports</t>
        </is>
      </c>
      <c r="B52" s="756" t="n">
        <v>8.37170453563054</v>
      </c>
      <c r="C52" s="756" t="n">
        <v>6.33275012742153</v>
      </c>
      <c r="D52" s="756" t="n">
        <v>6.06759260267319</v>
      </c>
      <c r="E52" s="756" t="n">
        <v>6.06811780456819</v>
      </c>
      <c r="F52" s="756" t="n">
        <v>6.06801839144769</v>
      </c>
      <c r="G52" s="757" t="inlineStr">
        <is>
          <t>per active LAN Port per month</t>
        </is>
      </c>
    </row>
    <row r="53" ht="13.8" customHeight="1" s="586">
      <c r="A53" s="640" t="inlineStr">
        <is>
          <t>Site Type C: # of Active LAN Ports</t>
        </is>
      </c>
      <c r="B53" s="756" t="n">
        <v>8.37170453563054</v>
      </c>
      <c r="C53" s="756" t="n">
        <v>6.33275012742153</v>
      </c>
      <c r="D53" s="756" t="n">
        <v>6.06759260267319</v>
      </c>
      <c r="E53" s="756" t="n">
        <v>6.06811780456819</v>
      </c>
      <c r="F53" s="756" t="n">
        <v>6.06801839144769</v>
      </c>
      <c r="G53" s="757" t="inlineStr">
        <is>
          <t>per active LAN Port per month</t>
        </is>
      </c>
    </row>
    <row r="54" ht="13.8" customHeight="1" s="586">
      <c r="A54" s="651" t="inlineStr">
        <is>
          <t>TOTAL LAN SERVICES</t>
        </is>
      </c>
      <c r="B54" s="772" t="n"/>
      <c r="C54" s="772" t="n"/>
      <c r="D54" s="772" t="n"/>
      <c r="E54" s="772" t="n"/>
      <c r="F54" s="772" t="n"/>
      <c r="G54" s="773" t="n"/>
    </row>
    <row r="55" ht="13.8" customHeight="1" s="586">
      <c r="A55" s="730" t="inlineStr">
        <is>
          <t>Voice Services</t>
        </is>
      </c>
      <c r="B55" s="762" t="n"/>
      <c r="C55" s="762" t="n"/>
      <c r="D55" s="762" t="n"/>
      <c r="E55" s="762" t="n"/>
      <c r="F55" s="762" t="n"/>
      <c r="G55" s="763" t="n"/>
    </row>
    <row r="56" ht="13.2" customHeight="1" s="586">
      <c r="A56" s="774" t="inlineStr">
        <is>
          <t>Locations (Systems &amp; Services)</t>
        </is>
      </c>
      <c r="B56" s="775" t="n"/>
      <c r="C56" s="775" t="n"/>
      <c r="D56" s="775" t="n"/>
      <c r="E56" s="775" t="n"/>
      <c r="F56" s="775" t="n"/>
      <c r="G56" s="776" t="n"/>
    </row>
    <row r="57" ht="13.2" customHeight="1" s="586">
      <c r="A57" s="666" t="inlineStr">
        <is>
          <t>Call Centres per seat</t>
        </is>
      </c>
      <c r="B57" s="756" t="n">
        <v>45.3346055986765</v>
      </c>
      <c r="C57" s="756" t="n">
        <v>43.3769033048873</v>
      </c>
      <c r="D57" s="756" t="n">
        <v>41.2725666024529</v>
      </c>
      <c r="E57" s="756" t="n">
        <v>38.9695796894217</v>
      </c>
      <c r="F57" s="756" t="n">
        <v>36.65089608184</v>
      </c>
      <c r="G57" s="757" t="inlineStr">
        <is>
          <t>per seat per month</t>
        </is>
      </c>
    </row>
    <row r="58" ht="13.2" customHeight="1" s="586">
      <c r="A58" s="666" t="inlineStr">
        <is>
          <t>Employee ISDN</t>
        </is>
      </c>
      <c r="B58" s="756" t="n">
        <v>19.16</v>
      </c>
      <c r="C58" s="756" t="n">
        <v>19.06</v>
      </c>
      <c r="D58" s="756" t="n">
        <v>18.96</v>
      </c>
      <c r="E58" s="756" t="n">
        <v>18.96</v>
      </c>
      <c r="F58" s="756" t="n">
        <v>18.96</v>
      </c>
      <c r="G58" s="757" t="inlineStr">
        <is>
          <t>per subscription per month</t>
        </is>
      </c>
    </row>
    <row r="59" ht="13.2" customHeight="1" s="586">
      <c r="A59" s="666" t="inlineStr">
        <is>
          <t>Dealing room voice</t>
        </is>
      </c>
      <c r="B59" s="756" t="n">
        <v>152.783426852171</v>
      </c>
      <c r="C59" s="756" t="n">
        <v>145.646762979233</v>
      </c>
      <c r="D59" s="756" t="n">
        <v>145.334062294139</v>
      </c>
      <c r="E59" s="756" t="n">
        <v>146.480939843552</v>
      </c>
      <c r="F59" s="756" t="n">
        <v>146.480939843552</v>
      </c>
      <c r="G59" s="757" t="inlineStr">
        <is>
          <t>per seat per month</t>
        </is>
      </c>
    </row>
    <row r="60" ht="13.2" customHeight="1" s="586">
      <c r="A60" s="666" t="inlineStr">
        <is>
          <t>Video conferencing</t>
        </is>
      </c>
      <c r="B60" s="756" t="n">
        <v>255.140096618357</v>
      </c>
      <c r="C60" s="756" t="n">
        <v>181.183574879227</v>
      </c>
      <c r="D60" s="756" t="n">
        <v>179.719806763285</v>
      </c>
      <c r="E60" s="756" t="n">
        <v>178.299516908213</v>
      </c>
      <c r="F60" s="756" t="n">
        <v>176.908212560386</v>
      </c>
      <c r="G60" s="757" t="inlineStr">
        <is>
          <t>per room per month</t>
        </is>
      </c>
    </row>
    <row r="61" ht="51" customHeight="1" s="586">
      <c r="A61" s="710" t="inlineStr">
        <is>
          <t xml:space="preserve">  Assets Call Center</t>
        </is>
      </c>
      <c r="B61" s="756" t="n">
        <v>6.54</v>
      </c>
      <c r="C61" s="756" t="n">
        <v>7.37</v>
      </c>
      <c r="D61" s="756" t="n">
        <v>8.199999999999999</v>
      </c>
      <c r="E61" s="756" t="n">
        <v>9.025</v>
      </c>
      <c r="F61" s="756" t="n">
        <v>9.025</v>
      </c>
      <c r="G61" s="757" t="inlineStr">
        <is>
          <t>per call center seat per month</t>
        </is>
      </c>
      <c r="H61" s="649" t="inlineStr">
        <is>
          <t>Charges for PBX's: Small, Medium, and Large per Attachment 4-D are included in the Handsets</t>
        </is>
      </c>
    </row>
    <row r="62" ht="52.5" customHeight="1" s="586">
      <c r="A62" s="710" t="inlineStr">
        <is>
          <t xml:space="preserve">  Assets Digital Voice Fixed</t>
        </is>
      </c>
      <c r="B62" s="756" t="n">
        <v>1.635</v>
      </c>
      <c r="C62" s="756" t="n">
        <v>1.8425</v>
      </c>
      <c r="D62" s="756" t="n">
        <v>2.05</v>
      </c>
      <c r="E62" s="756" t="n">
        <v>2.25625</v>
      </c>
      <c r="F62" s="756" t="n">
        <v>2.25625</v>
      </c>
      <c r="G62" s="757" t="inlineStr">
        <is>
          <t>per handset per month</t>
        </is>
      </c>
      <c r="H62" s="649" t="inlineStr">
        <is>
          <t>Charges for PBX's: Small, Medium, and Large per Attachment 4-D are included in the Handsets</t>
        </is>
      </c>
    </row>
    <row r="63" ht="57.75" customHeight="1" s="586">
      <c r="A63" s="710" t="inlineStr">
        <is>
          <t xml:space="preserve">  Assets Analogue Voice Fixed</t>
        </is>
      </c>
      <c r="B63" s="756" t="n">
        <v>1.308</v>
      </c>
      <c r="C63" s="756" t="n">
        <v>1.474</v>
      </c>
      <c r="D63" s="756" t="n">
        <v>1.64</v>
      </c>
      <c r="E63" s="756" t="n">
        <v>1.805</v>
      </c>
      <c r="F63" s="756" t="n">
        <v>1.805</v>
      </c>
      <c r="G63" s="757" t="inlineStr">
        <is>
          <t>per handset per month</t>
        </is>
      </c>
      <c r="H63" s="649" t="inlineStr">
        <is>
          <t>Charges for PBX's: Small, Medium, and Large per Attachment 4-D are included in the Handsets</t>
        </is>
      </c>
    </row>
    <row r="64" ht="13.2" customHeight="1" s="586">
      <c r="A64" s="660" t="inlineStr">
        <is>
          <t xml:space="preserve">  Handsets - Digital (incl. DECT)</t>
        </is>
      </c>
      <c r="B64" s="756" t="n">
        <v>3.72903315726117</v>
      </c>
      <c r="C64" s="756" t="n">
        <v>3.69758502653531</v>
      </c>
      <c r="D64" s="756" t="n">
        <v>3.54702501133765</v>
      </c>
      <c r="E64" s="756" t="n">
        <v>3.3178781396713</v>
      </c>
      <c r="F64" s="756" t="n">
        <v>3.0878781396713</v>
      </c>
      <c r="G64" s="757" t="inlineStr">
        <is>
          <t>per handset per month</t>
        </is>
      </c>
    </row>
    <row r="65" ht="13.2" customHeight="1" s="586">
      <c r="A65" s="660" t="inlineStr">
        <is>
          <t xml:space="preserve">  Handsets - Analog</t>
        </is>
      </c>
      <c r="B65" s="756" t="n">
        <v>3.18903315726117</v>
      </c>
      <c r="C65" s="756" t="n">
        <v>3.17758502653531</v>
      </c>
      <c r="D65" s="756" t="n">
        <v>3.02702501133766</v>
      </c>
      <c r="E65" s="756" t="n">
        <v>2.7978781396713</v>
      </c>
      <c r="F65" s="756" t="n">
        <v>2.6078781396713</v>
      </c>
      <c r="G65" s="757" t="inlineStr">
        <is>
          <t>per handset per month</t>
        </is>
      </c>
    </row>
    <row r="66" ht="13.2" customHeight="1" s="586">
      <c r="A66" s="660" t="inlineStr">
        <is>
          <t>Cellular Phones management fee</t>
        </is>
      </c>
      <c r="B66" s="756" t="n">
        <v>6.24136559672114</v>
      </c>
      <c r="C66" s="756" t="n">
        <v>4.57881070166788</v>
      </c>
      <c r="D66" s="756" t="n">
        <v>4.271019626699</v>
      </c>
      <c r="E66" s="756" t="n">
        <v>3.99322855173012</v>
      </c>
      <c r="F66" s="756" t="n">
        <v>3.73322855173012</v>
      </c>
      <c r="G66" s="757" t="inlineStr">
        <is>
          <t>per handset per month</t>
        </is>
      </c>
    </row>
    <row r="67" ht="13.2" customHeight="1" s="586">
      <c r="A67" s="660" t="inlineStr">
        <is>
          <t xml:space="preserve">  Cellular Phones subscription</t>
        </is>
      </c>
      <c r="B67" s="756" t="n"/>
      <c r="C67" s="756" t="n">
        <v>4.2</v>
      </c>
      <c r="D67" s="756" t="n">
        <v>3.85</v>
      </c>
      <c r="E67" s="756" t="n">
        <v>3.5</v>
      </c>
      <c r="F67" s="756" t="n">
        <v>3.15</v>
      </c>
      <c r="G67" s="757" t="inlineStr">
        <is>
          <t>per subscription per month</t>
        </is>
      </c>
    </row>
    <row r="68" ht="26.4" customHeight="1" s="586">
      <c r="A68" s="660" t="inlineStr">
        <is>
          <t xml:space="preserve">  Cellular Phones refresh (budget)</t>
        </is>
      </c>
      <c r="B68" s="756" t="n">
        <v>2.76155833333333</v>
      </c>
      <c r="C68" s="756" t="n">
        <v>2.76155833333333</v>
      </c>
      <c r="D68" s="756" t="n">
        <v>2.76155833333333</v>
      </c>
      <c r="E68" s="756" t="n">
        <v>2.76155833333333</v>
      </c>
      <c r="F68" s="756" t="n">
        <v>2.76155833333333</v>
      </c>
      <c r="G68" s="777" t="inlineStr">
        <is>
          <t>per subscription per month (excluding accessoires and car kits)</t>
        </is>
      </c>
    </row>
    <row r="69" ht="13.2" customHeight="1" s="586">
      <c r="A69" s="660" t="inlineStr">
        <is>
          <t>GPRS/UMTS Cards or Devices management fee</t>
        </is>
      </c>
      <c r="B69" s="756" t="n">
        <v>5.28232859975102</v>
      </c>
      <c r="C69" s="756" t="n">
        <v>4.92953752478214</v>
      </c>
      <c r="D69" s="756" t="n">
        <v>4.58919644981326</v>
      </c>
      <c r="E69" s="756" t="n">
        <v>4.28113387484439</v>
      </c>
      <c r="F69" s="756" t="n">
        <v>3.99298137984439</v>
      </c>
      <c r="G69" s="757" t="inlineStr">
        <is>
          <t>per device per month</t>
        </is>
      </c>
    </row>
    <row r="70" ht="13.2" customHeight="1" s="586">
      <c r="A70" s="660" t="inlineStr">
        <is>
          <t xml:space="preserve">  GPRS/UMTS Cards or Devices subscription</t>
        </is>
      </c>
      <c r="B70" s="756" t="n">
        <v>60</v>
      </c>
      <c r="C70" s="756" t="n">
        <v>60</v>
      </c>
      <c r="D70" s="756" t="n">
        <v>57</v>
      </c>
      <c r="E70" s="756" t="n">
        <v>54.15</v>
      </c>
      <c r="F70" s="756" t="n">
        <v>51.4425</v>
      </c>
      <c r="G70" s="757" t="inlineStr">
        <is>
          <t>per subscription per month</t>
        </is>
      </c>
    </row>
    <row r="71" ht="13.2" customHeight="1" s="586">
      <c r="A71" s="660" t="inlineStr">
        <is>
          <t xml:space="preserve">  GPRS/UMTS Cards or Devices refresh (budget)</t>
        </is>
      </c>
      <c r="B71" s="756" t="n">
        <v>6.88</v>
      </c>
      <c r="C71" s="756" t="n">
        <v>6.88</v>
      </c>
      <c r="D71" s="756" t="n">
        <v>6.88</v>
      </c>
      <c r="E71" s="756" t="n">
        <v>6.88</v>
      </c>
      <c r="F71" s="756" t="n">
        <v>6.88</v>
      </c>
      <c r="G71" s="777" t="inlineStr">
        <is>
          <t>per subscription per month</t>
        </is>
      </c>
    </row>
    <row r="72" ht="13.2" customHeight="1" s="586">
      <c r="A72" s="666" t="inlineStr">
        <is>
          <t>Blackberries management fee</t>
        </is>
      </c>
      <c r="B72" s="756" t="n">
        <v>5.73232859975102</v>
      </c>
      <c r="C72" s="756" t="n">
        <v>5.34803752478214</v>
      </c>
      <c r="D72" s="756" t="n">
        <v>4.97840144981326</v>
      </c>
      <c r="E72" s="756" t="n">
        <v>4.64309452484439</v>
      </c>
      <c r="F72" s="756" t="n">
        <v>4.32960478434439</v>
      </c>
      <c r="G72" s="757" t="inlineStr">
        <is>
          <t>per device per month</t>
        </is>
      </c>
    </row>
    <row r="73" ht="13.2" customHeight="1" s="586">
      <c r="A73" s="666" t="inlineStr">
        <is>
          <t xml:space="preserve">  Blackberries subscription (data)</t>
        </is>
      </c>
      <c r="B73" s="756" t="n">
        <v>42</v>
      </c>
      <c r="C73" s="756" t="n">
        <v>42</v>
      </c>
      <c r="D73" s="756" t="n">
        <v>39.9</v>
      </c>
      <c r="E73" s="756" t="n">
        <v>37.905</v>
      </c>
      <c r="F73" s="756" t="n">
        <v>36.00975</v>
      </c>
      <c r="G73" s="757" t="inlineStr">
        <is>
          <t>per subscription per month</t>
        </is>
      </c>
    </row>
    <row r="74" ht="26.4" customHeight="1" s="586">
      <c r="A74" s="666" t="inlineStr">
        <is>
          <t xml:space="preserve">  Blackberry refresh (budget)</t>
        </is>
      </c>
      <c r="B74" s="756" t="n">
        <v>9.6812037037037</v>
      </c>
      <c r="C74" s="756" t="n">
        <v>9.6812037037037</v>
      </c>
      <c r="D74" s="756" t="n">
        <v>9.6812037037037</v>
      </c>
      <c r="E74" s="756" t="n">
        <v>9.6812037037037</v>
      </c>
      <c r="F74" s="756" t="n">
        <v>9.6812037037037</v>
      </c>
      <c r="G74" s="777" t="inlineStr">
        <is>
          <t>per subscription per month (excluding new CAL license)</t>
        </is>
      </c>
    </row>
    <row r="75" ht="13.2" customHeight="1" s="586">
      <c r="A75" s="640" t="inlineStr">
        <is>
          <t>Internal Pagers management fee</t>
        </is>
      </c>
      <c r="B75" s="756" t="n">
        <v>3.5</v>
      </c>
      <c r="C75" s="756" t="n">
        <v>3.23</v>
      </c>
      <c r="D75" s="756" t="n">
        <v>2.97</v>
      </c>
      <c r="E75" s="756" t="n">
        <v>2.73</v>
      </c>
      <c r="F75" s="756" t="n">
        <v>2.54</v>
      </c>
      <c r="G75" s="757" t="inlineStr">
        <is>
          <t>per device per month</t>
        </is>
      </c>
    </row>
    <row r="76" ht="13.2" customHeight="1" s="586">
      <c r="A76" s="640" t="inlineStr">
        <is>
          <t xml:space="preserve">  Internal Pagers refresh (budget)</t>
        </is>
      </c>
      <c r="B76" s="756" t="n"/>
      <c r="C76" s="756" t="n"/>
      <c r="D76" s="756" t="n"/>
      <c r="E76" s="756" t="n"/>
      <c r="F76" s="756" t="n"/>
      <c r="G76" s="757" t="n"/>
    </row>
    <row r="77" ht="13.2" customHeight="1" s="586">
      <c r="A77" s="640" t="inlineStr">
        <is>
          <t>External Pagers management fee</t>
        </is>
      </c>
      <c r="B77" s="756" t="n">
        <v>2.55</v>
      </c>
      <c r="C77" s="756" t="n">
        <v>2.28</v>
      </c>
      <c r="D77" s="756" t="n">
        <v>2.02</v>
      </c>
      <c r="E77" s="756" t="n">
        <v>1.78</v>
      </c>
      <c r="F77" s="756" t="n">
        <v>1.59</v>
      </c>
      <c r="G77" s="757" t="inlineStr">
        <is>
          <t>per device per month</t>
        </is>
      </c>
    </row>
    <row r="78" ht="13.2" customHeight="1" s="586">
      <c r="A78" s="640" t="inlineStr">
        <is>
          <t xml:space="preserve">  External Pagers refresh (budget)</t>
        </is>
      </c>
      <c r="B78" s="756" t="n"/>
      <c r="C78" s="756" t="n"/>
      <c r="D78" s="756" t="n"/>
      <c r="E78" s="756" t="n"/>
      <c r="F78" s="756" t="n"/>
      <c r="G78" s="757" t="n"/>
    </row>
    <row r="79" ht="13.2" customHeight="1" s="586">
      <c r="A79" s="671" t="n"/>
      <c r="B79" s="695" t="inlineStr">
        <is>
          <t xml:space="preserve"> </t>
        </is>
      </c>
      <c r="C79" s="695" t="inlineStr">
        <is>
          <t xml:space="preserve"> </t>
        </is>
      </c>
      <c r="D79" s="778" t="n"/>
      <c r="E79" s="779" t="inlineStr">
        <is>
          <t xml:space="preserve"> </t>
        </is>
      </c>
      <c r="F79" s="780" t="n"/>
      <c r="G79" s="781" t="n"/>
    </row>
    <row r="80" ht="13.2" customHeight="1" s="586">
      <c r="A80" s="673" t="inlineStr">
        <is>
          <t>VOICE</t>
        </is>
      </c>
      <c r="B80" s="679" t="n"/>
      <c r="C80" s="679" t="n"/>
      <c r="D80" s="679" t="n"/>
      <c r="E80" s="679" t="n"/>
      <c r="F80" s="679" t="n"/>
      <c r="G80" s="782" t="n"/>
    </row>
    <row r="81" ht="13.2" customHeight="1" s="586">
      <c r="A81" s="660" t="inlineStr">
        <is>
          <t>Domestic Outbound Calls - Local</t>
        </is>
      </c>
      <c r="B81" s="783" t="n">
        <v>0.01697025</v>
      </c>
      <c r="C81" s="783" t="n">
        <v>0.015273225</v>
      </c>
      <c r="D81" s="783" t="n">
        <v>0.015273225</v>
      </c>
      <c r="E81" s="783" t="n">
        <v>0.015273225</v>
      </c>
      <c r="F81" s="783" t="n">
        <v>0.015273225</v>
      </c>
      <c r="G81" s="784" t="inlineStr">
        <is>
          <t>per minute</t>
        </is>
      </c>
    </row>
    <row r="82" ht="13.2" customHeight="1" s="586">
      <c r="A82" s="660" t="inlineStr">
        <is>
          <t>Domestic Outbound Calls - Long Distance</t>
        </is>
      </c>
      <c r="B82" s="783" t="n">
        <v>0.0243652494216108</v>
      </c>
      <c r="C82" s="783" t="n">
        <v>0.0219287244794497</v>
      </c>
      <c r="D82" s="783" t="n">
        <v>0.0219287244794497</v>
      </c>
      <c r="E82" s="783" t="n">
        <v>0.0219287244794497</v>
      </c>
      <c r="F82" s="783" t="n">
        <v>0.0219287244794497</v>
      </c>
      <c r="G82" s="784" t="inlineStr">
        <is>
          <t>per minute</t>
        </is>
      </c>
    </row>
    <row r="83" ht="13.2" customHeight="1" s="586">
      <c r="A83" s="660" t="inlineStr">
        <is>
          <t>Domestic Outbound Calls - Cellular</t>
        </is>
      </c>
      <c r="B83" s="783" t="n">
        <v>0.13026419018494</v>
      </c>
      <c r="C83" s="783" t="n">
        <v>0.100824483203143</v>
      </c>
      <c r="D83" s="783" t="n">
        <v>0.100824483203143</v>
      </c>
      <c r="E83" s="783" t="n">
        <v>0.100824483203143</v>
      </c>
      <c r="F83" s="783" t="n">
        <v>0.100824483203143</v>
      </c>
      <c r="G83" s="784" t="inlineStr">
        <is>
          <t>per minute</t>
        </is>
      </c>
    </row>
    <row r="84" ht="13.2" customHeight="1" s="586">
      <c r="A84" s="660" t="inlineStr">
        <is>
          <t>International Outbound Calls</t>
        </is>
      </c>
      <c r="B84" s="783" t="n">
        <v>0.0457401181247469</v>
      </c>
      <c r="C84" s="783" t="n">
        <v>0.0393365015872823</v>
      </c>
      <c r="D84" s="783" t="n">
        <v>0.0393365015872823</v>
      </c>
      <c r="E84" s="783" t="n">
        <v>0.0393365015872823</v>
      </c>
      <c r="F84" s="783" t="n">
        <v>0.0393365015872823</v>
      </c>
      <c r="G84" s="784" t="inlineStr">
        <is>
          <t>per minute</t>
        </is>
      </c>
    </row>
    <row r="85" ht="13.2" customHeight="1" s="586">
      <c r="A85" s="660" t="inlineStr">
        <is>
          <t>Free phone Service Calls</t>
        </is>
      </c>
      <c r="B85" s="783" t="n">
        <v>0.0309</v>
      </c>
      <c r="C85" s="783" t="n">
        <v>0.030282</v>
      </c>
      <c r="D85" s="783" t="n">
        <v>0.02967636</v>
      </c>
      <c r="E85" s="783" t="n">
        <v>0.0290828328</v>
      </c>
      <c r="F85" s="783" t="n">
        <v>0.028501176144</v>
      </c>
      <c r="G85" s="784" t="inlineStr">
        <is>
          <t>per call</t>
        </is>
      </c>
    </row>
    <row r="86" ht="13.2" customHeight="1" s="586">
      <c r="A86" s="660" t="inlineStr">
        <is>
          <t>Mobile - national</t>
        </is>
      </c>
      <c r="B86" s="783" t="n"/>
      <c r="C86" s="783" t="n">
        <v>0.0520909183355199</v>
      </c>
      <c r="D86" s="783" t="n">
        <v>0.0494905036023747</v>
      </c>
      <c r="E86" s="783" t="n">
        <v>0.0470015178491091</v>
      </c>
      <c r="F86" s="783" t="n">
        <v>0.0446514419566536</v>
      </c>
      <c r="G86" s="784" t="inlineStr">
        <is>
          <t>per minute</t>
        </is>
      </c>
    </row>
    <row r="87" ht="13.2" customHeight="1" s="586">
      <c r="A87" s="660" t="inlineStr">
        <is>
          <t>Mobile - international</t>
        </is>
      </c>
      <c r="B87" s="783" t="n"/>
      <c r="C87" s="783" t="n">
        <v>0.301417989639288</v>
      </c>
      <c r="D87" s="783" t="n">
        <v>0.28637247396498</v>
      </c>
      <c r="E87" s="783" t="n">
        <v>0.271971364117613</v>
      </c>
      <c r="F87" s="783" t="n">
        <v>0.258372795911733</v>
      </c>
      <c r="G87" s="784" t="inlineStr">
        <is>
          <t>per minute</t>
        </is>
      </c>
    </row>
    <row r="88" ht="13.2" customHeight="1" s="586">
      <c r="A88" s="660" t="inlineStr">
        <is>
          <t>Mobile - roaming outbound</t>
        </is>
      </c>
      <c r="B88" s="783" t="n"/>
      <c r="C88" s="783" t="n">
        <v>0.43734789134977</v>
      </c>
      <c r="D88" s="783" t="n">
        <v>0.415517049474233</v>
      </c>
      <c r="E88" s="783" t="n">
        <v>0.394621288580999</v>
      </c>
      <c r="F88" s="783" t="n">
        <v>0.374890224151949</v>
      </c>
      <c r="G88" s="784" t="inlineStr">
        <is>
          <t>per minute</t>
        </is>
      </c>
    </row>
    <row r="89" ht="13.2" customHeight="1" s="586">
      <c r="A89" s="660" t="inlineStr">
        <is>
          <t>Mobile - roaming inbound</t>
        </is>
      </c>
      <c r="B89" s="783" t="n"/>
      <c r="C89" s="783" t="n">
        <v>0.3903</v>
      </c>
      <c r="D89" s="783" t="n">
        <v>0.370785</v>
      </c>
      <c r="E89" s="783" t="n">
        <v>0.35224575</v>
      </c>
      <c r="F89" s="783" t="n">
        <v>0.3346334625</v>
      </c>
      <c r="G89" s="784" t="inlineStr">
        <is>
          <t>per minute</t>
        </is>
      </c>
    </row>
    <row r="90" ht="13.2" customHeight="1" s="586">
      <c r="A90" s="660" t="inlineStr">
        <is>
          <t>Free phone Services Dedicated per min.</t>
        </is>
      </c>
      <c r="B90" s="783" t="n">
        <v>0.02</v>
      </c>
      <c r="C90" s="783" t="n">
        <v>0.0196</v>
      </c>
      <c r="D90" s="783" t="n">
        <v>0.019208</v>
      </c>
      <c r="E90" s="783" t="n">
        <v>0.01882384</v>
      </c>
      <c r="F90" s="783" t="n">
        <v>0.0184473632</v>
      </c>
      <c r="G90" s="784" t="inlineStr">
        <is>
          <t>per minute</t>
        </is>
      </c>
    </row>
    <row r="91" ht="13.2" customHeight="1" s="586">
      <c r="A91" s="674" t="inlineStr">
        <is>
          <t>High Tariff Outbound Calls (0900)</t>
        </is>
      </c>
      <c r="B91" s="783" t="n">
        <v>0.0812595645354902</v>
      </c>
      <c r="C91" s="783" t="n">
        <v>0.0406297822677451</v>
      </c>
      <c r="D91" s="783" t="n">
        <v>0.0406297822677451</v>
      </c>
      <c r="E91" s="783" t="n">
        <v>0.0406297822677451</v>
      </c>
      <c r="F91" s="783" t="n">
        <v>0.0406297822677451</v>
      </c>
      <c r="G91" s="784" t="inlineStr">
        <is>
          <t>per minute</t>
        </is>
      </c>
    </row>
    <row r="92" ht="13.2" customHeight="1" s="586">
      <c r="A92" s="674" t="inlineStr">
        <is>
          <t>High Tariff Outbound Calls (0676 internet)</t>
        </is>
      </c>
      <c r="B92" s="783" t="n">
        <v>0.0130475</v>
      </c>
      <c r="C92" s="783" t="n">
        <v>0.010438</v>
      </c>
      <c r="D92" s="783" t="n">
        <v>0.005219</v>
      </c>
      <c r="E92" s="783" t="n">
        <v>0.005219</v>
      </c>
      <c r="F92" s="783" t="n">
        <v>0.005219</v>
      </c>
      <c r="G92" s="784" t="inlineStr">
        <is>
          <t>per minute</t>
        </is>
      </c>
    </row>
    <row r="93" ht="13.2" customHeight="1" s="586">
      <c r="A93" s="674" t="inlineStr">
        <is>
          <t>High Tariff Outbound Calls  Other</t>
        </is>
      </c>
      <c r="B93" s="783" t="n">
        <v>0.044269375</v>
      </c>
      <c r="C93" s="783" t="n">
        <v>0.043605334375</v>
      </c>
      <c r="D93" s="783" t="n">
        <v>0.043605334375</v>
      </c>
      <c r="E93" s="783" t="n">
        <v>0.043605334375</v>
      </c>
      <c r="F93" s="783" t="n">
        <v>0.043605334375</v>
      </c>
      <c r="G93" s="784" t="inlineStr">
        <is>
          <t>per minute</t>
        </is>
      </c>
    </row>
    <row r="94" ht="13.2" customHeight="1" s="586">
      <c r="A94" s="660" t="inlineStr">
        <is>
          <t>Voice - Directory Assistance Calls per call</t>
        </is>
      </c>
      <c r="B94" s="783" t="n"/>
      <c r="C94" s="783" t="n"/>
      <c r="D94" s="783" t="n"/>
      <c r="E94" s="783" t="n"/>
      <c r="F94" s="783" t="n"/>
      <c r="G94" s="784" t="n"/>
    </row>
    <row r="95" ht="13.2" customHeight="1" s="586">
      <c r="A95" s="660" t="inlineStr">
        <is>
          <t>Voice - Hard IMACS</t>
        </is>
      </c>
      <c r="B95" s="785" t="n">
        <v>35.4721692818964</v>
      </c>
      <c r="C95" s="785" t="n">
        <v>35.4721692818964</v>
      </c>
      <c r="D95" s="785" t="n">
        <v>35.4721692818964</v>
      </c>
      <c r="E95" s="785" t="n">
        <v>35.4721692818964</v>
      </c>
      <c r="F95" s="785" t="n">
        <v>35.4721692818964</v>
      </c>
      <c r="G95" s="757" t="inlineStr">
        <is>
          <t>per IMAC</t>
        </is>
      </c>
    </row>
    <row r="96" ht="13.2" customHeight="1" s="586">
      <c r="A96" s="675" t="n"/>
      <c r="B96" s="786" t="n"/>
      <c r="C96" s="786" t="n"/>
      <c r="D96" s="786" t="n"/>
      <c r="E96" s="786" t="n"/>
      <c r="F96" s="786" t="n"/>
      <c r="G96" s="787" t="n"/>
    </row>
    <row r="97" ht="13.2" customHeight="1" s="586">
      <c r="A97" s="678" t="inlineStr">
        <is>
          <t>Subscriptions</t>
        </is>
      </c>
      <c r="B97" s="788" t="n"/>
      <c r="C97" s="788" t="n"/>
      <c r="D97" s="788" t="n"/>
      <c r="E97" s="788" t="n"/>
      <c r="F97" s="788" t="n"/>
      <c r="G97" s="789" t="n"/>
    </row>
    <row r="98" ht="13.2" customHeight="1" s="586">
      <c r="A98" s="669" t="inlineStr">
        <is>
          <t>ISDN 1</t>
        </is>
      </c>
      <c r="B98" s="790" t="n">
        <v>17.76</v>
      </c>
      <c r="C98" s="790" t="n">
        <v>17.76</v>
      </c>
      <c r="D98" s="790" t="n">
        <v>17.76</v>
      </c>
      <c r="E98" s="790" t="n">
        <v>17.76</v>
      </c>
      <c r="F98" s="790" t="n">
        <v>17.76</v>
      </c>
      <c r="G98" s="757" t="inlineStr">
        <is>
          <t>per subscription per month</t>
        </is>
      </c>
    </row>
    <row r="99" ht="13.2" customHeight="1" s="586">
      <c r="A99" s="669" t="inlineStr">
        <is>
          <t>ISDN 2</t>
        </is>
      </c>
      <c r="B99" s="790" t="n">
        <v>21.96</v>
      </c>
      <c r="C99" s="790" t="n">
        <v>21.96</v>
      </c>
      <c r="D99" s="790" t="n">
        <v>21.96</v>
      </c>
      <c r="E99" s="790" t="n">
        <v>21.96</v>
      </c>
      <c r="F99" s="790" t="n">
        <v>21.96</v>
      </c>
      <c r="G99" s="757" t="inlineStr">
        <is>
          <t>per subscription per month</t>
        </is>
      </c>
    </row>
    <row r="100" ht="13.2" customHeight="1" s="586">
      <c r="A100" s="669" t="inlineStr">
        <is>
          <t>ISDN 15</t>
        </is>
      </c>
      <c r="B100" s="790" t="n">
        <v>135</v>
      </c>
      <c r="C100" s="790" t="n">
        <v>135</v>
      </c>
      <c r="D100" s="790" t="n">
        <v>135</v>
      </c>
      <c r="E100" s="790" t="n">
        <v>135</v>
      </c>
      <c r="F100" s="790" t="n">
        <v>135</v>
      </c>
      <c r="G100" s="757" t="inlineStr">
        <is>
          <t>per subscription per month</t>
        </is>
      </c>
    </row>
    <row r="101" ht="13.2" customHeight="1" s="586">
      <c r="A101" s="669" t="inlineStr">
        <is>
          <t xml:space="preserve">ISDN 30  </t>
        </is>
      </c>
      <c r="B101" s="790" t="n">
        <v>197.44</v>
      </c>
      <c r="C101" s="790" t="n">
        <v>197.44</v>
      </c>
      <c r="D101" s="790" t="n">
        <v>197.44</v>
      </c>
      <c r="E101" s="790" t="n">
        <v>197.44</v>
      </c>
      <c r="F101" s="790" t="n">
        <v>197.44</v>
      </c>
      <c r="G101" s="757" t="inlineStr">
        <is>
          <t>per subscription per month</t>
        </is>
      </c>
    </row>
    <row r="102" ht="13.2" customHeight="1" s="586">
      <c r="A102" s="669" t="inlineStr">
        <is>
          <t>ISDN 30 (CPA)</t>
        </is>
      </c>
      <c r="B102" s="790" t="n">
        <v>45</v>
      </c>
      <c r="C102" s="790" t="n">
        <v>45</v>
      </c>
      <c r="D102" s="790" t="n">
        <v>45</v>
      </c>
      <c r="E102" s="790" t="n">
        <v>45</v>
      </c>
      <c r="F102" s="790" t="n">
        <v>45</v>
      </c>
      <c r="G102" s="757" t="inlineStr">
        <is>
          <t>per subscription per month</t>
        </is>
      </c>
    </row>
    <row r="103" ht="13.2" customHeight="1" s="586">
      <c r="A103" s="669" t="inlineStr">
        <is>
          <t>Dual homing telephony</t>
        </is>
      </c>
      <c r="B103" s="790" t="n">
        <v>1387.25</v>
      </c>
      <c r="C103" s="790" t="n">
        <v>1387.25</v>
      </c>
      <c r="D103" s="790" t="n">
        <v>1387.25</v>
      </c>
      <c r="E103" s="790" t="n">
        <v>1387.25</v>
      </c>
      <c r="F103" s="790" t="n">
        <v>1387.25</v>
      </c>
      <c r="G103" s="757" t="inlineStr">
        <is>
          <t>per subscription per month</t>
        </is>
      </c>
    </row>
    <row r="104" ht="13.2" customHeight="1" s="586">
      <c r="A104" s="669" t="inlineStr">
        <is>
          <t>DDI reserved numbers (10)</t>
        </is>
      </c>
      <c r="B104" s="790" t="n">
        <v>10.95</v>
      </c>
      <c r="C104" s="790" t="n">
        <v>10.95</v>
      </c>
      <c r="D104" s="790" t="n">
        <v>10.95</v>
      </c>
      <c r="E104" s="790" t="n">
        <v>10.95</v>
      </c>
      <c r="F104" s="790" t="n">
        <v>10.95</v>
      </c>
      <c r="G104" s="757" t="inlineStr">
        <is>
          <t>per subscription per month</t>
        </is>
      </c>
    </row>
    <row r="105" ht="13.2" customHeight="1" s="586">
      <c r="A105" s="669" t="inlineStr">
        <is>
          <t>DDI reserved numbers (100)</t>
        </is>
      </c>
      <c r="B105" s="790" t="n">
        <v>65.44</v>
      </c>
      <c r="C105" s="790" t="n">
        <v>65.44</v>
      </c>
      <c r="D105" s="790" t="n">
        <v>65.44</v>
      </c>
      <c r="E105" s="790" t="n">
        <v>65.44</v>
      </c>
      <c r="F105" s="790" t="n">
        <v>65.44</v>
      </c>
      <c r="G105" s="757" t="inlineStr">
        <is>
          <t>per subscription per month</t>
        </is>
      </c>
    </row>
    <row r="106" ht="13.2" customHeight="1" s="586">
      <c r="A106" s="669" t="inlineStr">
        <is>
          <t>DDI reserved numbers (1000)</t>
        </is>
      </c>
      <c r="B106" s="790" t="n">
        <v>493.1</v>
      </c>
      <c r="C106" s="790" t="n">
        <v>493.1</v>
      </c>
      <c r="D106" s="790" t="n">
        <v>493.1</v>
      </c>
      <c r="E106" s="790" t="n">
        <v>493.1</v>
      </c>
      <c r="F106" s="790" t="n">
        <v>493.1</v>
      </c>
      <c r="G106" s="757" t="inlineStr">
        <is>
          <t>per subscription per month</t>
        </is>
      </c>
    </row>
    <row r="107" ht="13.2" customHeight="1" s="586">
      <c r="A107" s="669" t="inlineStr">
        <is>
          <t>DDI reserved numbers (10000)</t>
        </is>
      </c>
      <c r="B107" s="790" t="n">
        <v>3500.77</v>
      </c>
      <c r="C107" s="790" t="n">
        <v>3500.77</v>
      </c>
      <c r="D107" s="790" t="n">
        <v>3500.77</v>
      </c>
      <c r="E107" s="790" t="n">
        <v>3500.77</v>
      </c>
      <c r="F107" s="790" t="n">
        <v>3500.77</v>
      </c>
      <c r="G107" s="757" t="inlineStr">
        <is>
          <t>per subscription per month</t>
        </is>
      </c>
    </row>
    <row r="108" ht="13.2" customHeight="1" s="586">
      <c r="A108" s="669" t="inlineStr">
        <is>
          <t>DDI facilities</t>
        </is>
      </c>
      <c r="B108" s="790" t="n">
        <v>17.4</v>
      </c>
      <c r="C108" s="790" t="n">
        <v>17.4</v>
      </c>
      <c r="D108" s="790" t="n">
        <v>17.4</v>
      </c>
      <c r="E108" s="790" t="n">
        <v>17.4</v>
      </c>
      <c r="F108" s="790" t="n">
        <v>17.4</v>
      </c>
      <c r="G108" s="757" t="inlineStr">
        <is>
          <t>per subscription per month</t>
        </is>
      </c>
    </row>
    <row r="109" ht="13.2" customHeight="1" s="586">
      <c r="A109" s="669" t="inlineStr">
        <is>
          <t>Calamity services</t>
        </is>
      </c>
      <c r="B109" s="790" t="n">
        <v>1061.55</v>
      </c>
      <c r="C109" s="790" t="n">
        <v>1061.55</v>
      </c>
      <c r="D109" s="790" t="n">
        <v>1061.55</v>
      </c>
      <c r="E109" s="790" t="n">
        <v>1061.55</v>
      </c>
      <c r="F109" s="790" t="n">
        <v>1061.55</v>
      </c>
      <c r="G109" s="757" t="inlineStr">
        <is>
          <t>per subscription per month</t>
        </is>
      </c>
    </row>
    <row r="110" ht="13.2" customHeight="1" s="586">
      <c r="A110" s="669" t="inlineStr">
        <is>
          <t>Infrastructure services</t>
        </is>
      </c>
      <c r="B110" s="790" t="n">
        <v>8.08</v>
      </c>
      <c r="C110" s="790" t="n">
        <v>8.08</v>
      </c>
      <c r="D110" s="790" t="n">
        <v>8.08</v>
      </c>
      <c r="E110" s="790" t="n">
        <v>8.08</v>
      </c>
      <c r="F110" s="790" t="n">
        <v>8.08</v>
      </c>
      <c r="G110" s="757" t="inlineStr">
        <is>
          <t>per subscription per month</t>
        </is>
      </c>
    </row>
    <row r="111" ht="13.2" customHeight="1" s="586">
      <c r="A111" s="669" t="inlineStr">
        <is>
          <t>ADSL</t>
        </is>
      </c>
      <c r="B111" s="790" t="n">
        <v>18.45</v>
      </c>
      <c r="C111" s="790" t="n">
        <v>18.45</v>
      </c>
      <c r="D111" s="790" t="n">
        <v>18.45</v>
      </c>
      <c r="E111" s="790" t="n">
        <v>18.45</v>
      </c>
      <c r="F111" s="790" t="n">
        <v>18.45</v>
      </c>
      <c r="G111" s="757" t="inlineStr">
        <is>
          <t>per subscription per month</t>
        </is>
      </c>
    </row>
    <row r="112" ht="13.2" customHeight="1" s="586">
      <c r="A112" s="669" t="inlineStr">
        <is>
          <t>PSTN</t>
        </is>
      </c>
      <c r="B112" s="790" t="n">
        <v>15.26</v>
      </c>
      <c r="C112" s="790" t="n">
        <v>15.26</v>
      </c>
      <c r="D112" s="790" t="n">
        <v>15.26</v>
      </c>
      <c r="E112" s="790" t="n">
        <v>15.26</v>
      </c>
      <c r="F112" s="790" t="n">
        <v>15.26</v>
      </c>
      <c r="G112" s="757" t="inlineStr">
        <is>
          <t>per subscription per month</t>
        </is>
      </c>
    </row>
    <row r="113" ht="13.8" customHeight="1" s="586">
      <c r="A113" s="669" t="inlineStr">
        <is>
          <t>Telex</t>
        </is>
      </c>
      <c r="B113" s="790" t="n">
        <v>50.98</v>
      </c>
      <c r="C113" s="790" t="n">
        <v>50.98</v>
      </c>
      <c r="D113" s="790" t="n">
        <v>50.98</v>
      </c>
      <c r="E113" s="790" t="n">
        <v>50.98</v>
      </c>
      <c r="F113" s="790" t="n">
        <v>50.98</v>
      </c>
      <c r="G113" s="757" t="inlineStr">
        <is>
          <t>per subscription per month</t>
        </is>
      </c>
    </row>
    <row r="114" ht="13.8" customHeight="1" s="586">
      <c r="A114" s="651" t="inlineStr">
        <is>
          <t>TOTAL VOICE SERVICES</t>
        </is>
      </c>
      <c r="B114" s="772" t="n"/>
      <c r="C114" s="772" t="n"/>
      <c r="D114" s="772" t="n"/>
      <c r="E114" s="772" t="n"/>
      <c r="F114" s="772" t="n"/>
      <c r="G114" s="773" t="n"/>
    </row>
    <row r="115" ht="13.2" customHeight="1" s="586">
      <c r="A115" s="640" t="n"/>
      <c r="B115" s="695" t="n"/>
      <c r="C115" s="695" t="n"/>
      <c r="D115" s="695" t="n"/>
      <c r="E115" s="695" t="n"/>
      <c r="F115" s="695" t="n"/>
      <c r="G115" s="791" t="n"/>
    </row>
    <row r="116" ht="13.8" customHeight="1" s="586">
      <c r="A116" s="640" t="n"/>
      <c r="B116" s="695" t="n"/>
      <c r="C116" s="695" t="n"/>
      <c r="D116" s="695" t="n"/>
      <c r="E116" s="695" t="n"/>
      <c r="F116" s="695" t="n"/>
      <c r="G116" s="791" t="n"/>
    </row>
    <row r="117" ht="13.8" customHeight="1" s="586">
      <c r="A117" s="651" t="n"/>
      <c r="B117" s="760" t="n"/>
      <c r="C117" s="760" t="n"/>
      <c r="D117" s="760" t="n"/>
      <c r="E117" s="760" t="n"/>
      <c r="F117" s="760" t="n"/>
      <c r="G117" s="761" t="n"/>
    </row>
    <row r="118" ht="13.8" customHeight="1" s="586">
      <c r="A118" s="792" t="n"/>
      <c r="B118" s="793" t="n"/>
      <c r="C118" s="793" t="n"/>
      <c r="D118" s="793" t="n"/>
      <c r="E118" s="793" t="n"/>
      <c r="F118" s="793" t="n"/>
      <c r="G118" s="794" t="n"/>
    </row>
    <row r="119" ht="13.8" customHeight="1" s="586">
      <c r="A119" s="730" t="inlineStr">
        <is>
          <t>Server Management</t>
        </is>
      </c>
      <c r="B119" s="762" t="n"/>
      <c r="C119" s="762" t="n"/>
      <c r="D119" s="762" t="n"/>
      <c r="E119" s="762" t="n"/>
      <c r="F119" s="762" t="n"/>
      <c r="G119" s="763" t="n"/>
    </row>
    <row r="120" ht="13.2" customHeight="1" s="586">
      <c r="A120" s="795" t="inlineStr">
        <is>
          <t>Support Services</t>
        </is>
      </c>
      <c r="B120" s="796" t="n"/>
      <c r="C120" s="796" t="n"/>
      <c r="D120" s="796" t="n"/>
      <c r="E120" s="796" t="n"/>
      <c r="F120" s="796" t="n"/>
      <c r="G120" s="797" t="n"/>
    </row>
    <row r="121" ht="13.2" customHeight="1" s="586">
      <c r="A121" s="640" t="n"/>
      <c r="B121" s="695" t="n"/>
      <c r="C121" s="695" t="n"/>
      <c r="D121" s="695" t="n"/>
      <c r="E121" s="695" t="n"/>
      <c r="F121" s="695" t="n"/>
      <c r="G121" s="791" t="n"/>
    </row>
    <row r="122" ht="13.2" customHeight="1" s="586">
      <c r="A122" s="640" t="inlineStr">
        <is>
          <t>Servers</t>
        </is>
      </c>
      <c r="B122" s="756" t="n">
        <v>152.079997987118</v>
      </c>
      <c r="C122" s="756" t="n">
        <v>131.368180160781</v>
      </c>
      <c r="D122" s="756" t="n">
        <v>80.6060522777299</v>
      </c>
      <c r="E122" s="756" t="n">
        <v>82.1192624653077</v>
      </c>
      <c r="F122" s="756" t="n">
        <v>70.4432489472677</v>
      </c>
      <c r="G122" s="791" t="inlineStr">
        <is>
          <t>per server per month</t>
        </is>
      </c>
    </row>
    <row r="123" ht="13.2" customHeight="1" s="586">
      <c r="A123" s="640" t="n"/>
      <c r="B123" s="695" t="n"/>
      <c r="C123" s="695" t="n"/>
      <c r="D123" s="695" t="n"/>
      <c r="E123" s="695" t="n"/>
      <c r="F123" s="695" t="n"/>
      <c r="G123" s="791" t="n"/>
    </row>
    <row r="124" ht="13.2" customHeight="1" s="586">
      <c r="A124" s="640" t="n"/>
      <c r="B124" s="695" t="n"/>
      <c r="C124" s="695" t="n"/>
      <c r="D124" s="695" t="n"/>
      <c r="E124" s="695" t="n"/>
      <c r="F124" s="695" t="n"/>
      <c r="G124" s="791" t="n"/>
    </row>
    <row r="125" ht="13.2" customHeight="1" s="586">
      <c r="A125" s="640" t="n"/>
      <c r="B125" s="695" t="n"/>
      <c r="C125" s="695" t="n"/>
      <c r="D125" s="695" t="n"/>
      <c r="E125" s="695" t="n"/>
      <c r="F125" s="695" t="n"/>
      <c r="G125" s="791" t="n"/>
    </row>
    <row r="126" ht="13.2" customHeight="1" s="586">
      <c r="A126" s="640" t="n"/>
      <c r="B126" s="695" t="n"/>
      <c r="C126" s="695" t="n"/>
      <c r="D126" s="695" t="n"/>
      <c r="E126" s="695" t="n"/>
      <c r="F126" s="695" t="n"/>
      <c r="G126" s="791" t="n"/>
    </row>
    <row r="127" ht="13.2" customHeight="1" s="586">
      <c r="A127" s="640" t="n"/>
      <c r="B127" s="695" t="n"/>
      <c r="C127" s="695" t="n"/>
      <c r="D127" s="695" t="n"/>
      <c r="E127" s="695" t="n"/>
      <c r="F127" s="695" t="n"/>
      <c r="G127" s="791" t="n"/>
    </row>
    <row r="128" ht="13.2" customHeight="1" s="586">
      <c r="A128" s="640" t="n"/>
      <c r="B128" s="695" t="n"/>
      <c r="C128" s="695" t="n"/>
      <c r="D128" s="695" t="n"/>
      <c r="E128" s="695" t="n"/>
      <c r="F128" s="695" t="n"/>
      <c r="G128" s="791" t="n"/>
    </row>
    <row r="129" ht="13.2" customHeight="1" s="586">
      <c r="A129" s="640" t="n"/>
      <c r="B129" s="695" t="n"/>
      <c r="C129" s="695" t="n"/>
      <c r="D129" s="695" t="n"/>
      <c r="E129" s="695" t="n"/>
      <c r="F129" s="695" t="n"/>
      <c r="G129" s="791" t="n"/>
    </row>
    <row r="130" ht="13.2" customHeight="1" s="586">
      <c r="A130" s="640" t="n"/>
      <c r="B130" s="695" t="n"/>
      <c r="C130" s="695" t="n"/>
      <c r="D130" s="695" t="n"/>
      <c r="E130" s="695" t="n"/>
      <c r="F130" s="695" t="n"/>
      <c r="G130" s="791" t="n"/>
    </row>
    <row r="131" ht="13.2" customHeight="1" s="586">
      <c r="A131" s="640" t="n"/>
      <c r="B131" s="695" t="n"/>
      <c r="C131" s="695" t="n"/>
      <c r="D131" s="695" t="n"/>
      <c r="E131" s="695" t="n"/>
      <c r="F131" s="695" t="n"/>
      <c r="G131" s="791" t="n"/>
    </row>
    <row r="132" ht="13.2" customHeight="1" s="586">
      <c r="A132" s="640" t="inlineStr">
        <is>
          <t>Total DAS (TB)</t>
        </is>
      </c>
      <c r="B132" s="756" t="n">
        <v>1433.31122457456</v>
      </c>
      <c r="C132" s="756" t="n">
        <v>1163.45811464309</v>
      </c>
      <c r="D132" s="756" t="n">
        <v>941.657471273062</v>
      </c>
      <c r="E132" s="756" t="n">
        <v>858.482163489916</v>
      </c>
      <c r="F132" s="756" t="n">
        <v>705.994365298359</v>
      </c>
      <c r="G132" s="791" t="inlineStr">
        <is>
          <t>per TB per month</t>
        </is>
      </c>
    </row>
    <row r="133" ht="13.8" customHeight="1" s="586">
      <c r="A133" s="640" t="inlineStr">
        <is>
          <t>E-mail Accounts</t>
        </is>
      </c>
      <c r="B133" s="756" t="n">
        <v>0.9897137338508361</v>
      </c>
      <c r="C133" s="756" t="n">
        <v>0.965494086991381</v>
      </c>
      <c r="D133" s="756" t="n">
        <v>0.941275351227246</v>
      </c>
      <c r="E133" s="756" t="n">
        <v>0.91705661546311</v>
      </c>
      <c r="F133" s="756" t="n">
        <v>0.8946774054434909</v>
      </c>
      <c r="G133" s="757" t="inlineStr">
        <is>
          <t>per account per month</t>
        </is>
      </c>
    </row>
    <row r="134" ht="13.8" customHeight="1" s="586">
      <c r="A134" s="651" t="inlineStr">
        <is>
          <t>TOTAL SERVER MANAGEMENT</t>
        </is>
      </c>
      <c r="B134" s="760" t="n"/>
      <c r="C134" s="760" t="n"/>
      <c r="D134" s="760" t="n"/>
      <c r="E134" s="760" t="n"/>
      <c r="F134" s="760" t="n"/>
      <c r="G134" s="761" t="n"/>
    </row>
    <row r="135" ht="13.8" customHeight="1" s="586">
      <c r="A135" s="730" t="inlineStr">
        <is>
          <t>2IM</t>
        </is>
      </c>
      <c r="B135" s="762" t="n"/>
      <c r="C135" s="762" t="n"/>
      <c r="D135" s="762" t="n"/>
      <c r="E135" s="762" t="n"/>
      <c r="F135" s="762" t="n"/>
      <c r="G135" s="763" t="n"/>
    </row>
    <row r="136" ht="13.8" customHeight="1" s="586">
      <c r="A136" s="685" t="inlineStr">
        <is>
          <t>FTE</t>
        </is>
      </c>
      <c r="B136" s="756" t="n">
        <v>20197</v>
      </c>
      <c r="C136" s="756" t="n">
        <v>18943</v>
      </c>
      <c r="D136" s="756" t="n">
        <v>16526.3333333333</v>
      </c>
      <c r="E136" s="756" t="n">
        <v>15644.75</v>
      </c>
      <c r="F136" s="756" t="n">
        <v>14378.5</v>
      </c>
      <c r="G136" s="798" t="inlineStr">
        <is>
          <t>per FTE per month</t>
        </is>
      </c>
    </row>
    <row r="137" ht="13.8" customHeight="1" s="586">
      <c r="A137" s="651" t="inlineStr">
        <is>
          <t>TOTAL 2IM SERVICES</t>
        </is>
      </c>
      <c r="B137" s="760" t="n"/>
      <c r="C137" s="760" t="n"/>
      <c r="D137" s="760" t="n"/>
      <c r="E137" s="760" t="n"/>
      <c r="F137" s="760" t="n"/>
      <c r="G137" s="761" t="n"/>
    </row>
  </sheetData>
  <mergeCells count="2">
    <mergeCell ref="E79:G79"/>
    <mergeCell ref="C79:D79"/>
  </mergeCells>
  <printOptions horizontalCentered="1" verticalCentered="0" headings="0" gridLines="0" gridLinesSet="1"/>
  <pageMargins left="1" right="1" top="0.729861111111111" bottom="0.5" header="0.25" footer="0.25"/>
  <pageSetup orientation="landscape" paperSize="9" scale="100" fitToHeight="2"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1"/>
  </sheetPr>
  <dimension ref="A1:H137"/>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43.53" customWidth="1" style="590" min="1" max="1"/>
    <col width="14.51" customWidth="1" style="590" min="2" max="6"/>
    <col width="36.93" customWidth="1" style="747" min="7" max="7"/>
    <col width="28.62" customWidth="1" style="590" min="8" max="8"/>
    <col width="8.4" customWidth="1" style="590" min="9" max="257"/>
  </cols>
  <sheetData>
    <row r="1" ht="13.8" customHeight="1" s="586">
      <c r="A1" s="748" t="inlineStr">
        <is>
          <t xml:space="preserve">ARC'S &amp; RRC'S - BELGIUM </t>
        </is>
      </c>
      <c r="B1" s="749" t="inlineStr">
        <is>
          <t>Year 1 ARC/RRC</t>
        </is>
      </c>
      <c r="C1" s="749" t="inlineStr">
        <is>
          <t>Year 2 ARC/RRC</t>
        </is>
      </c>
      <c r="D1" s="749" t="inlineStr">
        <is>
          <t>Year 3 ARC/RRC</t>
        </is>
      </c>
      <c r="E1" s="749" t="inlineStr">
        <is>
          <t>Year 4 ARC/RRC</t>
        </is>
      </c>
      <c r="F1" s="749" t="inlineStr">
        <is>
          <t>Year 5 ARC/RRC</t>
        </is>
      </c>
      <c r="G1" s="750" t="inlineStr">
        <is>
          <t>Resource Unit</t>
        </is>
      </c>
    </row>
    <row r="2" ht="13.8" customHeight="1" s="586">
      <c r="A2" s="730" t="inlineStr">
        <is>
          <t>EUC</t>
        </is>
      </c>
      <c r="B2" s="751" t="n"/>
      <c r="C2" s="751" t="n"/>
      <c r="D2" s="751" t="n"/>
      <c r="E2" s="751" t="n"/>
      <c r="F2" s="751" t="n"/>
      <c r="G2" s="752" t="n"/>
    </row>
    <row r="3" ht="13.8" customHeight="1" s="586">
      <c r="A3" s="634" t="inlineStr">
        <is>
          <t>Support Services</t>
        </is>
      </c>
      <c r="B3" s="746" t="n"/>
      <c r="C3" s="746" t="n"/>
      <c r="D3" s="746" t="n"/>
      <c r="E3" s="746" t="n"/>
      <c r="F3" s="746" t="n"/>
      <c r="G3" s="753" t="n"/>
    </row>
    <row r="4" ht="13.8" customHeight="1" s="586">
      <c r="A4" s="637" t="inlineStr">
        <is>
          <t xml:space="preserve">Medium Service Level </t>
        </is>
      </c>
      <c r="B4" s="754" t="n"/>
      <c r="C4" s="754" t="n"/>
      <c r="D4" s="754" t="n"/>
      <c r="E4" s="754" t="n"/>
      <c r="F4" s="754" t="n"/>
      <c r="G4" s="755" t="n"/>
    </row>
    <row r="5" ht="13.2" customHeight="1" s="586">
      <c r="A5" s="640" t="inlineStr">
        <is>
          <t>Standard Desktops (CEDS)</t>
        </is>
      </c>
      <c r="B5" s="756" t="n">
        <v>15.4061102995629</v>
      </c>
      <c r="C5" s="756" t="n">
        <v>18.2530147819445</v>
      </c>
      <c r="D5" s="756" t="n">
        <v>16.211471505918</v>
      </c>
      <c r="E5" s="756" t="n">
        <v>15.2174659281629</v>
      </c>
      <c r="F5" s="756" t="n">
        <v>14.2893158392198</v>
      </c>
      <c r="G5" s="757" t="inlineStr">
        <is>
          <t>per device per month</t>
        </is>
      </c>
    </row>
    <row r="6" ht="13.2" customHeight="1" s="586">
      <c r="A6" s="640" t="inlineStr">
        <is>
          <t>Non-Standard Desktops (non CEDS)</t>
        </is>
      </c>
      <c r="B6" s="756" t="n"/>
      <c r="C6" s="756" t="n"/>
      <c r="D6" s="756" t="n"/>
      <c r="E6" s="756" t="n"/>
      <c r="F6" s="756" t="n"/>
      <c r="G6" s="757" t="n"/>
    </row>
    <row r="7" ht="13.2" customHeight="1" s="586">
      <c r="A7" s="640" t="inlineStr">
        <is>
          <t>Standard Laptops (CEDS)</t>
        </is>
      </c>
      <c r="B7" s="756" t="n">
        <v>19.6646981151695</v>
      </c>
      <c r="C7" s="756" t="n">
        <v>26.9826289754573</v>
      </c>
      <c r="D7" s="756" t="n">
        <v>24.9361860088209</v>
      </c>
      <c r="E7" s="756" t="n">
        <v>23.7892307284934</v>
      </c>
      <c r="F7" s="756" t="n">
        <v>22.7884772901836</v>
      </c>
      <c r="G7" s="757" t="inlineStr">
        <is>
          <t>per device per month</t>
        </is>
      </c>
    </row>
    <row r="8" ht="13.2" customHeight="1" s="586">
      <c r="A8" s="640" t="inlineStr">
        <is>
          <t>Non-Standard Laptops (non CEDS)</t>
        </is>
      </c>
      <c r="B8" s="756" t="n"/>
      <c r="C8" s="756" t="n"/>
      <c r="D8" s="756" t="n"/>
      <c r="E8" s="756" t="n"/>
      <c r="F8" s="756" t="n"/>
      <c r="G8" s="757" t="n"/>
    </row>
    <row r="9" ht="13.2" customHeight="1" s="586">
      <c r="A9" s="640" t="inlineStr">
        <is>
          <t>Standard Local Printers</t>
        </is>
      </c>
      <c r="B9" s="756" t="n">
        <v>4.66995895609146</v>
      </c>
      <c r="C9" s="756" t="n">
        <v>14.0490308467515</v>
      </c>
      <c r="D9" s="756" t="n">
        <v>13.5680717388176</v>
      </c>
      <c r="E9" s="756" t="n">
        <v>13.2111223061813</v>
      </c>
      <c r="F9" s="756" t="n">
        <v>12.8619049608264</v>
      </c>
      <c r="G9" s="757" t="inlineStr">
        <is>
          <t>per device per month</t>
        </is>
      </c>
    </row>
    <row r="10" ht="13.2" customHeight="1" s="586">
      <c r="A10" s="640" t="inlineStr">
        <is>
          <t>Non-Standard Local Printers</t>
        </is>
      </c>
      <c r="B10" s="756" t="n"/>
      <c r="C10" s="756" t="n"/>
      <c r="D10" s="756" t="n"/>
      <c r="E10" s="756" t="n"/>
      <c r="F10" s="756" t="n"/>
      <c r="G10" s="757" t="n"/>
    </row>
    <row r="11" ht="13.2" customHeight="1" s="586">
      <c r="A11" s="640" t="inlineStr">
        <is>
          <t>Standard Network Printers</t>
        </is>
      </c>
      <c r="B11" s="756" t="n">
        <v>5.18518123604104</v>
      </c>
      <c r="C11" s="756" t="n">
        <v>15.5957515264427</v>
      </c>
      <c r="D11" s="756" t="n">
        <v>15.1219249732283</v>
      </c>
      <c r="E11" s="756" t="n">
        <v>14.7341520102541</v>
      </c>
      <c r="F11" s="756" t="n">
        <v>14.4028980170248</v>
      </c>
      <c r="G11" s="757" t="inlineStr">
        <is>
          <t>per device per month</t>
        </is>
      </c>
    </row>
    <row r="12" ht="13.2" customHeight="1" s="586">
      <c r="A12" s="640" t="inlineStr">
        <is>
          <t>Non-Standard Network Printers</t>
        </is>
      </c>
      <c r="B12" s="756" t="n">
        <v>8.05249411090835</v>
      </c>
      <c r="C12" s="756" t="n">
        <v>24.2038628979137</v>
      </c>
      <c r="D12" s="756" t="n">
        <v>23.6581640200894</v>
      </c>
      <c r="E12" s="756" t="n">
        <v>23.0699608427464</v>
      </c>
      <c r="F12" s="756" t="n">
        <v>22.6261885093065</v>
      </c>
      <c r="G12" s="757" t="inlineStr">
        <is>
          <t>per device per month</t>
        </is>
      </c>
    </row>
    <row r="13" ht="13.2" customHeight="1" s="586">
      <c r="A13" s="640" t="inlineStr">
        <is>
          <t>Other Peripherals</t>
        </is>
      </c>
      <c r="B13" s="756" t="n"/>
      <c r="C13" s="756" t="n"/>
      <c r="D13" s="756" t="n"/>
      <c r="E13" s="756" t="n"/>
      <c r="F13" s="756" t="n"/>
      <c r="G13" s="757" t="n"/>
    </row>
    <row r="14" ht="13.2" customHeight="1" s="586">
      <c r="A14" s="640" t="n"/>
      <c r="B14" s="756" t="n"/>
      <c r="C14" s="756" t="n"/>
      <c r="D14" s="756" t="n"/>
      <c r="E14" s="756" t="n"/>
      <c r="F14" s="756" t="n"/>
      <c r="G14" s="757" t="n"/>
    </row>
    <row r="15" ht="13.2" customHeight="1" s="586">
      <c r="A15" s="640" t="inlineStr">
        <is>
          <t>Installations</t>
        </is>
      </c>
      <c r="B15" s="756" t="n">
        <v>233.094336650633</v>
      </c>
      <c r="C15" s="756" t="n">
        <v>236.94408842193</v>
      </c>
      <c r="D15" s="756" t="n">
        <v>242.063802313195</v>
      </c>
      <c r="E15" s="756" t="n">
        <v>234.670871898931</v>
      </c>
      <c r="F15" s="756" t="n">
        <v>237.353092491215</v>
      </c>
      <c r="G15" s="757" t="inlineStr">
        <is>
          <t>per installation</t>
        </is>
      </c>
    </row>
    <row r="16" ht="13.2" customHeight="1" s="586">
      <c r="A16" s="640" t="inlineStr">
        <is>
          <t>Moves</t>
        </is>
      </c>
      <c r="B16" s="756" t="n">
        <v>99.5111287490537</v>
      </c>
      <c r="C16" s="756" t="n">
        <v>102.968865170505</v>
      </c>
      <c r="D16" s="756" t="n">
        <v>106.996616481245</v>
      </c>
      <c r="E16" s="756" t="n">
        <v>102.783727668132</v>
      </c>
      <c r="F16" s="756" t="n">
        <v>105.72665080956</v>
      </c>
      <c r="G16" s="757" t="inlineStr">
        <is>
          <t>per move</t>
        </is>
      </c>
    </row>
    <row r="17" ht="13.2" customHeight="1" s="586">
      <c r="A17" s="640" t="inlineStr">
        <is>
          <t>Adds</t>
        </is>
      </c>
      <c r="B17" s="756" t="n"/>
      <c r="C17" s="756" t="n"/>
      <c r="D17" s="756" t="n"/>
      <c r="E17" s="756" t="n"/>
      <c r="F17" s="756" t="n"/>
      <c r="G17" s="757" t="n"/>
    </row>
    <row r="18" ht="13.2" customHeight="1" s="586">
      <c r="A18" s="640" t="inlineStr">
        <is>
          <t xml:space="preserve">Changes </t>
        </is>
      </c>
      <c r="B18" s="756" t="n">
        <v>99.5111287490537</v>
      </c>
      <c r="C18" s="756" t="n">
        <v>102.968865170505</v>
      </c>
      <c r="D18" s="756" t="n">
        <v>106.996616481245</v>
      </c>
      <c r="E18" s="756" t="n">
        <v>102.783727668132</v>
      </c>
      <c r="F18" s="756" t="n">
        <v>105.72665080956</v>
      </c>
      <c r="G18" s="757" t="inlineStr">
        <is>
          <t>per change</t>
        </is>
      </c>
    </row>
    <row r="19" ht="13.2" customHeight="1" s="586">
      <c r="A19" s="637" t="inlineStr">
        <is>
          <t xml:space="preserve">Low Service Level </t>
        </is>
      </c>
      <c r="B19" s="758" t="n"/>
      <c r="C19" s="758" t="n"/>
      <c r="D19" s="758" t="n"/>
      <c r="E19" s="758" t="n"/>
      <c r="F19" s="758" t="n"/>
      <c r="G19" s="759" t="n"/>
    </row>
    <row r="20" ht="13.2" customHeight="1" s="586">
      <c r="A20" s="640" t="inlineStr">
        <is>
          <t>Standard Desktops (CEDS)</t>
        </is>
      </c>
      <c r="B20" s="756" t="n">
        <v>15.1439765935534</v>
      </c>
      <c r="C20" s="756" t="n">
        <v>17.4058089285262</v>
      </c>
      <c r="D20" s="756" t="n">
        <v>15.4988162335436</v>
      </c>
      <c r="E20" s="756" t="n">
        <v>14.5338393307652</v>
      </c>
      <c r="F20" s="756" t="n">
        <v>13.6609926363275</v>
      </c>
      <c r="G20" s="757" t="inlineStr">
        <is>
          <t>per device per month</t>
        </is>
      </c>
    </row>
    <row r="21" ht="13.2" customHeight="1" s="586">
      <c r="A21" s="640" t="inlineStr">
        <is>
          <t>Non-Standard Desktops (non CEDS)</t>
        </is>
      </c>
      <c r="B21" s="756" t="n"/>
      <c r="C21" s="756" t="n"/>
      <c r="D21" s="756" t="n"/>
      <c r="E21" s="756" t="n"/>
      <c r="F21" s="756" t="n"/>
      <c r="G21" s="757" t="n"/>
    </row>
    <row r="22" ht="13.2" customHeight="1" s="586">
      <c r="A22" s="640" t="inlineStr">
        <is>
          <t>Standard Laptops (CEDS)</t>
        </is>
      </c>
      <c r="B22" s="756" t="n">
        <v>20.5903272571453</v>
      </c>
      <c r="C22" s="756" t="n">
        <v>27.2633781925469</v>
      </c>
      <c r="D22" s="756" t="n">
        <v>25.3602719448302</v>
      </c>
      <c r="E22" s="756" t="n">
        <v>24.2455503666975</v>
      </c>
      <c r="F22" s="756" t="n">
        <v>23.3090475916432</v>
      </c>
      <c r="G22" s="757" t="inlineStr">
        <is>
          <t>per device per month</t>
        </is>
      </c>
    </row>
    <row r="23" ht="13.2" customHeight="1" s="586">
      <c r="A23" s="640" t="inlineStr">
        <is>
          <t>Non-Standard Laptops (non CEDS)</t>
        </is>
      </c>
      <c r="B23" s="756" t="n"/>
      <c r="C23" s="756" t="n"/>
      <c r="D23" s="756" t="n"/>
      <c r="E23" s="756" t="n"/>
      <c r="F23" s="756" t="n"/>
      <c r="G23" s="757" t="n"/>
    </row>
    <row r="24" ht="13.2" customHeight="1" s="586">
      <c r="A24" s="640" t="inlineStr">
        <is>
          <t>Standard Local Printers</t>
        </is>
      </c>
      <c r="B24" s="756" t="n">
        <v>4.37978132658467</v>
      </c>
      <c r="C24" s="756" t="n">
        <v>13.1693037357592</v>
      </c>
      <c r="D24" s="756" t="n">
        <v>12.8056159554057</v>
      </c>
      <c r="E24" s="756" t="n">
        <v>12.4786874855443</v>
      </c>
      <c r="F24" s="756" t="n">
        <v>12.195277121264</v>
      </c>
      <c r="G24" s="757" t="inlineStr">
        <is>
          <t>per device per month</t>
        </is>
      </c>
    </row>
    <row r="25" ht="13.2" customHeight="1" s="586">
      <c r="A25" s="640" t="inlineStr">
        <is>
          <t>Non-Standard Local Printers</t>
        </is>
      </c>
      <c r="B25" s="756" t="n"/>
      <c r="C25" s="756" t="n"/>
      <c r="D25" s="756" t="n"/>
      <c r="E25" s="756" t="n"/>
      <c r="F25" s="756" t="n"/>
      <c r="G25" s="757" t="n"/>
    </row>
    <row r="26" ht="13.2" customHeight="1" s="586">
      <c r="A26" s="640" t="inlineStr">
        <is>
          <t>Standard Network Printers</t>
        </is>
      </c>
      <c r="B26" s="756" t="n">
        <v>6.47263584009547</v>
      </c>
      <c r="C26" s="756" t="n">
        <v>15.9244445274842</v>
      </c>
      <c r="D26" s="756" t="n">
        <v>14.969314823908</v>
      </c>
      <c r="E26" s="756" t="n">
        <v>14.5955403921508</v>
      </c>
      <c r="F26" s="756" t="n">
        <v>14.2943952226291</v>
      </c>
      <c r="G26" s="757" t="inlineStr">
        <is>
          <t>per device per month</t>
        </is>
      </c>
    </row>
    <row r="27" ht="13.2" customHeight="1" s="586">
      <c r="A27" s="640" t="inlineStr">
        <is>
          <t>Non-Standard Network Printers</t>
        </is>
      </c>
      <c r="B27" s="756" t="n">
        <v>8.53938051887809</v>
      </c>
      <c r="C27" s="756" t="n">
        <v>23.7845068399456</v>
      </c>
      <c r="D27" s="756" t="n">
        <v>23.0629638211806</v>
      </c>
      <c r="E27" s="756" t="n">
        <v>22.5025884898935</v>
      </c>
      <c r="F27" s="756" t="n">
        <v>22.1191772472931</v>
      </c>
      <c r="G27" s="757" t="inlineStr">
        <is>
          <t>per device per month</t>
        </is>
      </c>
    </row>
    <row r="28" ht="13.2" customHeight="1" s="586">
      <c r="A28" s="640" t="inlineStr">
        <is>
          <t>Other Peripherals</t>
        </is>
      </c>
      <c r="B28" s="756" t="n"/>
      <c r="C28" s="756" t="n"/>
      <c r="D28" s="756" t="n"/>
      <c r="E28" s="756" t="n"/>
      <c r="F28" s="756" t="n"/>
      <c r="G28" s="757" t="n"/>
    </row>
    <row r="29" ht="13.2" customHeight="1" s="586">
      <c r="A29" s="640" t="n"/>
      <c r="B29" s="756" t="n"/>
      <c r="C29" s="756" t="n"/>
      <c r="D29" s="756" t="n"/>
      <c r="E29" s="756" t="n"/>
      <c r="F29" s="756" t="n"/>
      <c r="G29" s="757" t="n"/>
    </row>
    <row r="30" ht="13.2" customHeight="1" s="586">
      <c r="A30" s="640" t="inlineStr">
        <is>
          <t>Installations</t>
        </is>
      </c>
      <c r="B30" s="756" t="n">
        <v>172.736820370213</v>
      </c>
      <c r="C30" s="756" t="n">
        <v>175.63260908317</v>
      </c>
      <c r="D30" s="756" t="n">
        <v>178.544117791998</v>
      </c>
      <c r="E30" s="756" t="n">
        <v>176.957925551568</v>
      </c>
      <c r="F30" s="756" t="n">
        <v>179.914495020321</v>
      </c>
      <c r="G30" s="757" t="inlineStr">
        <is>
          <t>per installation</t>
        </is>
      </c>
    </row>
    <row r="31" ht="13.2" customHeight="1" s="586">
      <c r="A31" s="640" t="inlineStr">
        <is>
          <t>Moves</t>
        </is>
      </c>
      <c r="B31" s="756" t="n">
        <v>73.7436877212766</v>
      </c>
      <c r="C31" s="756" t="n">
        <v>76.3247167915213</v>
      </c>
      <c r="D31" s="756" t="n">
        <v>78.919757162433</v>
      </c>
      <c r="E31" s="756" t="n">
        <v>77.5059771220493</v>
      </c>
      <c r="F31" s="756" t="n">
        <v>80.141180344199</v>
      </c>
      <c r="G31" s="757" t="inlineStr">
        <is>
          <t>per move</t>
        </is>
      </c>
    </row>
    <row r="32" ht="13.2" customHeight="1" s="586">
      <c r="A32" s="640" t="inlineStr">
        <is>
          <t>Adds</t>
        </is>
      </c>
      <c r="B32" s="756" t="n"/>
      <c r="C32" s="756" t="n"/>
      <c r="D32" s="756" t="n"/>
      <c r="E32" s="756" t="n"/>
      <c r="F32" s="756" t="n"/>
      <c r="G32" s="757" t="n"/>
    </row>
    <row r="33" ht="13.2" customHeight="1" s="586">
      <c r="A33" s="640" t="inlineStr">
        <is>
          <t xml:space="preserve">Changes </t>
        </is>
      </c>
      <c r="B33" s="756" t="n">
        <v>73.7436877212766</v>
      </c>
      <c r="C33" s="756" t="n">
        <v>76.3247167915213</v>
      </c>
      <c r="D33" s="756" t="n">
        <v>78.919757162433</v>
      </c>
      <c r="E33" s="756" t="n">
        <v>77.5059771220493</v>
      </c>
      <c r="F33" s="756" t="n">
        <v>80.141180344199</v>
      </c>
      <c r="G33" s="757" t="inlineStr">
        <is>
          <t>per change</t>
        </is>
      </c>
    </row>
    <row r="34" ht="13.2" customHeight="1" s="586">
      <c r="A34" s="637" t="inlineStr">
        <is>
          <t>Packaging &amp; Distribution</t>
        </is>
      </c>
      <c r="B34" s="758" t="n"/>
      <c r="C34" s="758" t="n"/>
      <c r="D34" s="758" t="n"/>
      <c r="E34" s="758" t="n"/>
      <c r="F34" s="758" t="n"/>
      <c r="G34" s="759" t="n"/>
    </row>
    <row r="35" ht="13.8" customHeight="1" s="586">
      <c r="A35" s="650" t="inlineStr">
        <is>
          <t xml:space="preserve">Packaging </t>
        </is>
      </c>
      <c r="B35" s="756" t="n">
        <v>883.599405433111</v>
      </c>
      <c r="C35" s="756" t="n">
        <v>883.479813471503</v>
      </c>
      <c r="D35" s="756" t="n">
        <v>878.817844559586</v>
      </c>
      <c r="E35" s="756" t="n">
        <v>874.1558756476689</v>
      </c>
      <c r="F35" s="756" t="n">
        <v>882.128252435233</v>
      </c>
      <c r="G35" s="757" t="inlineStr">
        <is>
          <t xml:space="preserve">per package </t>
        </is>
      </c>
    </row>
    <row r="36" ht="13.8" customHeight="1" s="586">
      <c r="A36" s="651" t="inlineStr">
        <is>
          <t>TOTAL EUC</t>
        </is>
      </c>
      <c r="B36" s="760" t="n"/>
      <c r="C36" s="760" t="n"/>
      <c r="D36" s="760" t="n"/>
      <c r="E36" s="760" t="n"/>
      <c r="F36" s="760" t="n"/>
      <c r="G36" s="761" t="n"/>
    </row>
    <row r="37" ht="13.8" customHeight="1" s="586">
      <c r="A37" s="730" t="inlineStr">
        <is>
          <t>Service Desk</t>
        </is>
      </c>
      <c r="B37" s="762" t="n"/>
      <c r="C37" s="762" t="n"/>
      <c r="D37" s="762" t="n"/>
      <c r="E37" s="762" t="n"/>
      <c r="F37" s="762" t="n"/>
      <c r="G37" s="763" t="n"/>
    </row>
    <row r="38" ht="13.2" customHeight="1" s="586">
      <c r="A38" s="654" t="inlineStr">
        <is>
          <t xml:space="preserve">Seats Supported  </t>
        </is>
      </c>
      <c r="B38" s="702" t="n"/>
      <c r="C38" s="702" t="n"/>
      <c r="D38" s="702" t="n"/>
      <c r="E38" s="702" t="n"/>
      <c r="F38" s="702" t="n"/>
      <c r="G38" s="757" t="n"/>
      <c r="H38" s="764" t="n"/>
    </row>
    <row r="39" ht="13.2" customHeight="1" s="586">
      <c r="A39" s="660" t="inlineStr">
        <is>
          <t>Price per seat</t>
        </is>
      </c>
      <c r="B39" s="756" t="n">
        <v>6.68959246527507</v>
      </c>
      <c r="C39" s="756" t="n">
        <v>18.7990590109134</v>
      </c>
      <c r="D39" s="756" t="n">
        <v>13.0493504120304</v>
      </c>
      <c r="E39" s="756" t="n">
        <v>10.2265345132584</v>
      </c>
      <c r="F39" s="756" t="n">
        <v>8.159599809207259</v>
      </c>
      <c r="G39" s="757" t="inlineStr">
        <is>
          <t>per seat per month</t>
        </is>
      </c>
    </row>
    <row r="40" ht="13.2" customHeight="1" s="586">
      <c r="A40" s="660" t="n"/>
      <c r="B40" s="706" t="n"/>
      <c r="C40" s="706" t="n"/>
      <c r="D40" s="706" t="n"/>
      <c r="E40" s="706" t="n"/>
      <c r="F40" s="706" t="n"/>
      <c r="G40" s="765" t="n"/>
    </row>
    <row r="41" ht="13.2" customHeight="1" s="586">
      <c r="A41" s="661" t="n"/>
      <c r="B41" s="706" t="n"/>
      <c r="C41" s="706" t="n"/>
      <c r="D41" s="706" t="n"/>
      <c r="E41" s="706" t="n"/>
      <c r="F41" s="706" t="n"/>
      <c r="G41" s="765" t="n"/>
    </row>
    <row r="42" ht="13.2" customHeight="1" s="586">
      <c r="A42" s="660" t="n"/>
      <c r="B42" s="766" t="n"/>
      <c r="C42" s="766" t="n"/>
      <c r="D42" s="766" t="n"/>
      <c r="E42" s="766" t="n"/>
      <c r="F42" s="766" t="n"/>
      <c r="G42" s="767" t="n"/>
    </row>
    <row r="43" ht="13.2" customHeight="1" s="586">
      <c r="A43" s="660" t="n"/>
      <c r="B43" s="766" t="n"/>
      <c r="C43" s="766" t="n"/>
      <c r="D43" s="766" t="n"/>
      <c r="E43" s="766" t="n"/>
      <c r="F43" s="766" t="n"/>
      <c r="G43" s="767" t="n"/>
    </row>
    <row r="44" ht="13.2" customHeight="1" s="586">
      <c r="A44" s="660" t="n"/>
      <c r="B44" s="766" t="n"/>
      <c r="C44" s="766" t="n"/>
      <c r="D44" s="766" t="n"/>
      <c r="E44" s="766" t="n"/>
      <c r="F44" s="766" t="n"/>
      <c r="G44" s="767" t="n"/>
    </row>
    <row r="45" ht="13.2" customHeight="1" s="586">
      <c r="A45" s="661" t="n"/>
      <c r="B45" s="706" t="n"/>
      <c r="C45" s="706" t="n"/>
      <c r="D45" s="706" t="n"/>
      <c r="E45" s="706" t="n"/>
      <c r="F45" s="706" t="n"/>
      <c r="G45" s="765" t="n"/>
    </row>
    <row r="46" ht="13.8" customHeight="1" s="586">
      <c r="A46" s="660" t="n"/>
      <c r="B46" s="768" t="n"/>
      <c r="C46" s="768" t="n"/>
      <c r="D46" s="768" t="n"/>
      <c r="E46" s="768" t="n"/>
      <c r="F46" s="768" t="n"/>
      <c r="G46" s="769" t="n"/>
    </row>
    <row r="47" ht="13.8" customHeight="1" s="586">
      <c r="A47" s="651" t="inlineStr">
        <is>
          <t>TOTAL SERVICE DESK (seats supported)</t>
        </is>
      </c>
      <c r="B47" s="760" t="n"/>
      <c r="C47" s="760" t="n"/>
      <c r="D47" s="760" t="n"/>
      <c r="E47" s="760" t="n"/>
      <c r="F47" s="760" t="n"/>
      <c r="G47" s="761" t="n"/>
    </row>
    <row r="48" ht="13.8" customHeight="1" s="586">
      <c r="A48" s="730" t="inlineStr">
        <is>
          <t>LAN Services</t>
        </is>
      </c>
      <c r="B48" s="762" t="n"/>
      <c r="C48" s="762" t="n"/>
      <c r="D48" s="762" t="n"/>
      <c r="E48" s="762" t="n"/>
      <c r="F48" s="762" t="n"/>
      <c r="G48" s="763" t="n"/>
    </row>
    <row r="49" ht="13.8" customHeight="1" s="586">
      <c r="A49" s="799" t="inlineStr">
        <is>
          <t>Support Services</t>
        </is>
      </c>
      <c r="B49" s="599" t="n"/>
      <c r="C49" s="599" t="n"/>
      <c r="D49" s="599" t="n"/>
      <c r="E49" s="599" t="n"/>
      <c r="F49" s="599" t="n"/>
      <c r="G49" s="771" t="n"/>
    </row>
    <row r="50" ht="13.2" customHeight="1" s="586">
      <c r="A50" s="666" t="inlineStr">
        <is>
          <t>Monitoring LAN port IT, SP, ...</t>
        </is>
      </c>
      <c r="B50" s="756" t="n">
        <v>3.16508457764505</v>
      </c>
      <c r="C50" s="756" t="n">
        <v>3.16508457764505</v>
      </c>
      <c r="D50" s="756" t="n">
        <v>2.90011092150171</v>
      </c>
      <c r="E50" s="756" t="n">
        <v>2.90011092150171</v>
      </c>
      <c r="F50" s="756" t="n">
        <v>2.90011092150171</v>
      </c>
      <c r="G50" s="757" t="inlineStr">
        <is>
          <t>per active LAN Port per month</t>
        </is>
      </c>
    </row>
    <row r="51" ht="13.2" customHeight="1" s="586">
      <c r="A51" s="735" t="inlineStr">
        <is>
          <t>Site Type A: # of Active LAN Ports</t>
        </is>
      </c>
      <c r="B51" s="756" t="n">
        <v>8.37170453563054</v>
      </c>
      <c r="C51" s="756" t="n">
        <v>5.72464201931343</v>
      </c>
      <c r="D51" s="756" t="n">
        <v>5.45948449456508</v>
      </c>
      <c r="E51" s="756" t="n">
        <v>5.46000969646008</v>
      </c>
      <c r="F51" s="756" t="n">
        <v>5.45991028333958</v>
      </c>
      <c r="G51" s="757" t="inlineStr">
        <is>
          <t>per active LAN Port per month</t>
        </is>
      </c>
    </row>
    <row r="52" ht="13.2" customHeight="1" s="586">
      <c r="A52" s="735" t="inlineStr">
        <is>
          <t>Site Type B: # of Active LAN Ports</t>
        </is>
      </c>
      <c r="B52" s="756" t="n">
        <v>8.37170453563054</v>
      </c>
      <c r="C52" s="756" t="n">
        <v>5.72464201931343</v>
      </c>
      <c r="D52" s="756" t="n">
        <v>5.45948449456508</v>
      </c>
      <c r="E52" s="756" t="n">
        <v>5.46000969646008</v>
      </c>
      <c r="F52" s="756" t="n">
        <v>5.45991028333958</v>
      </c>
      <c r="G52" s="757" t="inlineStr">
        <is>
          <t>per active LAN Port per month</t>
        </is>
      </c>
    </row>
    <row r="53" ht="13.8" customHeight="1" s="586">
      <c r="A53" s="735" t="inlineStr">
        <is>
          <t>Site Type C: # of Active LAN Ports</t>
        </is>
      </c>
      <c r="B53" s="756" t="n">
        <v>8.37170453563054</v>
      </c>
      <c r="C53" s="756" t="n">
        <v>5.72464201931343</v>
      </c>
      <c r="D53" s="756" t="n">
        <v>5.45948449456508</v>
      </c>
      <c r="E53" s="756" t="n">
        <v>5.46000969646008</v>
      </c>
      <c r="F53" s="756" t="n">
        <v>5.45991028333958</v>
      </c>
      <c r="G53" s="757" t="inlineStr">
        <is>
          <t>per active LAN Port per month</t>
        </is>
      </c>
    </row>
    <row r="54" ht="13.8" customHeight="1" s="586">
      <c r="A54" s="651" t="inlineStr">
        <is>
          <t>TOTAL LAN SERVICES</t>
        </is>
      </c>
      <c r="B54" s="772" t="n"/>
      <c r="C54" s="772" t="n"/>
      <c r="D54" s="772" t="n"/>
      <c r="E54" s="772" t="n"/>
      <c r="F54" s="772" t="n"/>
      <c r="G54" s="773" t="n"/>
      <c r="H54" s="590" t="n"/>
    </row>
    <row r="55" ht="13.8" customHeight="1" s="586">
      <c r="A55" s="730" t="inlineStr">
        <is>
          <t>Voice Services</t>
        </is>
      </c>
      <c r="B55" s="762" t="n"/>
      <c r="C55" s="762" t="n"/>
      <c r="D55" s="762" t="n"/>
      <c r="E55" s="762" t="n"/>
      <c r="F55" s="762" t="n"/>
      <c r="G55" s="763" t="n"/>
    </row>
    <row r="56" ht="13.2" customHeight="1" s="586">
      <c r="A56" s="774" t="inlineStr">
        <is>
          <t>Locations (Systems &amp; Services)</t>
        </is>
      </c>
      <c r="B56" s="775" t="n"/>
      <c r="C56" s="775" t="n"/>
      <c r="D56" s="775" t="n"/>
      <c r="E56" s="775" t="n"/>
      <c r="F56" s="775" t="n"/>
      <c r="G56" s="776" t="n"/>
    </row>
    <row r="57" ht="13.2" customHeight="1" s="586">
      <c r="A57" s="666" t="inlineStr">
        <is>
          <t>Call Centres per seat</t>
        </is>
      </c>
      <c r="B57" s="756" t="n">
        <v>45.3346055986765</v>
      </c>
      <c r="C57" s="756" t="n">
        <v>43.3769033048873</v>
      </c>
      <c r="D57" s="756" t="n">
        <v>41.2725666024529</v>
      </c>
      <c r="E57" s="756" t="n">
        <v>38.9695796894217</v>
      </c>
      <c r="F57" s="756" t="n">
        <v>36.65089608184</v>
      </c>
      <c r="G57" s="757" t="inlineStr">
        <is>
          <t>per seat per month</t>
        </is>
      </c>
    </row>
    <row r="58" ht="13.2" customHeight="1" s="586">
      <c r="A58" s="666" t="inlineStr">
        <is>
          <t>Employee ISDN</t>
        </is>
      </c>
      <c r="B58" s="756" t="n">
        <v>31.6</v>
      </c>
      <c r="C58" s="756" t="n">
        <v>31.5</v>
      </c>
      <c r="D58" s="756" t="n">
        <v>31.4</v>
      </c>
      <c r="E58" s="756" t="n">
        <v>31.4</v>
      </c>
      <c r="F58" s="756" t="n">
        <v>31.4</v>
      </c>
      <c r="G58" s="757" t="inlineStr">
        <is>
          <t>per subscription per month</t>
        </is>
      </c>
    </row>
    <row r="59" ht="13.2" customHeight="1" s="586">
      <c r="A59" s="666" t="inlineStr">
        <is>
          <t>Dealing room</t>
        </is>
      </c>
      <c r="B59" s="756" t="n">
        <v>152.783426852171</v>
      </c>
      <c r="C59" s="756" t="n">
        <v>145.646762979233</v>
      </c>
      <c r="D59" s="756" t="n">
        <v>145.334062294139</v>
      </c>
      <c r="E59" s="756" t="n">
        <v>146.480939843552</v>
      </c>
      <c r="F59" s="756" t="n">
        <v>146.480939843552</v>
      </c>
      <c r="G59" s="757" t="inlineStr">
        <is>
          <t>per seat per month</t>
        </is>
      </c>
    </row>
    <row r="60" ht="13.2" customHeight="1" s="586">
      <c r="A60" s="666" t="inlineStr">
        <is>
          <t>Video conferencing</t>
        </is>
      </c>
      <c r="B60" s="756" t="n">
        <v>255.140096618357</v>
      </c>
      <c r="C60" s="756" t="n">
        <v>181.183574879227</v>
      </c>
      <c r="D60" s="756" t="n">
        <v>179.719806763285</v>
      </c>
      <c r="E60" s="756" t="n">
        <v>178.299516908213</v>
      </c>
      <c r="F60" s="756" t="n">
        <v>176.908212560386</v>
      </c>
      <c r="G60" s="757" t="inlineStr">
        <is>
          <t>per room per month</t>
        </is>
      </c>
    </row>
    <row r="61" ht="63.75" customHeight="1" s="586">
      <c r="A61" s="735" t="inlineStr">
        <is>
          <t xml:space="preserve">  Assets Call Center</t>
        </is>
      </c>
      <c r="B61" s="756" t="n">
        <v>12.815</v>
      </c>
      <c r="C61" s="756" t="n">
        <v>8.02</v>
      </c>
      <c r="D61" s="756" t="n">
        <v>8.555</v>
      </c>
      <c r="E61" s="756" t="n">
        <v>9.380000000000001</v>
      </c>
      <c r="F61" s="756" t="n">
        <v>9.380000000000001</v>
      </c>
      <c r="G61" s="757" t="inlineStr">
        <is>
          <t>per call center seat per month</t>
        </is>
      </c>
      <c r="H61" s="649" t="inlineStr">
        <is>
          <t>Charges for PBX's: Small, Medium, and Large per Attachment 4-D are included in the Handsets</t>
        </is>
      </c>
    </row>
    <row r="62" ht="66" customHeight="1" s="586">
      <c r="A62" s="735" t="inlineStr">
        <is>
          <t xml:space="preserve">  Assets Digital Voice Fixed</t>
        </is>
      </c>
      <c r="B62" s="756" t="n">
        <v>3.20375</v>
      </c>
      <c r="C62" s="756" t="n">
        <v>2.005</v>
      </c>
      <c r="D62" s="756" t="n">
        <v>2.13875</v>
      </c>
      <c r="E62" s="756" t="n">
        <v>2.345</v>
      </c>
      <c r="F62" s="756" t="n">
        <v>2.345</v>
      </c>
      <c r="G62" s="757" t="inlineStr">
        <is>
          <t>per handset per month</t>
        </is>
      </c>
      <c r="H62" s="649" t="inlineStr">
        <is>
          <t>Charges for PBX's: Small, Medium, and Large per Attachment 4-D are included in the Handsets</t>
        </is>
      </c>
    </row>
    <row r="63" ht="69.75" customHeight="1" s="586">
      <c r="A63" s="735" t="inlineStr">
        <is>
          <t xml:space="preserve">  Assets Analogue Voice Fixed</t>
        </is>
      </c>
      <c r="B63" s="756" t="n">
        <v>2.563</v>
      </c>
      <c r="C63" s="756" t="n">
        <v>1.604</v>
      </c>
      <c r="D63" s="756" t="n">
        <v>1.711</v>
      </c>
      <c r="E63" s="756" t="n">
        <v>1.876</v>
      </c>
      <c r="F63" s="756" t="n">
        <v>1.876</v>
      </c>
      <c r="G63" s="757" t="inlineStr">
        <is>
          <t>per handset per month</t>
        </is>
      </c>
      <c r="H63" s="649" t="inlineStr">
        <is>
          <t>Charges for PBX's: Small, Medium, and Large per Attachment 4-D are included in the Handsets</t>
        </is>
      </c>
    </row>
    <row r="64" ht="13.2" customHeight="1" s="586">
      <c r="A64" s="660" t="inlineStr">
        <is>
          <t xml:space="preserve">  Handsets - Digital (incl. DECT)</t>
        </is>
      </c>
      <c r="B64" s="756" t="n">
        <v>3.72903315726117</v>
      </c>
      <c r="C64" s="756" t="n">
        <v>3.69758502653531</v>
      </c>
      <c r="D64" s="756" t="n">
        <v>3.54702501133765</v>
      </c>
      <c r="E64" s="756" t="n">
        <v>3.3178781396713</v>
      </c>
      <c r="F64" s="756" t="n">
        <v>3.0878781396713</v>
      </c>
      <c r="G64" s="757" t="inlineStr">
        <is>
          <t>per handset per month</t>
        </is>
      </c>
    </row>
    <row r="65" ht="13.2" customHeight="1" s="586">
      <c r="A65" s="660" t="inlineStr">
        <is>
          <t xml:space="preserve">  Handsets - Analog</t>
        </is>
      </c>
      <c r="B65" s="756" t="n">
        <v>3.18903315726117</v>
      </c>
      <c r="C65" s="756" t="n">
        <v>3.17758502653531</v>
      </c>
      <c r="D65" s="756" t="n">
        <v>3.02702501133766</v>
      </c>
      <c r="E65" s="756" t="n">
        <v>2.7978781396713</v>
      </c>
      <c r="F65" s="756" t="n">
        <v>2.6078781396713</v>
      </c>
      <c r="G65" s="757" t="inlineStr">
        <is>
          <t>per handset per month</t>
        </is>
      </c>
    </row>
    <row r="66" ht="13.2" customHeight="1" s="586">
      <c r="A66" s="660" t="inlineStr">
        <is>
          <t>Cellular Phones management fee</t>
        </is>
      </c>
      <c r="B66" s="756" t="n">
        <v>4.74826312074165</v>
      </c>
      <c r="C66" s="756" t="n">
        <v>4.57881070166788</v>
      </c>
      <c r="D66" s="756" t="n">
        <v>4.271019626699</v>
      </c>
      <c r="E66" s="756" t="n">
        <v>3.99322855173012</v>
      </c>
      <c r="F66" s="756" t="n">
        <v>3.73322855173012</v>
      </c>
      <c r="G66" s="777" t="inlineStr">
        <is>
          <t>per handset per month</t>
        </is>
      </c>
    </row>
    <row r="67" ht="13.2" customHeight="1" s="586">
      <c r="A67" s="660" t="inlineStr">
        <is>
          <t xml:space="preserve">  Cellular Phones subscription</t>
        </is>
      </c>
      <c r="B67" s="756" t="n">
        <v>4.2</v>
      </c>
      <c r="C67" s="756" t="n">
        <v>3.85</v>
      </c>
      <c r="D67" s="756" t="n">
        <v>3.5</v>
      </c>
      <c r="E67" s="756" t="n">
        <v>3.15</v>
      </c>
      <c r="F67" s="756" t="n">
        <v>2.8</v>
      </c>
      <c r="G67" s="777" t="inlineStr">
        <is>
          <t>per subscription per month</t>
        </is>
      </c>
    </row>
    <row r="68" ht="26.4" customHeight="1" s="586">
      <c r="A68" s="660" t="inlineStr">
        <is>
          <t xml:space="preserve">  Cellular Phones refresh (budget)</t>
        </is>
      </c>
      <c r="B68" s="756" t="n">
        <v>2.76155833333333</v>
      </c>
      <c r="C68" s="756" t="n">
        <v>2.76155833333333</v>
      </c>
      <c r="D68" s="756" t="n">
        <v>2.76155833333333</v>
      </c>
      <c r="E68" s="756" t="n">
        <v>2.76155833333333</v>
      </c>
      <c r="F68" s="756" t="n">
        <v>2.76155833333333</v>
      </c>
      <c r="G68" s="777" t="inlineStr">
        <is>
          <t>per subscription per month (excluding accessoires and car kits)</t>
        </is>
      </c>
    </row>
    <row r="69" ht="13.2" customHeight="1" s="586">
      <c r="A69" s="660" t="inlineStr">
        <is>
          <t>GPRS/UMTS Cards or Devices management fee</t>
        </is>
      </c>
      <c r="B69" s="756" t="n">
        <v>5.28232859975102</v>
      </c>
      <c r="C69" s="756" t="n">
        <v>4.92953752478214</v>
      </c>
      <c r="D69" s="756" t="n">
        <v>4.58919644981326</v>
      </c>
      <c r="E69" s="756" t="n">
        <v>4.28113387484439</v>
      </c>
      <c r="F69" s="756" t="n">
        <v>3.99298137984439</v>
      </c>
      <c r="G69" s="777" t="inlineStr">
        <is>
          <t>per device per month</t>
        </is>
      </c>
    </row>
    <row r="70" ht="13.2" customHeight="1" s="586">
      <c r="A70" s="660" t="inlineStr">
        <is>
          <t xml:space="preserve">  GPRS/UMTS Cards or Devices subscription</t>
        </is>
      </c>
      <c r="B70" s="756" t="n">
        <v>55</v>
      </c>
      <c r="C70" s="756" t="n">
        <v>55</v>
      </c>
      <c r="D70" s="756" t="n">
        <v>52.25</v>
      </c>
      <c r="E70" s="756" t="n">
        <v>49.6375</v>
      </c>
      <c r="F70" s="756" t="n">
        <v>47.155625</v>
      </c>
      <c r="G70" s="777" t="inlineStr">
        <is>
          <t>per subscription per month</t>
        </is>
      </c>
    </row>
    <row r="71" ht="13.2" customHeight="1" s="586">
      <c r="A71" s="660" t="inlineStr">
        <is>
          <t xml:space="preserve">  GPRS/UMTS Cards or Devices refresh (budget)</t>
        </is>
      </c>
      <c r="B71" s="756" t="n">
        <v>6.88</v>
      </c>
      <c r="C71" s="756" t="n">
        <v>6.88</v>
      </c>
      <c r="D71" s="756" t="n">
        <v>6.88</v>
      </c>
      <c r="E71" s="756" t="n">
        <v>6.88</v>
      </c>
      <c r="F71" s="756" t="n">
        <v>6.88</v>
      </c>
      <c r="G71" s="777" t="inlineStr">
        <is>
          <t>per subscription per month</t>
        </is>
      </c>
    </row>
    <row r="72" ht="13.2" customHeight="1" s="586">
      <c r="A72" s="660" t="inlineStr">
        <is>
          <t>Blackberries management fee</t>
        </is>
      </c>
      <c r="B72" s="756" t="n">
        <v>5.73232859975102</v>
      </c>
      <c r="C72" s="756" t="n">
        <v>5.34803752478214</v>
      </c>
      <c r="D72" s="756" t="n">
        <v>4.97840144981326</v>
      </c>
      <c r="E72" s="756" t="n">
        <v>4.64309452484439</v>
      </c>
      <c r="F72" s="756" t="n">
        <v>4.32960478434439</v>
      </c>
      <c r="G72" s="777" t="inlineStr">
        <is>
          <t>per device per month</t>
        </is>
      </c>
    </row>
    <row r="73" ht="13.2" customHeight="1" s="586">
      <c r="A73" s="660" t="inlineStr">
        <is>
          <t xml:space="preserve">  Blackberries subscription (data)</t>
        </is>
      </c>
      <c r="B73" s="756" t="n">
        <v>42</v>
      </c>
      <c r="C73" s="756" t="n">
        <v>42</v>
      </c>
      <c r="D73" s="756" t="n">
        <v>39.9</v>
      </c>
      <c r="E73" s="756" t="n">
        <v>37.905</v>
      </c>
      <c r="F73" s="756" t="n">
        <v>36.00975</v>
      </c>
      <c r="G73" s="777" t="inlineStr">
        <is>
          <t>per subscription per month</t>
        </is>
      </c>
    </row>
    <row r="74" ht="26.4" customHeight="1" s="586">
      <c r="A74" s="660" t="inlineStr">
        <is>
          <t xml:space="preserve">  Blackberry refresh (budget)</t>
        </is>
      </c>
      <c r="B74" s="756" t="n">
        <v>9.6812037037037</v>
      </c>
      <c r="C74" s="756" t="n">
        <v>9.6812037037037</v>
      </c>
      <c r="D74" s="756" t="n">
        <v>9.6812037037037</v>
      </c>
      <c r="E74" s="756" t="n">
        <v>9.6812037037037</v>
      </c>
      <c r="F74" s="756" t="n">
        <v>9.6812037037037</v>
      </c>
      <c r="G74" s="777" t="inlineStr">
        <is>
          <t>per subscription per month (excluding new CAL license)</t>
        </is>
      </c>
    </row>
    <row r="75" ht="13.2" customHeight="1" s="586">
      <c r="A75" s="660" t="inlineStr">
        <is>
          <t>Internal Pagers management fee</t>
        </is>
      </c>
      <c r="B75" s="756" t="n">
        <v>3.5</v>
      </c>
      <c r="C75" s="756" t="n">
        <v>3.23</v>
      </c>
      <c r="D75" s="756" t="n">
        <v>2.97</v>
      </c>
      <c r="E75" s="756" t="n">
        <v>2.73</v>
      </c>
      <c r="F75" s="756" t="n">
        <v>2.54</v>
      </c>
      <c r="G75" s="777" t="inlineStr">
        <is>
          <t>per device per month</t>
        </is>
      </c>
    </row>
    <row r="76" ht="13.2" customHeight="1" s="586">
      <c r="A76" s="660" t="inlineStr">
        <is>
          <t xml:space="preserve">  Internal Pagers refresh (budget)</t>
        </is>
      </c>
      <c r="B76" s="756" t="n"/>
      <c r="C76" s="756" t="n"/>
      <c r="D76" s="756" t="n"/>
      <c r="E76" s="756" t="n"/>
      <c r="F76" s="756" t="n"/>
      <c r="G76" s="777" t="n"/>
    </row>
    <row r="77" ht="13.2" customHeight="1" s="586">
      <c r="A77" s="640" t="inlineStr">
        <is>
          <t>External Pagers management fee</t>
        </is>
      </c>
      <c r="B77" s="756" t="n">
        <v>2.55</v>
      </c>
      <c r="C77" s="756" t="n">
        <v>2.28</v>
      </c>
      <c r="D77" s="756" t="n">
        <v>2.02</v>
      </c>
      <c r="E77" s="756" t="n">
        <v>1.78</v>
      </c>
      <c r="F77" s="756" t="n">
        <v>1.59</v>
      </c>
      <c r="G77" s="777" t="inlineStr">
        <is>
          <t>per device per month</t>
        </is>
      </c>
    </row>
    <row r="78" ht="13.2" customHeight="1" s="586">
      <c r="A78" s="640" t="inlineStr">
        <is>
          <t xml:space="preserve">  External Pagers refresh (budget)</t>
        </is>
      </c>
      <c r="B78" s="756" t="n"/>
      <c r="C78" s="756" t="n"/>
      <c r="D78" s="756" t="n"/>
      <c r="E78" s="756" t="n"/>
      <c r="F78" s="756" t="n"/>
      <c r="G78" s="757" t="n"/>
    </row>
    <row r="79" ht="13.2" customHeight="1" s="586">
      <c r="A79" s="671" t="n"/>
      <c r="B79" s="695" t="n"/>
      <c r="C79" s="695" t="n"/>
      <c r="D79" s="695" t="n"/>
      <c r="E79" s="695" t="n"/>
      <c r="F79" s="695" t="n"/>
      <c r="G79" s="791" t="n"/>
    </row>
    <row r="80" ht="13.2" customHeight="1" s="586">
      <c r="A80" s="673" t="inlineStr">
        <is>
          <t>VOICE</t>
        </is>
      </c>
      <c r="B80" s="679" t="n"/>
      <c r="C80" s="679" t="n"/>
      <c r="D80" s="679" t="n"/>
      <c r="E80" s="679" t="n"/>
      <c r="F80" s="679" t="n"/>
      <c r="G80" s="782" t="n"/>
      <c r="H80" s="590" t="n"/>
    </row>
    <row r="81" ht="13.2" customHeight="1" s="586">
      <c r="A81" s="660" t="inlineStr">
        <is>
          <t>Domestic Outbound Calls - Local</t>
        </is>
      </c>
      <c r="B81" s="783" t="n">
        <v>0.0169947825621753</v>
      </c>
      <c r="C81" s="783" t="n">
        <v>0.0162477591528489</v>
      </c>
      <c r="D81" s="783" t="n">
        <v>0.0159676253743515</v>
      </c>
      <c r="E81" s="783" t="n">
        <v>0.0155941136696883</v>
      </c>
      <c r="F81" s="783" t="n">
        <v>0.0152206019650251</v>
      </c>
      <c r="G81" s="784" t="inlineStr">
        <is>
          <t>per minute</t>
        </is>
      </c>
      <c r="H81" s="590" t="n"/>
    </row>
    <row r="82" ht="13.2" customHeight="1" s="586">
      <c r="A82" s="660" t="inlineStr">
        <is>
          <t>Domestic Outbound Calls - Long Distance</t>
        </is>
      </c>
      <c r="B82" s="783" t="n"/>
      <c r="C82" s="783" t="n"/>
      <c r="D82" s="783" t="n"/>
      <c r="E82" s="783" t="n"/>
      <c r="F82" s="783" t="n"/>
      <c r="G82" s="784" t="n"/>
      <c r="H82" s="590" t="n"/>
    </row>
    <row r="83" ht="13.2" customHeight="1" s="586">
      <c r="A83" s="660" t="inlineStr">
        <is>
          <t>Domestic Outbound Calls - Cellular</t>
        </is>
      </c>
      <c r="B83" s="783" t="n">
        <v>0.141292982585214</v>
      </c>
      <c r="C83" s="783" t="n">
        <v>0.116970537488416</v>
      </c>
      <c r="D83" s="783" t="n">
        <v>0.106981624921945</v>
      </c>
      <c r="E83" s="783" t="n">
        <v>0.106981624921945</v>
      </c>
      <c r="F83" s="783" t="n">
        <v>0.106981624921945</v>
      </c>
      <c r="G83" s="784" t="inlineStr">
        <is>
          <t>per minute</t>
        </is>
      </c>
      <c r="H83" s="590" t="n"/>
    </row>
    <row r="84" ht="13.2" customHeight="1" s="586">
      <c r="A84" s="660" t="inlineStr">
        <is>
          <t>International Outbound Calls</t>
        </is>
      </c>
      <c r="B84" s="783" t="n">
        <v>0.0607814470151469</v>
      </c>
      <c r="C84" s="783" t="n">
        <v>0.0532781016440875</v>
      </c>
      <c r="D84" s="783" t="n">
        <v>0.0532781016440875</v>
      </c>
      <c r="E84" s="783" t="n">
        <v>0.0532781016440875</v>
      </c>
      <c r="F84" s="783" t="n">
        <v>0.0532781016440875</v>
      </c>
      <c r="G84" s="784" t="inlineStr">
        <is>
          <t>per minute</t>
        </is>
      </c>
      <c r="H84" s="590" t="n"/>
    </row>
    <row r="85" ht="13.2" customHeight="1" s="586">
      <c r="A85" s="660" t="inlineStr">
        <is>
          <t>Free phone Service Calls</t>
        </is>
      </c>
      <c r="B85" s="783" t="n"/>
      <c r="C85" s="783" t="n"/>
      <c r="D85" s="783" t="n"/>
      <c r="E85" s="783" t="n"/>
      <c r="F85" s="783" t="n"/>
      <c r="G85" s="784" t="n"/>
      <c r="H85" s="590" t="n"/>
    </row>
    <row r="86" ht="13.2" customHeight="1" s="586">
      <c r="A86" s="660" t="inlineStr">
        <is>
          <t>Mobile - national</t>
        </is>
      </c>
      <c r="B86" s="783" t="n">
        <v>0.039096</v>
      </c>
      <c r="C86" s="783" t="n">
        <v>0.0371412</v>
      </c>
      <c r="D86" s="783" t="n">
        <v>0.03528414</v>
      </c>
      <c r="E86" s="783" t="n">
        <v>0.033519933</v>
      </c>
      <c r="F86" s="783" t="n">
        <v>0.03184393635</v>
      </c>
      <c r="G86" s="784" t="inlineStr">
        <is>
          <t>per minute</t>
        </is>
      </c>
      <c r="H86" s="590" t="n"/>
    </row>
    <row r="87" ht="13.2" customHeight="1" s="586">
      <c r="A87" s="660" t="inlineStr">
        <is>
          <t>Mobile - international</t>
        </is>
      </c>
      <c r="B87" s="783" t="n">
        <v>0.197040747497219</v>
      </c>
      <c r="C87" s="783" t="n">
        <v>0.187188710122358</v>
      </c>
      <c r="D87" s="783" t="n">
        <v>0.17782927461624</v>
      </c>
      <c r="E87" s="783" t="n">
        <v>0.168937810885428</v>
      </c>
      <c r="F87" s="783" t="n">
        <v>0.160490920341157</v>
      </c>
      <c r="G87" s="784" t="inlineStr">
        <is>
          <t>per minute</t>
        </is>
      </c>
      <c r="H87" s="590" t="n"/>
    </row>
    <row r="88" ht="13.2" customHeight="1" s="586">
      <c r="A88" s="660" t="inlineStr">
        <is>
          <t>Mobile - roaming outbound</t>
        </is>
      </c>
      <c r="B88" s="783" t="n">
        <v>0.464186453703006</v>
      </c>
      <c r="C88" s="783" t="n">
        <v>0.440977131017856</v>
      </c>
      <c r="D88" s="783" t="n">
        <v>0.418928274466963</v>
      </c>
      <c r="E88" s="783" t="n">
        <v>0.397981860743615</v>
      </c>
      <c r="F88" s="783" t="n">
        <v>0.378082767706434</v>
      </c>
      <c r="G88" s="784" t="inlineStr">
        <is>
          <t>per minute</t>
        </is>
      </c>
      <c r="H88" s="590" t="n"/>
    </row>
    <row r="89" ht="13.2" customHeight="1" s="586">
      <c r="A89" s="660" t="inlineStr">
        <is>
          <t>Mobile - roaming inbound</t>
        </is>
      </c>
      <c r="B89" s="783" t="n">
        <v>0.190517424992718</v>
      </c>
      <c r="C89" s="783" t="n">
        <v>0.180991553743082</v>
      </c>
      <c r="D89" s="783" t="n">
        <v>0.171941976055928</v>
      </c>
      <c r="E89" s="783" t="n">
        <v>0.163344877253131</v>
      </c>
      <c r="F89" s="783" t="n">
        <v>0.155177633390475</v>
      </c>
      <c r="G89" s="784" t="inlineStr">
        <is>
          <t>per minute</t>
        </is>
      </c>
      <c r="H89" s="590" t="n"/>
    </row>
    <row r="90" ht="13.2" customHeight="1" s="586">
      <c r="A90" s="660" t="inlineStr">
        <is>
          <t>Free phone Services Dedicated per min.</t>
        </is>
      </c>
      <c r="B90" s="783" t="n"/>
      <c r="C90" s="783" t="n"/>
      <c r="D90" s="783" t="n"/>
      <c r="E90" s="783" t="n"/>
      <c r="F90" s="783" t="n"/>
      <c r="G90" s="784" t="n"/>
      <c r="H90" s="590" t="n"/>
    </row>
    <row r="91" ht="13.2" customHeight="1" s="586">
      <c r="A91" s="674" t="inlineStr">
        <is>
          <t>High Tariff Outbound Calls (0900)</t>
        </is>
      </c>
      <c r="B91" s="783" t="n">
        <v>0.0784121730927376</v>
      </c>
      <c r="C91" s="783" t="n">
        <v>0.0392060865463688</v>
      </c>
      <c r="D91" s="783" t="n">
        <v>0.0392060865463688</v>
      </c>
      <c r="E91" s="783" t="n">
        <v>0.0392060865463688</v>
      </c>
      <c r="F91" s="783" t="n">
        <v>0.0392060865463688</v>
      </c>
      <c r="G91" s="784" t="inlineStr">
        <is>
          <t>per minute</t>
        </is>
      </c>
      <c r="H91" s="590" t="n"/>
    </row>
    <row r="92" ht="13.2" customHeight="1" s="586">
      <c r="A92" s="674" t="inlineStr">
        <is>
          <t>High Tariff Outbound Calls (0676 internet)</t>
        </is>
      </c>
      <c r="B92" s="783" t="n">
        <v>0.021010039026151</v>
      </c>
      <c r="C92" s="783" t="n">
        <v>0.021010039026151</v>
      </c>
      <c r="D92" s="783" t="n">
        <v>0.021010039026151</v>
      </c>
      <c r="E92" s="783" t="n">
        <v>0.021010039026151</v>
      </c>
      <c r="F92" s="783" t="n">
        <v>0.021010039026151</v>
      </c>
      <c r="G92" s="784" t="inlineStr">
        <is>
          <t>per minute</t>
        </is>
      </c>
      <c r="H92" s="590" t="n"/>
    </row>
    <row r="93" ht="13.2" customHeight="1" s="586">
      <c r="A93" s="674" t="inlineStr">
        <is>
          <t>High Tariff Outbound Calls  Other</t>
        </is>
      </c>
      <c r="B93" s="783" t="n"/>
      <c r="C93" s="783" t="n"/>
      <c r="D93" s="783" t="n"/>
      <c r="E93" s="783" t="n"/>
      <c r="F93" s="783" t="n"/>
      <c r="G93" s="784" t="n"/>
      <c r="H93" s="590" t="n"/>
    </row>
    <row r="94" ht="13.2" customHeight="1" s="586">
      <c r="A94" s="660" t="inlineStr">
        <is>
          <t>Voice - Directory Assistance Calls per call</t>
        </is>
      </c>
      <c r="B94" s="783" t="n">
        <v>1.83</v>
      </c>
      <c r="C94" s="783" t="n">
        <v>1.83</v>
      </c>
      <c r="D94" s="783" t="n">
        <v>1.83</v>
      </c>
      <c r="E94" s="783" t="n">
        <v>1.83</v>
      </c>
      <c r="F94" s="783" t="n">
        <v>1.83</v>
      </c>
      <c r="G94" s="784" t="n"/>
      <c r="H94" s="590" t="n"/>
    </row>
    <row r="95" ht="13.2" customHeight="1" s="586">
      <c r="A95" s="660" t="inlineStr">
        <is>
          <t>Voice - IMACS</t>
        </is>
      </c>
      <c r="B95" s="704" t="n">
        <v>47.7511468085106</v>
      </c>
      <c r="C95" s="704" t="n">
        <v>47.7511468085106</v>
      </c>
      <c r="D95" s="704" t="n">
        <v>47.7511468085106</v>
      </c>
      <c r="E95" s="704" t="n">
        <v>47.7511468085106</v>
      </c>
      <c r="F95" s="704" t="n">
        <v>47.7511468085106</v>
      </c>
      <c r="G95" s="757" t="inlineStr">
        <is>
          <t>per IMAC</t>
        </is>
      </c>
      <c r="H95" s="590" t="n"/>
    </row>
    <row r="96" ht="13.2" customHeight="1" s="586">
      <c r="A96" s="675" t="n"/>
      <c r="B96" s="800" t="n"/>
      <c r="C96" s="800" t="n"/>
      <c r="D96" s="800" t="n"/>
      <c r="E96" s="800" t="n"/>
      <c r="F96" s="800" t="n"/>
      <c r="G96" s="787" t="n"/>
      <c r="H96" s="590" t="n"/>
    </row>
    <row r="97" ht="13.2" customHeight="1" s="586">
      <c r="A97" s="678" t="inlineStr">
        <is>
          <t>Subscriptions</t>
        </is>
      </c>
      <c r="B97" s="801" t="n"/>
      <c r="C97" s="801" t="n"/>
      <c r="D97" s="801" t="n"/>
      <c r="E97" s="801" t="n"/>
      <c r="F97" s="801" t="n"/>
      <c r="G97" s="789" t="n"/>
      <c r="H97" s="590" t="n"/>
    </row>
    <row r="98" ht="13.2" customHeight="1" s="586">
      <c r="A98" s="739" t="inlineStr">
        <is>
          <t>ISDN 1</t>
        </is>
      </c>
      <c r="B98" s="802" t="n"/>
      <c r="C98" s="803" t="n"/>
      <c r="D98" s="803" t="n"/>
      <c r="E98" s="803" t="n"/>
      <c r="F98" s="803" t="n"/>
      <c r="G98" s="757" t="n"/>
      <c r="H98" s="590" t="n"/>
    </row>
    <row r="99" ht="13.2" customHeight="1" s="586">
      <c r="A99" s="739" t="inlineStr">
        <is>
          <t>ISDN 2</t>
        </is>
      </c>
      <c r="B99" s="756" t="n">
        <v>29</v>
      </c>
      <c r="C99" s="756" t="n">
        <v>29</v>
      </c>
      <c r="D99" s="756" t="n">
        <v>29</v>
      </c>
      <c r="E99" s="756" t="n">
        <v>29</v>
      </c>
      <c r="F99" s="756" t="n">
        <v>29</v>
      </c>
      <c r="G99" s="757" t="inlineStr">
        <is>
          <t>per subscription per month</t>
        </is>
      </c>
      <c r="H99" s="590" t="n"/>
    </row>
    <row r="100" ht="13.2" customHeight="1" s="586">
      <c r="A100" s="739" t="inlineStr">
        <is>
          <t>ISDN 15</t>
        </is>
      </c>
      <c r="B100" s="756" t="n"/>
      <c r="C100" s="756" t="n"/>
      <c r="D100" s="756" t="n"/>
      <c r="E100" s="756" t="n"/>
      <c r="F100" s="756" t="n"/>
      <c r="G100" s="757" t="n"/>
      <c r="H100" s="590" t="n"/>
    </row>
    <row r="101" ht="13.2" customHeight="1" s="586">
      <c r="A101" s="739" t="inlineStr">
        <is>
          <t xml:space="preserve">ISDN 30  </t>
        </is>
      </c>
      <c r="B101" s="756" t="n">
        <v>313</v>
      </c>
      <c r="C101" s="756" t="n">
        <v>313</v>
      </c>
      <c r="D101" s="756" t="n">
        <v>313</v>
      </c>
      <c r="E101" s="756" t="n">
        <v>313</v>
      </c>
      <c r="F101" s="756" t="n">
        <v>313</v>
      </c>
      <c r="G101" s="757" t="inlineStr">
        <is>
          <t>per subscription per month</t>
        </is>
      </c>
      <c r="H101" s="590" t="n"/>
    </row>
    <row r="102" ht="13.2" customHeight="1" s="586">
      <c r="A102" s="739" t="inlineStr">
        <is>
          <t>ISDN 30 (CPA)</t>
        </is>
      </c>
      <c r="B102" s="756" t="n"/>
      <c r="C102" s="756" t="n"/>
      <c r="D102" s="756" t="n"/>
      <c r="E102" s="756" t="n"/>
      <c r="F102" s="756" t="n"/>
      <c r="G102" s="757" t="n"/>
      <c r="H102" s="590" t="n"/>
    </row>
    <row r="103" ht="13.2" customHeight="1" s="586">
      <c r="A103" s="739" t="inlineStr">
        <is>
          <t>Dual homing telephony</t>
        </is>
      </c>
      <c r="B103" s="756" t="n"/>
      <c r="C103" s="756" t="n"/>
      <c r="D103" s="756" t="n"/>
      <c r="E103" s="756" t="n"/>
      <c r="F103" s="756" t="n"/>
      <c r="G103" s="757" t="n"/>
      <c r="H103" s="590" t="n"/>
    </row>
    <row r="104" ht="13.2" customHeight="1" s="586">
      <c r="A104" s="739" t="inlineStr">
        <is>
          <t>DDI reserved numbers (10)</t>
        </is>
      </c>
      <c r="B104" s="756" t="n">
        <v>7.44</v>
      </c>
      <c r="C104" s="756" t="n">
        <v>7.44</v>
      </c>
      <c r="D104" s="756" t="n">
        <v>7.44</v>
      </c>
      <c r="E104" s="756" t="n">
        <v>7.44</v>
      </c>
      <c r="F104" s="756" t="n">
        <v>7.44</v>
      </c>
      <c r="G104" s="757" t="inlineStr">
        <is>
          <t>per subscription per month</t>
        </is>
      </c>
      <c r="H104" s="590" t="n"/>
    </row>
    <row r="105" ht="13.2" customHeight="1" s="586">
      <c r="A105" s="739" t="inlineStr">
        <is>
          <t>DDI reserved numbers (100)</t>
        </is>
      </c>
      <c r="B105" s="756" t="n">
        <v>32</v>
      </c>
      <c r="C105" s="756" t="n">
        <v>32</v>
      </c>
      <c r="D105" s="756" t="n">
        <v>32</v>
      </c>
      <c r="E105" s="756" t="n">
        <v>32</v>
      </c>
      <c r="F105" s="756" t="n">
        <v>32</v>
      </c>
      <c r="G105" s="757" t="inlineStr">
        <is>
          <t>per subscription per month</t>
        </is>
      </c>
      <c r="H105" s="590" t="n"/>
    </row>
    <row r="106" ht="13.2" customHeight="1" s="586">
      <c r="A106" s="739" t="inlineStr">
        <is>
          <t>DDI reserved numbers (1000)</t>
        </is>
      </c>
      <c r="B106" s="756" t="n">
        <v>128</v>
      </c>
      <c r="C106" s="756" t="n">
        <v>128</v>
      </c>
      <c r="D106" s="756" t="n">
        <v>128</v>
      </c>
      <c r="E106" s="756" t="n">
        <v>128</v>
      </c>
      <c r="F106" s="756" t="n">
        <v>128</v>
      </c>
      <c r="G106" s="757" t="inlineStr">
        <is>
          <t>per subscription per month</t>
        </is>
      </c>
      <c r="H106" s="590" t="n"/>
    </row>
    <row r="107" ht="13.2" customHeight="1" s="586">
      <c r="A107" s="739" t="inlineStr">
        <is>
          <t>DDI reserved numbers (10000)</t>
        </is>
      </c>
      <c r="B107" s="756" t="n"/>
      <c r="C107" s="756" t="n"/>
      <c r="D107" s="756" t="n"/>
      <c r="E107" s="756" t="n"/>
      <c r="F107" s="756" t="n"/>
      <c r="G107" s="757" t="n"/>
      <c r="H107" s="590" t="n"/>
    </row>
    <row r="108" ht="13.2" customHeight="1" s="586">
      <c r="A108" s="739" t="inlineStr">
        <is>
          <t>DDI facilities</t>
        </is>
      </c>
      <c r="B108" s="756" t="n"/>
      <c r="C108" s="756" t="n"/>
      <c r="D108" s="756" t="n"/>
      <c r="E108" s="756" t="n"/>
      <c r="F108" s="756" t="n"/>
      <c r="G108" s="757" t="n"/>
      <c r="H108" s="590" t="n"/>
    </row>
    <row r="109" ht="13.2" customHeight="1" s="586">
      <c r="A109" s="739" t="inlineStr">
        <is>
          <t>Calamity services</t>
        </is>
      </c>
      <c r="B109" s="756" t="n"/>
      <c r="C109" s="756" t="n"/>
      <c r="D109" s="756" t="n"/>
      <c r="E109" s="756" t="n"/>
      <c r="F109" s="756" t="n"/>
      <c r="G109" s="757" t="n"/>
      <c r="H109" s="590" t="n"/>
    </row>
    <row r="110" ht="13.2" customHeight="1" s="586">
      <c r="A110" s="739" t="inlineStr">
        <is>
          <t>Infrastructure services</t>
        </is>
      </c>
      <c r="B110" s="756" t="n"/>
      <c r="C110" s="756" t="n"/>
      <c r="D110" s="756" t="n"/>
      <c r="E110" s="756" t="n"/>
      <c r="F110" s="756" t="n"/>
      <c r="G110" s="757" t="n"/>
      <c r="H110" s="590" t="n"/>
    </row>
    <row r="111" ht="13.2" customHeight="1" s="586">
      <c r="A111" s="739" t="inlineStr">
        <is>
          <t>ADSL</t>
        </is>
      </c>
      <c r="B111" s="756" t="n"/>
      <c r="C111" s="756" t="n"/>
      <c r="D111" s="756" t="n"/>
      <c r="E111" s="756" t="n"/>
      <c r="F111" s="756" t="n"/>
      <c r="G111" s="757" t="n"/>
      <c r="H111" s="590" t="n"/>
    </row>
    <row r="112" ht="13.2" customHeight="1" s="586">
      <c r="A112" s="739" t="inlineStr">
        <is>
          <t>PSTN</t>
        </is>
      </c>
      <c r="B112" s="756" t="n">
        <v>14.27</v>
      </c>
      <c r="C112" s="756" t="n">
        <v>14.27</v>
      </c>
      <c r="D112" s="756" t="n">
        <v>14.27</v>
      </c>
      <c r="E112" s="756" t="n">
        <v>14.27</v>
      </c>
      <c r="F112" s="756" t="n">
        <v>14.27</v>
      </c>
      <c r="G112" s="757" t="inlineStr">
        <is>
          <t>per subscription per month</t>
        </is>
      </c>
      <c r="H112" s="590" t="n"/>
    </row>
    <row r="113" ht="13.8" customHeight="1" s="586">
      <c r="A113" s="739" t="inlineStr">
        <is>
          <t>Telex</t>
        </is>
      </c>
      <c r="B113" s="802" t="n"/>
      <c r="C113" s="803" t="n"/>
      <c r="D113" s="803" t="n"/>
      <c r="E113" s="803" t="n"/>
      <c r="F113" s="803" t="n"/>
      <c r="G113" s="757" t="n"/>
      <c r="H113" s="590" t="n"/>
    </row>
    <row r="114" ht="13.8" customHeight="1" s="586">
      <c r="A114" s="651" t="inlineStr">
        <is>
          <t>TOTAL VOICE SERVICES</t>
        </is>
      </c>
      <c r="B114" s="772" t="n"/>
      <c r="C114" s="772" t="n"/>
      <c r="D114" s="772" t="n"/>
      <c r="E114" s="772" t="n"/>
      <c r="F114" s="772" t="n"/>
      <c r="G114" s="773" t="n"/>
      <c r="H114" s="590" t="n"/>
    </row>
    <row r="115" ht="13.2" customHeight="1" s="586">
      <c r="A115" s="640" t="n"/>
      <c r="B115" s="695" t="n"/>
      <c r="C115" s="695" t="n"/>
      <c r="D115" s="695" t="n"/>
      <c r="E115" s="695" t="n"/>
      <c r="F115" s="695" t="n"/>
      <c r="G115" s="791" t="n"/>
    </row>
    <row r="116" ht="13.8" customHeight="1" s="586">
      <c r="A116" s="640" t="n"/>
      <c r="B116" s="695" t="n"/>
      <c r="C116" s="695" t="n"/>
      <c r="D116" s="695" t="n"/>
      <c r="E116" s="695" t="n"/>
      <c r="F116" s="695" t="n"/>
      <c r="G116" s="791" t="n"/>
    </row>
    <row r="117" ht="13.8" customHeight="1" s="586">
      <c r="A117" s="651" t="n"/>
      <c r="B117" s="760" t="n"/>
      <c r="C117" s="760" t="n"/>
      <c r="D117" s="760" t="n"/>
      <c r="E117" s="760" t="n"/>
      <c r="F117" s="760" t="n"/>
      <c r="G117" s="761" t="n"/>
    </row>
    <row r="118" ht="13.8" customHeight="1" s="586">
      <c r="A118" s="792" t="n"/>
      <c r="B118" s="793" t="n"/>
      <c r="C118" s="793" t="n"/>
      <c r="D118" s="793" t="n"/>
      <c r="E118" s="793" t="n"/>
      <c r="F118" s="793" t="n"/>
      <c r="G118" s="794" t="n"/>
    </row>
    <row r="119" ht="13.8" customHeight="1" s="586">
      <c r="A119" s="730" t="inlineStr">
        <is>
          <t>Server Management</t>
        </is>
      </c>
      <c r="B119" s="762" t="n"/>
      <c r="C119" s="762" t="n"/>
      <c r="D119" s="762" t="n"/>
      <c r="E119" s="762" t="n"/>
      <c r="F119" s="762" t="n"/>
      <c r="G119" s="763" t="n"/>
    </row>
    <row r="120" ht="13.2" customHeight="1" s="586">
      <c r="A120" s="795" t="inlineStr">
        <is>
          <t>Support Services</t>
        </is>
      </c>
      <c r="B120" s="796" t="n"/>
      <c r="C120" s="796" t="n"/>
      <c r="D120" s="796" t="n"/>
      <c r="E120" s="796" t="n"/>
      <c r="F120" s="796" t="n"/>
      <c r="G120" s="797" t="n"/>
    </row>
    <row r="121" ht="13.2" customHeight="1" s="586">
      <c r="A121" s="640" t="inlineStr">
        <is>
          <t xml:space="preserve">Servers </t>
        </is>
      </c>
      <c r="B121" s="756" t="n">
        <v>160.523450243758</v>
      </c>
      <c r="C121" s="756" t="n">
        <v>141.011364553925</v>
      </c>
      <c r="D121" s="756" t="n">
        <v>121.75</v>
      </c>
      <c r="E121" s="756" t="n">
        <v>120</v>
      </c>
      <c r="F121" s="756" t="n">
        <v>118.25</v>
      </c>
      <c r="G121" s="791" t="inlineStr">
        <is>
          <t>per server per month</t>
        </is>
      </c>
      <c r="H121" s="764" t="n"/>
    </row>
    <row r="122" ht="13.2" customHeight="1" s="586">
      <c r="A122" s="640" t="inlineStr">
        <is>
          <t>Servers (Offshore Yr 3)</t>
        </is>
      </c>
      <c r="B122" s="756" t="n">
        <v>160.523450243758</v>
      </c>
      <c r="C122" s="756" t="n">
        <v>141.011364553925</v>
      </c>
      <c r="D122" s="756" t="n">
        <v>91.5833333333333</v>
      </c>
      <c r="E122" s="756" t="n">
        <v>89.95300552914119</v>
      </c>
      <c r="F122" s="756" t="n">
        <v>88.00034169359409</v>
      </c>
      <c r="G122" s="791" t="inlineStr">
        <is>
          <t>per server per month</t>
        </is>
      </c>
    </row>
    <row r="123" ht="13.2" customHeight="1" s="586">
      <c r="A123" s="640" t="n"/>
      <c r="B123" s="695" t="n"/>
      <c r="C123" s="695" t="n"/>
      <c r="D123" s="695" t="n"/>
      <c r="E123" s="695" t="n"/>
      <c r="F123" s="695" t="n"/>
      <c r="G123" s="791" t="n"/>
    </row>
    <row r="124" ht="13.2" customHeight="1" s="586">
      <c r="A124" s="640" t="n"/>
      <c r="B124" s="695" t="n"/>
      <c r="C124" s="695" t="n"/>
      <c r="D124" s="695" t="n"/>
      <c r="E124" s="695" t="n"/>
      <c r="F124" s="695" t="n"/>
      <c r="G124" s="791" t="n"/>
    </row>
    <row r="125" ht="13.2" customHeight="1" s="586">
      <c r="A125" s="640" t="n"/>
      <c r="B125" s="695" t="n"/>
      <c r="C125" s="695" t="n"/>
      <c r="D125" s="695" t="n"/>
      <c r="E125" s="695" t="n"/>
      <c r="F125" s="695" t="n"/>
      <c r="G125" s="791" t="n"/>
    </row>
    <row r="126" ht="13.2" customHeight="1" s="586">
      <c r="A126" s="640" t="n"/>
      <c r="B126" s="695" t="n"/>
      <c r="C126" s="695" t="n"/>
      <c r="D126" s="695" t="n"/>
      <c r="E126" s="695" t="n"/>
      <c r="F126" s="695" t="n"/>
      <c r="G126" s="791" t="n"/>
    </row>
    <row r="127" ht="13.2" customHeight="1" s="586">
      <c r="A127" s="640" t="n"/>
      <c r="B127" s="695" t="n"/>
      <c r="C127" s="695" t="n"/>
      <c r="D127" s="695" t="n"/>
      <c r="E127" s="695" t="n"/>
      <c r="F127" s="695" t="n"/>
      <c r="G127" s="791" t="n"/>
    </row>
    <row r="128" ht="13.2" customHeight="1" s="586">
      <c r="A128" s="640" t="n"/>
      <c r="B128" s="695" t="n"/>
      <c r="C128" s="695" t="n"/>
      <c r="D128" s="695" t="n"/>
      <c r="E128" s="695" t="n"/>
      <c r="F128" s="695" t="n"/>
      <c r="G128" s="791" t="n"/>
    </row>
    <row r="129" ht="13.2" customHeight="1" s="586">
      <c r="A129" s="640" t="n"/>
      <c r="B129" s="695" t="n"/>
      <c r="C129" s="695" t="n"/>
      <c r="D129" s="695" t="n"/>
      <c r="E129" s="695" t="n"/>
      <c r="F129" s="695" t="n"/>
      <c r="G129" s="791" t="n"/>
    </row>
    <row r="130" ht="13.2" customHeight="1" s="586">
      <c r="A130" s="640" t="n"/>
      <c r="B130" s="695" t="n"/>
      <c r="C130" s="695" t="n"/>
      <c r="D130" s="695" t="n"/>
      <c r="E130" s="695" t="n"/>
      <c r="F130" s="695" t="n"/>
      <c r="G130" s="791" t="n"/>
    </row>
    <row r="131" ht="13.2" customHeight="1" s="586">
      <c r="A131" s="640" t="n"/>
      <c r="B131" s="695" t="n"/>
      <c r="C131" s="695" t="n"/>
      <c r="D131" s="695" t="n"/>
      <c r="E131" s="695" t="n"/>
      <c r="F131" s="695" t="n"/>
      <c r="G131" s="791" t="n"/>
    </row>
    <row r="132" ht="13.2" customHeight="1" s="586">
      <c r="A132" s="640" t="inlineStr">
        <is>
          <t>Total DAS (TB)</t>
        </is>
      </c>
      <c r="B132" s="756" t="n">
        <v>1433.31122457456</v>
      </c>
      <c r="C132" s="756" t="n">
        <v>1163.45811464309</v>
      </c>
      <c r="D132" s="756" t="n">
        <v>941.657471273062</v>
      </c>
      <c r="E132" s="756" t="n">
        <v>858.482163489916</v>
      </c>
      <c r="F132" s="756" t="n">
        <v>705.994365298359</v>
      </c>
      <c r="G132" s="791" t="inlineStr">
        <is>
          <t>per TB per month</t>
        </is>
      </c>
    </row>
    <row r="133" ht="13.8" customHeight="1" s="586">
      <c r="A133" s="640" t="inlineStr">
        <is>
          <t>E-mail Accounts</t>
        </is>
      </c>
      <c r="B133" s="756" t="n">
        <v>0.9897137338508351</v>
      </c>
      <c r="C133" s="756" t="n">
        <v>0.965494086991381</v>
      </c>
      <c r="D133" s="756" t="n">
        <v>0.941275351227245</v>
      </c>
      <c r="E133" s="756" t="n">
        <v>0.91705661546311</v>
      </c>
      <c r="F133" s="756" t="n">
        <v>0.8946774054434909</v>
      </c>
      <c r="G133" s="757" t="inlineStr">
        <is>
          <t>per account per month</t>
        </is>
      </c>
    </row>
    <row r="134" ht="13.8" customHeight="1" s="586">
      <c r="A134" s="651" t="inlineStr">
        <is>
          <t>TOTAL SERVER MANAGEMENT</t>
        </is>
      </c>
      <c r="B134" s="760" t="n"/>
      <c r="C134" s="760" t="n"/>
      <c r="D134" s="760" t="n"/>
      <c r="E134" s="760" t="n"/>
      <c r="F134" s="760" t="n"/>
      <c r="G134" s="761" t="n"/>
    </row>
    <row r="135" ht="13.8" customHeight="1" s="586">
      <c r="A135" s="730" t="inlineStr">
        <is>
          <t>2IM</t>
        </is>
      </c>
      <c r="B135" s="762" t="n"/>
      <c r="C135" s="762" t="n"/>
      <c r="D135" s="762" t="n"/>
      <c r="E135" s="762" t="n"/>
      <c r="F135" s="762" t="n"/>
      <c r="G135" s="763" t="n"/>
    </row>
    <row r="136" ht="13.8" customHeight="1" s="586">
      <c r="A136" s="685" t="inlineStr">
        <is>
          <t>FTEs</t>
        </is>
      </c>
      <c r="B136" s="756" t="n">
        <v>20197</v>
      </c>
      <c r="C136" s="756" t="n">
        <v>18943</v>
      </c>
      <c r="D136" s="756" t="n">
        <v>16526.3333333333</v>
      </c>
      <c r="E136" s="756" t="n">
        <v>15644.75</v>
      </c>
      <c r="F136" s="756" t="n">
        <v>14378.5</v>
      </c>
      <c r="G136" s="798" t="inlineStr">
        <is>
          <t>per FTE per month</t>
        </is>
      </c>
      <c r="H136" s="804" t="n"/>
    </row>
    <row r="137" ht="13.8" customHeight="1" s="586">
      <c r="A137" s="651" t="inlineStr">
        <is>
          <t>TOTAL 2IM SERVICES</t>
        </is>
      </c>
      <c r="B137" s="760" t="n"/>
      <c r="C137" s="760" t="n"/>
      <c r="D137" s="760" t="n"/>
      <c r="E137" s="760" t="n"/>
      <c r="F137" s="760" t="n"/>
      <c r="G137" s="761" t="n"/>
    </row>
  </sheetData>
  <printOptions horizontalCentered="1" verticalCentered="0" headings="0" gridLines="0" gridLinesSet="1"/>
  <pageMargins left="1" right="1" top="0.75" bottom="0.409722222222222" header="0.25" footer="0.25"/>
  <pageSetup orientation="landscape" paperSize="9" scale="100" fitToHeight="2"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BK295"/>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2.39" customWidth="1" style="805" min="1" max="1"/>
    <col width="75.16" customWidth="1" style="805" min="2" max="2"/>
    <col hidden="1" outlineLevel="1" width="10.8" customWidth="1" style="806" min="3" max="3"/>
    <col hidden="1" outlineLevel="1" width="12.1" customWidth="1" style="806" min="4" max="4"/>
    <col hidden="1" outlineLevel="1" width="12.3" customWidth="1" style="807" min="5" max="5"/>
    <col hidden="1" outlineLevel="1" width="11.5" customWidth="1" style="807" min="6" max="6"/>
    <col hidden="1" outlineLevel="1" width="11.8" customWidth="1" style="807" min="7" max="7"/>
    <col hidden="1" outlineLevel="1" width="14.51" customWidth="1" style="808" min="8" max="8"/>
    <col hidden="1" outlineLevel="1" width="10.2" customWidth="1" style="808" min="9" max="9"/>
    <col hidden="1" outlineLevel="1" width="9.699999999999999" customWidth="1" style="808" min="10" max="11"/>
    <col hidden="1" outlineLevel="1" width="9" customWidth="1" style="808" min="12" max="12"/>
    <col hidden="1" outlineLevel="1" width="9.699999999999999" customWidth="1" style="808" min="13" max="13"/>
    <col hidden="1" outlineLevel="1" width="12.7" customWidth="1" style="808" min="14" max="14"/>
    <col hidden="1" outlineLevel="1" width="10.6" customWidth="1" style="808" min="15" max="15"/>
    <col hidden="1" outlineLevel="1" width="12.41" customWidth="1" style="808" min="16" max="16"/>
    <col hidden="1" outlineLevel="1" width="12.3" customWidth="1" style="808" min="17" max="17"/>
    <col hidden="1" outlineLevel="1" width="10.6" customWidth="1" style="808" min="18" max="18"/>
    <col width="13.6" customWidth="1" style="809" min="19" max="19"/>
    <col hidden="1" outlineLevel="1" width="11.39" customWidth="1" style="808" min="20" max="31"/>
    <col width="13" customWidth="1" style="809" min="32" max="32"/>
    <col hidden="1" outlineLevel="1" width="10.3" customWidth="1" style="808" min="33" max="44"/>
    <col width="13" customWidth="1" style="809" min="45" max="45"/>
    <col hidden="1" outlineLevel="1" width="10.3" customWidth="1" style="808" min="46" max="57"/>
    <col width="11.39" customWidth="1" style="809" min="58" max="58"/>
    <col width="14.1" customWidth="1" style="808" min="59" max="59"/>
    <col width="11.7" customWidth="1" style="805" min="60" max="61"/>
    <col width="10.3" customWidth="1" style="805" min="62" max="62"/>
    <col width="8.4" customWidth="1" style="805" min="63" max="257"/>
  </cols>
  <sheetData>
    <row r="1" ht="13.2" customHeight="1" s="586">
      <c r="B1" s="805" t="n"/>
      <c r="C1" s="810" t="n"/>
      <c r="D1" s="811" t="n"/>
      <c r="E1" s="812" t="n"/>
      <c r="F1" s="812" t="n"/>
      <c r="G1" s="812" t="n"/>
      <c r="H1" s="812" t="n"/>
      <c r="I1" s="812" t="n"/>
      <c r="J1" s="812" t="n"/>
      <c r="K1" s="812" t="n"/>
      <c r="L1" s="812" t="n"/>
      <c r="M1" s="812" t="n"/>
      <c r="N1" s="812" t="n"/>
      <c r="O1" s="812" t="n"/>
      <c r="P1" s="812" t="n"/>
      <c r="Q1" s="812" t="inlineStr">
        <is>
          <t xml:space="preserve"> </t>
        </is>
      </c>
      <c r="R1" s="812" t="n"/>
      <c r="T1" s="809" t="n"/>
      <c r="U1" s="809" t="n"/>
      <c r="V1" s="809" t="n"/>
      <c r="W1" s="809" t="n"/>
      <c r="X1" s="809" t="n"/>
      <c r="Y1" s="809" t="n"/>
      <c r="Z1" s="809" t="n"/>
      <c r="AA1" s="809" t="n"/>
      <c r="AB1" s="809" t="n"/>
      <c r="AC1" s="809" t="n"/>
      <c r="AD1" s="809" t="n"/>
      <c r="AE1" s="809" t="n"/>
      <c r="AG1" s="809" t="n"/>
      <c r="AH1" s="809" t="n"/>
      <c r="AI1" s="809" t="n"/>
      <c r="AJ1" s="809" t="n"/>
      <c r="AK1" s="809" t="n"/>
      <c r="AL1" s="809" t="n"/>
      <c r="AM1" s="809" t="n"/>
      <c r="AN1" s="809" t="n"/>
      <c r="AO1" s="809" t="n"/>
      <c r="AP1" s="809" t="n"/>
      <c r="AQ1" s="809" t="n"/>
      <c r="AR1" s="809" t="n"/>
      <c r="AT1" s="809" t="n"/>
      <c r="AU1" s="809" t="n"/>
      <c r="AV1" s="809" t="n"/>
      <c r="AW1" s="809" t="n"/>
      <c r="AX1" s="809" t="n"/>
      <c r="AY1" s="809" t="n"/>
      <c r="AZ1" s="809" t="n"/>
      <c r="BA1" s="809" t="n"/>
      <c r="BB1" s="809" t="n"/>
      <c r="BC1" s="809" t="n"/>
      <c r="BD1" s="809" t="n"/>
      <c r="BE1" s="809" t="n"/>
      <c r="BG1" s="809" t="n"/>
    </row>
    <row r="2" ht="13.2" customHeight="1" s="586">
      <c r="B2" s="813" t="inlineStr">
        <is>
          <t>Total Transition phase</t>
        </is>
      </c>
      <c r="C2" s="814" t="n"/>
      <c r="D2" s="814" t="n"/>
      <c r="E2" s="812" t="n"/>
      <c r="F2" s="812" t="n"/>
      <c r="G2" s="812" t="n"/>
      <c r="I2" s="812" t="n"/>
      <c r="J2" s="812" t="n"/>
      <c r="K2" s="812" t="n"/>
      <c r="L2" s="812" t="n"/>
      <c r="M2" s="812" t="n"/>
      <c r="N2" s="812" t="n"/>
      <c r="O2" s="812" t="n"/>
      <c r="P2" s="812" t="n"/>
      <c r="Q2" s="812" t="n"/>
      <c r="R2" s="812" t="n"/>
      <c r="T2" s="809" t="n"/>
      <c r="U2" s="809" t="n"/>
      <c r="V2" s="809" t="n"/>
      <c r="W2" s="809" t="n"/>
      <c r="X2" s="809" t="n"/>
      <c r="Y2" s="809" t="n"/>
      <c r="Z2" s="809" t="n"/>
      <c r="AA2" s="809" t="n"/>
      <c r="AB2" s="809" t="n"/>
      <c r="AC2" s="809" t="n"/>
      <c r="AD2" s="809" t="n"/>
      <c r="AE2" s="809" t="n"/>
      <c r="AG2" s="809" t="n"/>
      <c r="AH2" s="809" t="n"/>
      <c r="AI2" s="809" t="n"/>
      <c r="AJ2" s="809" t="n"/>
      <c r="AK2" s="809" t="n"/>
      <c r="AL2" s="809" t="n"/>
      <c r="AM2" s="809" t="n"/>
      <c r="AN2" s="809" t="n"/>
      <c r="AO2" s="809" t="n"/>
      <c r="AP2" s="809" t="n"/>
      <c r="AQ2" s="809" t="n"/>
      <c r="AR2" s="809" t="n"/>
      <c r="AT2" s="809" t="n"/>
      <c r="AU2" s="809" t="n"/>
      <c r="AV2" s="809" t="n"/>
      <c r="AW2" s="809" t="n"/>
      <c r="AX2" s="809" t="n"/>
      <c r="AY2" s="809" t="n"/>
      <c r="AZ2" s="809" t="n"/>
      <c r="BA2" s="809" t="n"/>
      <c r="BB2" s="809" t="n"/>
      <c r="BC2" s="809" t="n"/>
      <c r="BD2" s="809" t="n"/>
      <c r="BE2" s="809" t="n"/>
      <c r="BG2" s="809" t="n"/>
    </row>
    <row r="3" ht="13.8" customHeight="1" s="586">
      <c r="B3" s="813" t="n"/>
      <c r="E3" s="815" t="inlineStr">
        <is>
          <t>HR prep</t>
        </is>
      </c>
      <c r="F3" s="816" t="inlineStr">
        <is>
          <t>Prep</t>
        </is>
      </c>
      <c r="G3" s="817" t="n"/>
      <c r="H3" s="815" t="inlineStr">
        <is>
          <t>Transition</t>
        </is>
      </c>
      <c r="I3" s="818" t="n"/>
      <c r="J3" s="817" t="n"/>
      <c r="K3" s="817" t="n"/>
      <c r="L3" s="815" t="n"/>
      <c r="M3" s="815" t="n"/>
      <c r="N3" s="817" t="n"/>
      <c r="O3" s="815" t="n"/>
    </row>
    <row r="4" ht="13.2" customHeight="1" s="586">
      <c r="B4" s="819" t="inlineStr">
        <is>
          <t>2IM</t>
        </is>
      </c>
      <c r="C4" s="820" t="n"/>
      <c r="D4" s="820" t="inlineStr">
        <is>
          <t>Month -2</t>
        </is>
      </c>
      <c r="E4" s="821" t="inlineStr">
        <is>
          <t>Month -1</t>
        </is>
      </c>
      <c r="F4" s="821" t="inlineStr">
        <is>
          <t>Month 0</t>
        </is>
      </c>
      <c r="G4" s="821" t="inlineStr">
        <is>
          <t>Month 1</t>
        </is>
      </c>
      <c r="H4" s="822" t="inlineStr">
        <is>
          <t>Month 2</t>
        </is>
      </c>
      <c r="I4" s="822" t="inlineStr">
        <is>
          <t>Month 3</t>
        </is>
      </c>
      <c r="J4" s="822" t="inlineStr">
        <is>
          <t>Month 4</t>
        </is>
      </c>
      <c r="K4" s="822" t="inlineStr">
        <is>
          <t>Month 5</t>
        </is>
      </c>
      <c r="L4" s="822" t="inlineStr">
        <is>
          <t>Month 6</t>
        </is>
      </c>
      <c r="M4" s="822" t="inlineStr">
        <is>
          <t>Month 7</t>
        </is>
      </c>
      <c r="N4" s="822" t="inlineStr">
        <is>
          <t>Month 8</t>
        </is>
      </c>
      <c r="O4" s="822" t="inlineStr">
        <is>
          <t>Month 9</t>
        </is>
      </c>
      <c r="P4" s="822" t="inlineStr">
        <is>
          <t>Month 10</t>
        </is>
      </c>
      <c r="Q4" s="822" t="inlineStr">
        <is>
          <t>Month 11</t>
        </is>
      </c>
      <c r="R4" s="822" t="inlineStr">
        <is>
          <t>Month 12</t>
        </is>
      </c>
      <c r="S4" s="821" t="inlineStr">
        <is>
          <t>Year 1</t>
        </is>
      </c>
      <c r="T4" s="822" t="inlineStr">
        <is>
          <t>Month 13</t>
        </is>
      </c>
      <c r="U4" s="822" t="inlineStr">
        <is>
          <t>Month 14</t>
        </is>
      </c>
      <c r="V4" s="822" t="inlineStr">
        <is>
          <t>Month 15</t>
        </is>
      </c>
      <c r="W4" s="822" t="inlineStr">
        <is>
          <t>Month 16</t>
        </is>
      </c>
      <c r="X4" s="822" t="inlineStr">
        <is>
          <t>Month 17</t>
        </is>
      </c>
      <c r="Y4" s="822" t="inlineStr">
        <is>
          <t>Month 18</t>
        </is>
      </c>
      <c r="Z4" s="822" t="inlineStr">
        <is>
          <t>Month 19</t>
        </is>
      </c>
      <c r="AA4" s="822" t="inlineStr">
        <is>
          <t>Month 20</t>
        </is>
      </c>
      <c r="AB4" s="822" t="inlineStr">
        <is>
          <t>Month 21</t>
        </is>
      </c>
      <c r="AC4" s="822" t="inlineStr">
        <is>
          <t>Month 22</t>
        </is>
      </c>
      <c r="AD4" s="822" t="inlineStr">
        <is>
          <t>Month 23</t>
        </is>
      </c>
      <c r="AE4" s="822" t="inlineStr">
        <is>
          <t>Month 24</t>
        </is>
      </c>
      <c r="AF4" s="822" t="inlineStr">
        <is>
          <t>Year 2</t>
        </is>
      </c>
      <c r="AG4" s="822" t="inlineStr">
        <is>
          <t>Month 25</t>
        </is>
      </c>
      <c r="AH4" s="822" t="inlineStr">
        <is>
          <t>Month 26</t>
        </is>
      </c>
      <c r="AI4" s="822" t="inlineStr">
        <is>
          <t>Month 27</t>
        </is>
      </c>
      <c r="AJ4" s="822" t="inlineStr">
        <is>
          <t>Month 28</t>
        </is>
      </c>
      <c r="AK4" s="822" t="inlineStr">
        <is>
          <t>Month 29</t>
        </is>
      </c>
      <c r="AL4" s="822" t="inlineStr">
        <is>
          <t>Month 30</t>
        </is>
      </c>
      <c r="AM4" s="822" t="inlineStr">
        <is>
          <t>Month 31</t>
        </is>
      </c>
      <c r="AN4" s="822" t="inlineStr">
        <is>
          <t>Month 32</t>
        </is>
      </c>
      <c r="AO4" s="822" t="inlineStr">
        <is>
          <t>Month 33</t>
        </is>
      </c>
      <c r="AP4" s="822" t="inlineStr">
        <is>
          <t>Month 34</t>
        </is>
      </c>
      <c r="AQ4" s="822" t="inlineStr">
        <is>
          <t>Month 35</t>
        </is>
      </c>
      <c r="AR4" s="822" t="inlineStr">
        <is>
          <t>Month 36</t>
        </is>
      </c>
      <c r="AS4" s="822" t="inlineStr">
        <is>
          <t>Year 3</t>
        </is>
      </c>
      <c r="AT4" s="822" t="inlineStr">
        <is>
          <t>Month 37</t>
        </is>
      </c>
      <c r="AU4" s="822" t="inlineStr">
        <is>
          <t>Month 38</t>
        </is>
      </c>
      <c r="AV4" s="822" t="inlineStr">
        <is>
          <t>Month 39</t>
        </is>
      </c>
      <c r="AW4" s="822" t="inlineStr">
        <is>
          <t>Month 40</t>
        </is>
      </c>
      <c r="AX4" s="822" t="inlineStr">
        <is>
          <t>Month 41</t>
        </is>
      </c>
      <c r="AY4" s="822" t="inlineStr">
        <is>
          <t>Month 42</t>
        </is>
      </c>
      <c r="AZ4" s="822" t="inlineStr">
        <is>
          <t>Month 43</t>
        </is>
      </c>
      <c r="BA4" s="822" t="inlineStr">
        <is>
          <t>Month 44</t>
        </is>
      </c>
      <c r="BB4" s="822" t="inlineStr">
        <is>
          <t>Month 45</t>
        </is>
      </c>
      <c r="BC4" s="822" t="inlineStr">
        <is>
          <t>Month 46</t>
        </is>
      </c>
      <c r="BD4" s="822" t="inlineStr">
        <is>
          <t>Month 47</t>
        </is>
      </c>
      <c r="BE4" s="822" t="inlineStr">
        <is>
          <t>Month 48</t>
        </is>
      </c>
      <c r="BF4" s="822" t="inlineStr">
        <is>
          <t>Year 4</t>
        </is>
      </c>
      <c r="BG4" s="821" t="inlineStr">
        <is>
          <t>Total</t>
        </is>
      </c>
    </row>
    <row r="5" ht="14.4" customHeight="1" s="586">
      <c r="B5" s="823" t="n"/>
      <c r="C5" s="824" t="n"/>
      <c r="D5" s="824" t="inlineStr">
        <is>
          <t>(Euro)</t>
        </is>
      </c>
      <c r="E5" s="825" t="inlineStr">
        <is>
          <t>(Euro)</t>
        </is>
      </c>
      <c r="F5" s="825" t="inlineStr">
        <is>
          <t>(Euro)</t>
        </is>
      </c>
      <c r="G5" s="825" t="inlineStr">
        <is>
          <t>(Euro)</t>
        </is>
      </c>
      <c r="H5" s="826" t="inlineStr">
        <is>
          <t>(Euro)</t>
        </is>
      </c>
      <c r="I5" s="826" t="inlineStr">
        <is>
          <t>(Euro)</t>
        </is>
      </c>
      <c r="J5" s="826" t="inlineStr">
        <is>
          <t>(Euro)</t>
        </is>
      </c>
      <c r="K5" s="826" t="inlineStr">
        <is>
          <t>(Euro)</t>
        </is>
      </c>
      <c r="L5" s="826" t="inlineStr">
        <is>
          <t>(Euro)</t>
        </is>
      </c>
      <c r="M5" s="826" t="inlineStr">
        <is>
          <t>(Euro)</t>
        </is>
      </c>
      <c r="N5" s="826" t="inlineStr">
        <is>
          <t>(Euro)</t>
        </is>
      </c>
      <c r="O5" s="826" t="inlineStr">
        <is>
          <t>(Euro)</t>
        </is>
      </c>
      <c r="P5" s="826" t="inlineStr">
        <is>
          <t>(Euro)</t>
        </is>
      </c>
      <c r="Q5" s="826" t="inlineStr">
        <is>
          <t>(Euro)</t>
        </is>
      </c>
      <c r="R5" s="826" t="inlineStr">
        <is>
          <t>(Euro)</t>
        </is>
      </c>
      <c r="S5" s="825" t="inlineStr">
        <is>
          <t>(Euro)</t>
        </is>
      </c>
      <c r="T5" s="826" t="inlineStr">
        <is>
          <t>(Euro)</t>
        </is>
      </c>
      <c r="U5" s="826" t="inlineStr">
        <is>
          <t>(Euro)</t>
        </is>
      </c>
      <c r="V5" s="826" t="inlineStr">
        <is>
          <t>(Euro)</t>
        </is>
      </c>
      <c r="W5" s="826" t="inlineStr">
        <is>
          <t>(Euro)</t>
        </is>
      </c>
      <c r="X5" s="826" t="inlineStr">
        <is>
          <t>(Euro)</t>
        </is>
      </c>
      <c r="Y5" s="826" t="inlineStr">
        <is>
          <t>(Euro)</t>
        </is>
      </c>
      <c r="Z5" s="826" t="inlineStr">
        <is>
          <t>(Euro)</t>
        </is>
      </c>
      <c r="AA5" s="826" t="inlineStr">
        <is>
          <t>(Euro)</t>
        </is>
      </c>
      <c r="AB5" s="826" t="inlineStr">
        <is>
          <t>(Euro)</t>
        </is>
      </c>
      <c r="AC5" s="826" t="inlineStr">
        <is>
          <t>(Euro)</t>
        </is>
      </c>
      <c r="AD5" s="826" t="inlineStr">
        <is>
          <t>(Euro)</t>
        </is>
      </c>
      <c r="AE5" s="826" t="inlineStr">
        <is>
          <t>(Euro)</t>
        </is>
      </c>
      <c r="AF5" s="826" t="inlineStr">
        <is>
          <t>(Euro)</t>
        </is>
      </c>
      <c r="AG5" s="826" t="inlineStr">
        <is>
          <t>(Euro)</t>
        </is>
      </c>
      <c r="AH5" s="826" t="inlineStr">
        <is>
          <t>(Euro)</t>
        </is>
      </c>
      <c r="AI5" s="826" t="inlineStr">
        <is>
          <t>(Euro)</t>
        </is>
      </c>
      <c r="AJ5" s="826" t="inlineStr">
        <is>
          <t>(Euro)</t>
        </is>
      </c>
      <c r="AK5" s="826" t="inlineStr">
        <is>
          <t>(Euro)</t>
        </is>
      </c>
      <c r="AL5" s="826" t="inlineStr">
        <is>
          <t>(Euro)</t>
        </is>
      </c>
      <c r="AM5" s="826" t="inlineStr">
        <is>
          <t>(Euro)</t>
        </is>
      </c>
      <c r="AN5" s="826" t="inlineStr">
        <is>
          <t>(Euro)</t>
        </is>
      </c>
      <c r="AO5" s="826" t="inlineStr">
        <is>
          <t>(Euro)</t>
        </is>
      </c>
      <c r="AP5" s="826" t="inlineStr">
        <is>
          <t>(Euro)</t>
        </is>
      </c>
      <c r="AQ5" s="826" t="inlineStr">
        <is>
          <t>(Euro)</t>
        </is>
      </c>
      <c r="AR5" s="826" t="inlineStr">
        <is>
          <t>(Euro)</t>
        </is>
      </c>
      <c r="AS5" s="826" t="inlineStr">
        <is>
          <t>(Euro)</t>
        </is>
      </c>
      <c r="AT5" s="826" t="inlineStr">
        <is>
          <t>(Euro)</t>
        </is>
      </c>
      <c r="AU5" s="826" t="inlineStr">
        <is>
          <t>(Euro)</t>
        </is>
      </c>
      <c r="AV5" s="826" t="inlineStr">
        <is>
          <t>(Euro)</t>
        </is>
      </c>
      <c r="AW5" s="826" t="inlineStr">
        <is>
          <t>(Euro)</t>
        </is>
      </c>
      <c r="AX5" s="826" t="inlineStr">
        <is>
          <t>(Euro)</t>
        </is>
      </c>
      <c r="AY5" s="826" t="inlineStr">
        <is>
          <t>(Euro)</t>
        </is>
      </c>
      <c r="AZ5" s="826" t="inlineStr">
        <is>
          <t>(Euro)</t>
        </is>
      </c>
      <c r="BA5" s="826" t="inlineStr">
        <is>
          <t>(Euro)</t>
        </is>
      </c>
      <c r="BB5" s="826" t="inlineStr">
        <is>
          <t>(Euro)</t>
        </is>
      </c>
      <c r="BC5" s="826" t="inlineStr">
        <is>
          <t>(Euro)</t>
        </is>
      </c>
      <c r="BD5" s="826" t="inlineStr">
        <is>
          <t>(Euro)</t>
        </is>
      </c>
      <c r="BE5" s="826" t="inlineStr">
        <is>
          <t>(Euro)</t>
        </is>
      </c>
      <c r="BF5" s="826" t="inlineStr">
        <is>
          <t>(Euro)</t>
        </is>
      </c>
      <c r="BG5" s="825" t="inlineStr">
        <is>
          <t>(Euro)</t>
        </is>
      </c>
    </row>
    <row r="6" ht="13.2" customHeight="1" s="586">
      <c r="B6" s="827" t="n"/>
      <c r="C6" s="828" t="n"/>
      <c r="D6" s="829" t="n"/>
      <c r="E6" s="830" t="n"/>
      <c r="F6" s="831" t="n"/>
      <c r="G6" s="830" t="n"/>
      <c r="H6" s="832" t="n"/>
      <c r="I6" s="832" t="n"/>
      <c r="J6" s="832" t="n"/>
      <c r="K6" s="832" t="n"/>
      <c r="L6" s="832" t="n"/>
      <c r="M6" s="832" t="n"/>
      <c r="N6" s="832" t="n"/>
      <c r="O6" s="832" t="n"/>
      <c r="P6" s="832" t="n"/>
      <c r="Q6" s="832" t="n"/>
      <c r="R6" s="832" t="n"/>
      <c r="S6" s="833" t="n"/>
      <c r="T6" s="832" t="n"/>
      <c r="U6" s="832" t="n"/>
      <c r="V6" s="832" t="n"/>
      <c r="W6" s="832" t="n"/>
      <c r="X6" s="832" t="n"/>
      <c r="Y6" s="832" t="n"/>
      <c r="Z6" s="832" t="n"/>
      <c r="AA6" s="832" t="n"/>
      <c r="AB6" s="832" t="n"/>
      <c r="AC6" s="832" t="n"/>
      <c r="AD6" s="832" t="n"/>
      <c r="AE6" s="832" t="n"/>
      <c r="AF6" s="833" t="n"/>
      <c r="AG6" s="832" t="n"/>
      <c r="AH6" s="832" t="n"/>
      <c r="AI6" s="832" t="n"/>
      <c r="AJ6" s="832" t="n"/>
      <c r="AK6" s="832" t="n"/>
      <c r="AL6" s="832" t="n"/>
      <c r="AM6" s="832" t="n"/>
      <c r="AN6" s="832" t="n"/>
      <c r="AO6" s="832" t="n"/>
      <c r="AP6" s="832" t="n"/>
      <c r="AQ6" s="832" t="n"/>
      <c r="AR6" s="832" t="n"/>
      <c r="AS6" s="834" t="n"/>
      <c r="AT6" s="832" t="n"/>
      <c r="AU6" s="832" t="n"/>
      <c r="AV6" s="832" t="n"/>
      <c r="AW6" s="832" t="n"/>
      <c r="AX6" s="832" t="n"/>
      <c r="AY6" s="832" t="n"/>
      <c r="AZ6" s="832" t="n"/>
      <c r="BA6" s="832" t="n"/>
      <c r="BB6" s="832" t="n"/>
      <c r="BC6" s="832" t="n"/>
      <c r="BD6" s="832" t="n"/>
      <c r="BE6" s="832" t="n"/>
      <c r="BF6" s="834" t="n"/>
      <c r="BG6" s="835" t="n"/>
    </row>
    <row r="7" ht="13.2" customHeight="1" s="586">
      <c r="B7" s="836" t="inlineStr">
        <is>
          <t>1. Transition Program Management Stream</t>
        </is>
      </c>
      <c r="C7" s="837" t="n"/>
      <c r="D7" s="838" t="n"/>
      <c r="E7" s="839" t="n"/>
      <c r="F7" s="839" t="n">
        <v>97878.136824778</v>
      </c>
      <c r="G7" s="839" t="n">
        <v>44490.0621930809</v>
      </c>
      <c r="H7" s="839" t="n">
        <v>44490.0621930809</v>
      </c>
      <c r="I7" s="839" t="n">
        <v>44490.0621930809</v>
      </c>
      <c r="J7" s="839" t="n">
        <v>0</v>
      </c>
      <c r="K7" s="839" t="n">
        <v>0</v>
      </c>
      <c r="L7" s="839" t="n">
        <v>0</v>
      </c>
      <c r="M7" s="839" t="n">
        <v>0</v>
      </c>
      <c r="N7" s="839" t="n">
        <v>0</v>
      </c>
      <c r="O7" s="839" t="n">
        <v>0</v>
      </c>
      <c r="P7" s="839" t="n">
        <v>0</v>
      </c>
      <c r="Q7" s="839" t="n">
        <v>0</v>
      </c>
      <c r="R7" s="839" t="n">
        <v>0</v>
      </c>
      <c r="S7" s="840">
        <f>SUM(F7:R7)</f>
        <v/>
      </c>
      <c r="T7" s="841" t="n"/>
      <c r="U7" s="841" t="n"/>
      <c r="V7" s="841" t="n"/>
      <c r="W7" s="841" t="n"/>
      <c r="X7" s="841" t="n"/>
      <c r="Y7" s="841" t="n"/>
      <c r="Z7" s="841" t="n"/>
      <c r="AA7" s="841" t="n"/>
      <c r="AB7" s="841" t="n"/>
      <c r="AC7" s="841" t="n"/>
      <c r="AD7" s="841" t="n"/>
      <c r="AE7" s="841" t="n"/>
      <c r="AF7" s="840">
        <f>SUM(T7:AE7)</f>
        <v/>
      </c>
      <c r="AG7" s="841" t="n"/>
      <c r="AH7" s="841" t="n"/>
      <c r="AI7" s="841" t="n"/>
      <c r="AJ7" s="841" t="n"/>
      <c r="AK7" s="841" t="n"/>
      <c r="AL7" s="841" t="n"/>
      <c r="AM7" s="841" t="n"/>
      <c r="AN7" s="841" t="n"/>
      <c r="AO7" s="841" t="n"/>
      <c r="AP7" s="841" t="n"/>
      <c r="AQ7" s="841" t="n"/>
      <c r="AR7" s="841" t="n"/>
      <c r="AS7" s="840">
        <f>SUM(AR7)</f>
        <v/>
      </c>
      <c r="AT7" s="841" t="n"/>
      <c r="AU7" s="841" t="n"/>
      <c r="AV7" s="841" t="n"/>
      <c r="AW7" s="841" t="n"/>
      <c r="AX7" s="841" t="n"/>
      <c r="AY7" s="841" t="n"/>
      <c r="AZ7" s="841" t="n"/>
      <c r="BA7" s="841" t="n"/>
      <c r="BB7" s="841" t="n"/>
      <c r="BC7" s="841" t="n"/>
      <c r="BD7" s="841" t="n"/>
      <c r="BE7" s="841" t="n"/>
      <c r="BF7" s="840">
        <f>SUM(BE7)</f>
        <v/>
      </c>
      <c r="BG7" s="840">
        <f>SUM(S7,AF7,AS7,BF7)</f>
        <v/>
      </c>
      <c r="BI7" s="810" t="n"/>
    </row>
    <row r="8" ht="13.2" customHeight="1" s="586">
      <c r="B8" s="836" t="inlineStr">
        <is>
          <t>2. Service Management Stream</t>
        </is>
      </c>
      <c r="C8" s="842" t="n"/>
      <c r="D8" s="838" t="n"/>
      <c r="E8" s="839" t="n"/>
      <c r="F8" s="839" t="n">
        <v>0</v>
      </c>
      <c r="G8" s="839" t="n">
        <v>101771.017266673</v>
      </c>
      <c r="H8" s="839" t="n">
        <v>124016.048363213</v>
      </c>
      <c r="I8" s="839" t="n">
        <v>122903.796808386</v>
      </c>
      <c r="J8" s="839" t="n">
        <v>0</v>
      </c>
      <c r="K8" s="839" t="n">
        <v>0</v>
      </c>
      <c r="L8" s="839" t="n">
        <v>0</v>
      </c>
      <c r="M8" s="839" t="n">
        <v>0</v>
      </c>
      <c r="N8" s="839" t="n">
        <v>0</v>
      </c>
      <c r="O8" s="839" t="n">
        <v>0</v>
      </c>
      <c r="P8" s="839" t="n">
        <v>0</v>
      </c>
      <c r="Q8" s="839" t="n">
        <v>0</v>
      </c>
      <c r="R8" s="839" t="n">
        <v>0</v>
      </c>
      <c r="S8" s="840">
        <f>SUM(F8:R8)</f>
        <v/>
      </c>
      <c r="T8" s="841" t="n"/>
      <c r="U8" s="841" t="n"/>
      <c r="V8" s="841" t="n"/>
      <c r="W8" s="841" t="n"/>
      <c r="X8" s="841" t="n"/>
      <c r="Y8" s="841" t="n"/>
      <c r="Z8" s="841" t="n"/>
      <c r="AA8" s="841" t="n"/>
      <c r="AB8" s="841" t="n"/>
      <c r="AC8" s="841" t="n"/>
      <c r="AD8" s="841" t="n"/>
      <c r="AE8" s="841" t="n"/>
      <c r="AF8" s="840">
        <f>SUM(T8:AE8)</f>
        <v/>
      </c>
      <c r="AG8" s="841" t="n"/>
      <c r="AH8" s="841" t="n"/>
      <c r="AI8" s="841" t="n"/>
      <c r="AJ8" s="841" t="n"/>
      <c r="AK8" s="841" t="n"/>
      <c r="AL8" s="841" t="n"/>
      <c r="AM8" s="841" t="n"/>
      <c r="AN8" s="841" t="n"/>
      <c r="AO8" s="841" t="n"/>
      <c r="AP8" s="841" t="n"/>
      <c r="AQ8" s="841" t="n"/>
      <c r="AR8" s="841" t="n"/>
      <c r="AS8" s="840">
        <f>SUM(AR8)</f>
        <v/>
      </c>
      <c r="AT8" s="841" t="n"/>
      <c r="AU8" s="841" t="n"/>
      <c r="AV8" s="841" t="n"/>
      <c r="AW8" s="841" t="n"/>
      <c r="AX8" s="841" t="n"/>
      <c r="AY8" s="841" t="n"/>
      <c r="AZ8" s="841" t="n"/>
      <c r="BA8" s="841" t="n"/>
      <c r="BB8" s="841" t="n"/>
      <c r="BC8" s="841" t="n"/>
      <c r="BD8" s="841" t="n"/>
      <c r="BE8" s="841" t="n"/>
      <c r="BF8" s="840">
        <f>SUM(BE8)</f>
        <v/>
      </c>
      <c r="BG8" s="840">
        <f>SUM(S8,AF8,AS8,BF8)</f>
        <v/>
      </c>
      <c r="BH8" s="810" t="n"/>
      <c r="BI8" s="810" t="n"/>
    </row>
    <row r="9" ht="13.2" customHeight="1" s="586">
      <c r="B9" s="836" t="inlineStr">
        <is>
          <t>3. Unit Operations Stream</t>
        </is>
      </c>
      <c r="C9" s="842" t="n"/>
      <c r="D9" s="838" t="n"/>
      <c r="E9" s="839" t="n"/>
      <c r="F9" s="839" t="n">
        <v>0</v>
      </c>
      <c r="G9" s="839" t="n">
        <v>111225.155482702</v>
      </c>
      <c r="H9" s="839" t="n">
        <v>145148.827904927</v>
      </c>
      <c r="I9" s="839" t="n">
        <v>144036.5763501</v>
      </c>
      <c r="J9" s="839" t="n">
        <v>0</v>
      </c>
      <c r="K9" s="839" t="n">
        <v>0</v>
      </c>
      <c r="L9" s="839" t="n">
        <v>0</v>
      </c>
      <c r="M9" s="839" t="n">
        <v>0</v>
      </c>
      <c r="N9" s="839" t="n">
        <v>0</v>
      </c>
      <c r="O9" s="839" t="n">
        <v>0</v>
      </c>
      <c r="P9" s="839" t="n">
        <v>0</v>
      </c>
      <c r="Q9" s="839" t="n">
        <v>0</v>
      </c>
      <c r="R9" s="839" t="n">
        <v>0</v>
      </c>
      <c r="S9" s="840">
        <f>SUM(F9:R9)</f>
        <v/>
      </c>
      <c r="T9" s="841" t="n"/>
      <c r="U9" s="841" t="n"/>
      <c r="V9" s="841" t="n"/>
      <c r="W9" s="841" t="n"/>
      <c r="X9" s="841" t="n"/>
      <c r="Y9" s="841" t="n"/>
      <c r="Z9" s="841" t="n"/>
      <c r="AA9" s="841" t="n"/>
      <c r="AB9" s="841" t="n"/>
      <c r="AC9" s="841" t="n"/>
      <c r="AD9" s="841" t="n"/>
      <c r="AE9" s="841" t="n"/>
      <c r="AF9" s="840">
        <f>SUM(T9:AE9)</f>
        <v/>
      </c>
      <c r="AG9" s="841" t="n"/>
      <c r="AH9" s="841" t="n"/>
      <c r="AI9" s="841" t="n"/>
      <c r="AJ9" s="841" t="n"/>
      <c r="AK9" s="841" t="n"/>
      <c r="AL9" s="841" t="n"/>
      <c r="AM9" s="841" t="n"/>
      <c r="AN9" s="841" t="n"/>
      <c r="AO9" s="841" t="n"/>
      <c r="AP9" s="841" t="n"/>
      <c r="AQ9" s="841" t="n"/>
      <c r="AR9" s="841" t="n"/>
      <c r="AS9" s="840">
        <f>SUM(AR9)</f>
        <v/>
      </c>
      <c r="AT9" s="841" t="n"/>
      <c r="AU9" s="841" t="n"/>
      <c r="AV9" s="841" t="n"/>
      <c r="AW9" s="841" t="n"/>
      <c r="AX9" s="841" t="n"/>
      <c r="AY9" s="841" t="n"/>
      <c r="AZ9" s="841" t="n"/>
      <c r="BA9" s="841" t="n"/>
      <c r="BB9" s="841" t="n"/>
      <c r="BC9" s="841" t="n"/>
      <c r="BD9" s="841" t="n"/>
      <c r="BE9" s="841" t="n"/>
      <c r="BF9" s="840">
        <f>SUM(BE9)</f>
        <v/>
      </c>
      <c r="BG9" s="840">
        <f>SUM(S9,AF9,AS9,BF9)</f>
        <v/>
      </c>
      <c r="BH9" s="810" t="n"/>
      <c r="BI9" s="810" t="n"/>
    </row>
    <row r="10" ht="13.2" customHeight="1" s="586">
      <c r="B10" s="836" t="inlineStr">
        <is>
          <t>4. Communications Stream</t>
        </is>
      </c>
      <c r="C10" s="842" t="n"/>
      <c r="D10" s="838" t="n"/>
      <c r="E10" s="839" t="n"/>
      <c r="F10" s="839" t="n">
        <v>23357.2826513675</v>
      </c>
      <c r="G10" s="839" t="n">
        <v>22245.0310965405</v>
      </c>
      <c r="H10" s="839" t="n">
        <v>11122.5155482702</v>
      </c>
      <c r="I10" s="839" t="n">
        <v>4449.00621930809</v>
      </c>
      <c r="J10" s="839" t="n">
        <v>0</v>
      </c>
      <c r="K10" s="839" t="n">
        <v>0</v>
      </c>
      <c r="L10" s="839" t="n">
        <v>0</v>
      </c>
      <c r="M10" s="839" t="n">
        <v>0</v>
      </c>
      <c r="N10" s="839" t="n">
        <v>0</v>
      </c>
      <c r="O10" s="839" t="n">
        <v>0</v>
      </c>
      <c r="P10" s="839" t="n">
        <v>0</v>
      </c>
      <c r="Q10" s="839" t="n">
        <v>0</v>
      </c>
      <c r="R10" s="839" t="n">
        <v>0</v>
      </c>
      <c r="S10" s="840">
        <f>SUM(F10:R10)</f>
        <v/>
      </c>
      <c r="T10" s="841" t="n"/>
      <c r="U10" s="841" t="n"/>
      <c r="V10" s="841" t="n"/>
      <c r="W10" s="841" t="n"/>
      <c r="X10" s="841" t="n"/>
      <c r="Y10" s="841" t="n"/>
      <c r="Z10" s="841" t="n"/>
      <c r="AA10" s="841" t="n"/>
      <c r="AB10" s="841" t="n"/>
      <c r="AC10" s="841" t="n"/>
      <c r="AD10" s="841" t="n"/>
      <c r="AE10" s="841" t="n"/>
      <c r="AF10" s="840">
        <f>SUM(T10:AE10)</f>
        <v/>
      </c>
      <c r="AG10" s="841" t="n"/>
      <c r="AH10" s="841" t="n"/>
      <c r="AI10" s="841" t="n"/>
      <c r="AJ10" s="841" t="n"/>
      <c r="AK10" s="841" t="n"/>
      <c r="AL10" s="841" t="n"/>
      <c r="AM10" s="841" t="n"/>
      <c r="AN10" s="841" t="n"/>
      <c r="AO10" s="841" t="n"/>
      <c r="AP10" s="841" t="n"/>
      <c r="AQ10" s="841" t="n"/>
      <c r="AR10" s="841" t="n"/>
      <c r="AS10" s="840">
        <f>SUM(AR10)</f>
        <v/>
      </c>
      <c r="AT10" s="841" t="n"/>
      <c r="AU10" s="841" t="n"/>
      <c r="AV10" s="841" t="n"/>
      <c r="AW10" s="841" t="n"/>
      <c r="AX10" s="841" t="n"/>
      <c r="AY10" s="841" t="n"/>
      <c r="AZ10" s="841" t="n"/>
      <c r="BA10" s="841" t="n"/>
      <c r="BB10" s="841" t="n"/>
      <c r="BC10" s="841" t="n"/>
      <c r="BD10" s="841" t="n"/>
      <c r="BE10" s="841" t="n"/>
      <c r="BF10" s="840">
        <f>SUM(BE10)</f>
        <v/>
      </c>
      <c r="BG10" s="840">
        <f>SUM(S10,AF10,AS10,BF10)</f>
        <v/>
      </c>
      <c r="BH10" s="810" t="n"/>
      <c r="BI10" s="810" t="n"/>
    </row>
    <row r="11" ht="13.2" customHeight="1" s="586">
      <c r="B11" s="836" t="inlineStr">
        <is>
          <t>5. Finance and Contract Management Stream</t>
        </is>
      </c>
      <c r="C11" s="842" t="n"/>
      <c r="D11" s="838" t="n"/>
      <c r="E11" s="839" t="n"/>
      <c r="F11" s="839" t="n">
        <v>16591.0856928364</v>
      </c>
      <c r="G11" s="839" t="n">
        <v>58504.4317839014</v>
      </c>
      <c r="H11" s="839" t="n">
        <v>69070.82155475819</v>
      </c>
      <c r="I11" s="839" t="n">
        <v>69070.82155475811</v>
      </c>
      <c r="J11" s="839" t="n">
        <v>0</v>
      </c>
      <c r="K11" s="839" t="n">
        <v>0</v>
      </c>
      <c r="L11" s="839" t="n">
        <v>0</v>
      </c>
      <c r="M11" s="839" t="n">
        <v>0</v>
      </c>
      <c r="N11" s="839" t="n">
        <v>0</v>
      </c>
      <c r="O11" s="839" t="n">
        <v>0</v>
      </c>
      <c r="P11" s="839" t="n">
        <v>0</v>
      </c>
      <c r="Q11" s="839" t="n">
        <v>0</v>
      </c>
      <c r="R11" s="839" t="n">
        <v>0</v>
      </c>
      <c r="S11" s="840">
        <f>SUM(F11:R11)</f>
        <v/>
      </c>
      <c r="T11" s="841" t="n"/>
      <c r="U11" s="841" t="n"/>
      <c r="V11" s="841" t="n"/>
      <c r="W11" s="841" t="n"/>
      <c r="X11" s="841" t="n"/>
      <c r="Y11" s="841" t="n"/>
      <c r="Z11" s="841" t="n"/>
      <c r="AA11" s="841" t="n"/>
      <c r="AB11" s="841" t="n"/>
      <c r="AC11" s="841" t="n"/>
      <c r="AD11" s="841" t="n"/>
      <c r="AE11" s="841" t="n"/>
      <c r="AF11" s="840">
        <f>SUM(T11:AE11)</f>
        <v/>
      </c>
      <c r="AG11" s="841" t="n"/>
      <c r="AH11" s="841" t="n"/>
      <c r="AI11" s="841" t="n"/>
      <c r="AJ11" s="841" t="n"/>
      <c r="AK11" s="841" t="n"/>
      <c r="AL11" s="841" t="n"/>
      <c r="AM11" s="841" t="n"/>
      <c r="AN11" s="841" t="n"/>
      <c r="AO11" s="841" t="n"/>
      <c r="AP11" s="841" t="n"/>
      <c r="AQ11" s="841" t="n"/>
      <c r="AR11" s="841" t="n"/>
      <c r="AS11" s="840">
        <f>SUM(AR11)</f>
        <v/>
      </c>
      <c r="AT11" s="841" t="n"/>
      <c r="AU11" s="841" t="n"/>
      <c r="AV11" s="841" t="n"/>
      <c r="AW11" s="841" t="n"/>
      <c r="AX11" s="841" t="n"/>
      <c r="AY11" s="841" t="n"/>
      <c r="AZ11" s="841" t="n"/>
      <c r="BA11" s="841" t="n"/>
      <c r="BB11" s="841" t="n"/>
      <c r="BC11" s="841" t="n"/>
      <c r="BD11" s="841" t="n"/>
      <c r="BE11" s="841" t="n"/>
      <c r="BF11" s="840">
        <f>SUM(BE11)</f>
        <v/>
      </c>
      <c r="BG11" s="840">
        <f>SUM(S11,AF11,AS11,BF11)</f>
        <v/>
      </c>
      <c r="BH11" s="810" t="n"/>
      <c r="BI11" s="810" t="n"/>
    </row>
    <row r="12" ht="13.2" customHeight="1" s="586">
      <c r="B12" s="836" t="inlineStr">
        <is>
          <t>6. People Transfer Stream</t>
        </is>
      </c>
      <c r="C12" s="842" t="n"/>
      <c r="D12" s="838" t="n"/>
      <c r="E12" s="839" t="n"/>
      <c r="F12" s="839" t="n">
        <v>0</v>
      </c>
      <c r="G12" s="839" t="n">
        <v>51386.0218330085</v>
      </c>
      <c r="H12" s="839" t="n">
        <v>46714.565302735</v>
      </c>
      <c r="I12" s="839" t="n">
        <v>28028.739181641</v>
      </c>
      <c r="J12" s="839" t="n">
        <v>0</v>
      </c>
      <c r="K12" s="839" t="n">
        <v>0</v>
      </c>
      <c r="L12" s="839" t="n">
        <v>0</v>
      </c>
      <c r="M12" s="839" t="n">
        <v>0</v>
      </c>
      <c r="N12" s="839" t="n">
        <v>0</v>
      </c>
      <c r="O12" s="839" t="n">
        <v>0</v>
      </c>
      <c r="P12" s="839" t="n">
        <v>0</v>
      </c>
      <c r="Q12" s="839" t="n">
        <v>0</v>
      </c>
      <c r="R12" s="839" t="n">
        <v>0</v>
      </c>
      <c r="S12" s="840">
        <f>SUM(F12:R12)</f>
        <v/>
      </c>
      <c r="T12" s="841" t="n"/>
      <c r="U12" s="841" t="n"/>
      <c r="V12" s="841" t="n"/>
      <c r="W12" s="841" t="n"/>
      <c r="X12" s="841" t="n"/>
      <c r="Y12" s="841" t="n"/>
      <c r="Z12" s="841" t="n"/>
      <c r="AA12" s="841" t="n"/>
      <c r="AB12" s="841" t="n"/>
      <c r="AC12" s="841" t="n"/>
      <c r="AD12" s="841" t="n"/>
      <c r="AE12" s="841" t="n"/>
      <c r="AF12" s="840">
        <f>SUM(T12:AE12)</f>
        <v/>
      </c>
      <c r="AG12" s="841" t="n"/>
      <c r="AH12" s="841" t="n"/>
      <c r="AI12" s="841" t="n"/>
      <c r="AJ12" s="841" t="n"/>
      <c r="AK12" s="841" t="n"/>
      <c r="AL12" s="841" t="n"/>
      <c r="AM12" s="841" t="n"/>
      <c r="AN12" s="841" t="n"/>
      <c r="AO12" s="841" t="n"/>
      <c r="AP12" s="841" t="n"/>
      <c r="AQ12" s="841" t="n"/>
      <c r="AR12" s="841" t="n"/>
      <c r="AS12" s="840">
        <f>SUM(AR12)</f>
        <v/>
      </c>
      <c r="AT12" s="841" t="n"/>
      <c r="AU12" s="841" t="n"/>
      <c r="AV12" s="841" t="n"/>
      <c r="AW12" s="841" t="n"/>
      <c r="AX12" s="841" t="n"/>
      <c r="AY12" s="841" t="n"/>
      <c r="AZ12" s="841" t="n"/>
      <c r="BA12" s="841" t="n"/>
      <c r="BB12" s="841" t="n"/>
      <c r="BC12" s="841" t="n"/>
      <c r="BD12" s="841" t="n"/>
      <c r="BE12" s="841" t="n"/>
      <c r="BF12" s="840">
        <f>SUM(BE12)</f>
        <v/>
      </c>
      <c r="BG12" s="840">
        <f>SUM(S12,AF12,AS12,BF12)</f>
        <v/>
      </c>
      <c r="BH12" s="810" t="n"/>
      <c r="BI12" s="810" t="n"/>
    </row>
    <row r="13" ht="13.8" customHeight="1" s="586">
      <c r="B13" s="843" t="inlineStr">
        <is>
          <t>7. Knowledge Transfer Stream</t>
        </is>
      </c>
      <c r="C13" s="844" t="n"/>
      <c r="D13" s="845" t="n"/>
      <c r="E13" s="846" t="n"/>
      <c r="F13" s="846" t="n">
        <v>0</v>
      </c>
      <c r="G13" s="846" t="n">
        <v>23357.2826513675</v>
      </c>
      <c r="H13" s="846" t="n">
        <v>23357.2826513675</v>
      </c>
      <c r="I13" s="846" t="n">
        <v>23357.2826513675</v>
      </c>
      <c r="J13" s="846" t="n">
        <v>0</v>
      </c>
      <c r="K13" s="846" t="n">
        <v>0</v>
      </c>
      <c r="L13" s="846" t="n">
        <v>0</v>
      </c>
      <c r="M13" s="846" t="n">
        <v>0</v>
      </c>
      <c r="N13" s="846" t="n">
        <v>0</v>
      </c>
      <c r="O13" s="846" t="n">
        <v>0</v>
      </c>
      <c r="P13" s="846" t="n">
        <v>0</v>
      </c>
      <c r="Q13" s="846" t="n">
        <v>0</v>
      </c>
      <c r="R13" s="846" t="n">
        <v>0</v>
      </c>
      <c r="S13" s="847">
        <f>SUM(F13:R13)</f>
        <v/>
      </c>
      <c r="T13" s="848" t="n"/>
      <c r="U13" s="848" t="n"/>
      <c r="V13" s="848" t="n"/>
      <c r="W13" s="848" t="n"/>
      <c r="X13" s="848" t="n"/>
      <c r="Y13" s="848" t="n"/>
      <c r="Z13" s="848" t="n"/>
      <c r="AA13" s="848" t="n"/>
      <c r="AB13" s="848" t="n"/>
      <c r="AC13" s="848" t="n"/>
      <c r="AD13" s="848" t="n"/>
      <c r="AE13" s="848" t="n"/>
      <c r="AF13" s="840">
        <f>SUM(T13:AE13)</f>
        <v/>
      </c>
      <c r="AG13" s="848" t="n"/>
      <c r="AH13" s="848" t="n"/>
      <c r="AI13" s="848" t="n"/>
      <c r="AJ13" s="848" t="n"/>
      <c r="AK13" s="848" t="n"/>
      <c r="AL13" s="848" t="n"/>
      <c r="AM13" s="848" t="n"/>
      <c r="AN13" s="848" t="n"/>
      <c r="AO13" s="848" t="n"/>
      <c r="AP13" s="848" t="n"/>
      <c r="AQ13" s="848" t="n"/>
      <c r="AR13" s="848" t="n"/>
      <c r="AS13" s="847">
        <f>SUM(AR13)</f>
        <v/>
      </c>
      <c r="AT13" s="848" t="n"/>
      <c r="AU13" s="848" t="n"/>
      <c r="AV13" s="848" t="n"/>
      <c r="AW13" s="848" t="n"/>
      <c r="AX13" s="848" t="n"/>
      <c r="AY13" s="848" t="n"/>
      <c r="AZ13" s="848" t="n"/>
      <c r="BA13" s="848" t="n"/>
      <c r="BB13" s="848" t="n"/>
      <c r="BC13" s="848" t="n"/>
      <c r="BD13" s="848" t="n"/>
      <c r="BE13" s="848" t="n"/>
      <c r="BF13" s="847">
        <f>SUM(BE13)</f>
        <v/>
      </c>
      <c r="BG13" s="840">
        <f>SUM(S13,AF13,AS13,BF13)</f>
        <v/>
      </c>
      <c r="BH13" s="810" t="n"/>
      <c r="BI13" s="810" t="n"/>
    </row>
    <row r="14" ht="13.8" customHeight="1" s="586">
      <c r="B14" s="849" t="inlineStr">
        <is>
          <t>TOTAL</t>
        </is>
      </c>
      <c r="C14" s="850" t="n"/>
      <c r="D14" s="850" t="n"/>
      <c r="E14" s="851" t="n">
        <v>0</v>
      </c>
      <c r="F14" s="851">
        <f>SUM(F7:F13)</f>
        <v/>
      </c>
      <c r="G14" s="851">
        <f>SUM(G7:G13)</f>
        <v/>
      </c>
      <c r="H14" s="851">
        <f>SUM(H7:H13)</f>
        <v/>
      </c>
      <c r="I14" s="851">
        <f>SUM(I7:I13)</f>
        <v/>
      </c>
      <c r="J14" s="851">
        <f>SUM(J7:J13)</f>
        <v/>
      </c>
      <c r="K14" s="851">
        <f>SUM(K7:K13)</f>
        <v/>
      </c>
      <c r="L14" s="851">
        <f>SUM(L7:L13)</f>
        <v/>
      </c>
      <c r="M14" s="851">
        <f>SUM(M7:M13)</f>
        <v/>
      </c>
      <c r="N14" s="851">
        <f>SUM(N7:N13)</f>
        <v/>
      </c>
      <c r="O14" s="851">
        <f>SUM(O7:O13)</f>
        <v/>
      </c>
      <c r="P14" s="851">
        <f>SUM(P7:P13)</f>
        <v/>
      </c>
      <c r="Q14" s="851">
        <f>SUM(Q7:Q13)</f>
        <v/>
      </c>
      <c r="R14" s="851">
        <f>SUM(R7:R13)</f>
        <v/>
      </c>
      <c r="S14" s="852">
        <f>SUM(F14:R14)</f>
        <v/>
      </c>
      <c r="T14" s="851">
        <f>SUM(T7:T13)</f>
        <v/>
      </c>
      <c r="U14" s="851">
        <f>SUM(U7:U13)</f>
        <v/>
      </c>
      <c r="V14" s="851">
        <f>SUM(V7:V13)</f>
        <v/>
      </c>
      <c r="W14" s="851">
        <f>SUM(W7:W13)</f>
        <v/>
      </c>
      <c r="X14" s="851">
        <f>SUM(X7:X13)</f>
        <v/>
      </c>
      <c r="Y14" s="851">
        <f>SUM(Y7:Y13)</f>
        <v/>
      </c>
      <c r="Z14" s="851">
        <f>SUM(Z7:Z13)</f>
        <v/>
      </c>
      <c r="AA14" s="851">
        <f>SUM(AA7:AA13)</f>
        <v/>
      </c>
      <c r="AB14" s="851">
        <f>SUM(AB7:AB13)</f>
        <v/>
      </c>
      <c r="AC14" s="851">
        <f>SUM(AC7:AC13)</f>
        <v/>
      </c>
      <c r="AD14" s="851">
        <f>SUM(AD7:AD13)</f>
        <v/>
      </c>
      <c r="AE14" s="851">
        <f>SUM(AE7:AE13)</f>
        <v/>
      </c>
      <c r="AF14" s="852">
        <f>SUM(AE14)</f>
        <v/>
      </c>
      <c r="AG14" s="851">
        <f>SUM(AG7:AG13)</f>
        <v/>
      </c>
      <c r="AH14" s="851">
        <f>SUM(AH7:AH13)</f>
        <v/>
      </c>
      <c r="AI14" s="851">
        <f>SUM(AI7:AI13)</f>
        <v/>
      </c>
      <c r="AJ14" s="851">
        <f>SUM(AJ7:AJ13)</f>
        <v/>
      </c>
      <c r="AK14" s="851">
        <f>SUM(AK7:AK13)</f>
        <v/>
      </c>
      <c r="AL14" s="851">
        <f>SUM(AL7:AL13)</f>
        <v/>
      </c>
      <c r="AM14" s="851">
        <f>SUM(AM7:AM13)</f>
        <v/>
      </c>
      <c r="AN14" s="851">
        <f>SUM(AN7:AN13)</f>
        <v/>
      </c>
      <c r="AO14" s="851">
        <f>SUM(AO7:AO13)</f>
        <v/>
      </c>
      <c r="AP14" s="851">
        <f>SUM(AP7:AP13)</f>
        <v/>
      </c>
      <c r="AQ14" s="851">
        <f>SUM(AQ7:AQ13)</f>
        <v/>
      </c>
      <c r="AR14" s="851">
        <f>SUM(AR7:AR13)</f>
        <v/>
      </c>
      <c r="AS14" s="852">
        <f>SUM(AR14)</f>
        <v/>
      </c>
      <c r="AT14" s="851">
        <f>SUM(AT7:AT13)</f>
        <v/>
      </c>
      <c r="AU14" s="851">
        <f>SUM(AU7:AU13)</f>
        <v/>
      </c>
      <c r="AV14" s="851">
        <f>SUM(AV7:AV13)</f>
        <v/>
      </c>
      <c r="AW14" s="851">
        <f>SUM(AW7:AW13)</f>
        <v/>
      </c>
      <c r="AX14" s="851">
        <f>SUM(AX7:AX13)</f>
        <v/>
      </c>
      <c r="AY14" s="851">
        <f>SUM(AY7:AY13)</f>
        <v/>
      </c>
      <c r="AZ14" s="851">
        <f>SUM(AZ7:AZ13)</f>
        <v/>
      </c>
      <c r="BA14" s="851">
        <f>SUM(BA7:BA13)</f>
        <v/>
      </c>
      <c r="BB14" s="851">
        <f>SUM(BB7:BB13)</f>
        <v/>
      </c>
      <c r="BC14" s="851">
        <f>SUM(BC7:BC13)</f>
        <v/>
      </c>
      <c r="BD14" s="851">
        <f>SUM(BD7:BD13)</f>
        <v/>
      </c>
      <c r="BE14" s="851">
        <f>SUM(BE7:BE13)</f>
        <v/>
      </c>
      <c r="BF14" s="852">
        <f>SUM(BE14)</f>
        <v/>
      </c>
      <c r="BG14" s="853">
        <f>SUM(BG7:BG13)</f>
        <v/>
      </c>
      <c r="BI14" s="810" t="n"/>
    </row>
    <row r="15" ht="13.2" customHeight="1" s="586">
      <c r="B15" s="805" t="n"/>
      <c r="C15" s="854" t="n"/>
      <c r="D15" s="854" t="n"/>
      <c r="E15" s="812" t="n"/>
      <c r="F15" s="812" t="n"/>
      <c r="G15" s="812" t="n"/>
      <c r="H15" s="812" t="n"/>
      <c r="I15" s="812" t="n"/>
      <c r="J15" s="812" t="n"/>
      <c r="K15" s="812" t="n"/>
      <c r="L15" s="812" t="n"/>
      <c r="M15" s="812" t="n"/>
      <c r="N15" s="812" t="n"/>
      <c r="O15" s="812" t="n"/>
      <c r="P15" s="812" t="n"/>
      <c r="Q15" s="812" t="n"/>
      <c r="R15" s="812" t="n"/>
      <c r="T15" s="809" t="n"/>
      <c r="U15" s="809" t="n"/>
      <c r="V15" s="809" t="n"/>
      <c r="W15" s="809" t="n"/>
      <c r="X15" s="809" t="n"/>
      <c r="Y15" s="809" t="n"/>
      <c r="Z15" s="809" t="n"/>
      <c r="AA15" s="809" t="n"/>
      <c r="AB15" s="809" t="n"/>
      <c r="AC15" s="809" t="n"/>
      <c r="AD15" s="809" t="n"/>
      <c r="AE15" s="809" t="n"/>
      <c r="AG15" s="809" t="n"/>
      <c r="AH15" s="809" t="n"/>
      <c r="AI15" s="809" t="n"/>
      <c r="AJ15" s="809" t="n"/>
      <c r="AK15" s="809" t="n"/>
      <c r="AL15" s="809" t="n"/>
      <c r="AM15" s="809" t="n"/>
      <c r="AN15" s="809" t="n"/>
      <c r="AO15" s="809" t="n"/>
      <c r="AP15" s="809" t="n"/>
      <c r="AQ15" s="809" t="n"/>
      <c r="AR15" s="809" t="n"/>
      <c r="AT15" s="809" t="n"/>
      <c r="AU15" s="809" t="n"/>
      <c r="AV15" s="809" t="n"/>
      <c r="AW15" s="809" t="n"/>
      <c r="AX15" s="809" t="n"/>
      <c r="AY15" s="809" t="n"/>
      <c r="AZ15" s="809" t="n"/>
      <c r="BA15" s="809" t="n"/>
      <c r="BB15" s="809" t="n"/>
      <c r="BC15" s="809" t="n"/>
      <c r="BD15" s="809" t="n"/>
      <c r="BE15" s="809" t="n"/>
      <c r="BG15" s="809" t="n"/>
      <c r="BH15" s="810" t="n"/>
    </row>
    <row r="16" ht="13.8" customHeight="1" s="586">
      <c r="B16" s="813" t="n"/>
      <c r="E16" s="815" t="inlineStr">
        <is>
          <t>HR prep</t>
        </is>
      </c>
      <c r="F16" s="816" t="inlineStr">
        <is>
          <t>Prep</t>
        </is>
      </c>
      <c r="G16" s="817" t="n"/>
      <c r="H16" s="815" t="inlineStr">
        <is>
          <t>Transition</t>
        </is>
      </c>
      <c r="I16" s="818" t="n"/>
      <c r="J16" s="817" t="n"/>
      <c r="K16" s="817" t="n"/>
      <c r="L16" s="815" t="n"/>
      <c r="M16" s="815" t="n"/>
      <c r="N16" s="817" t="n"/>
      <c r="O16" s="815" t="n"/>
    </row>
    <row r="17" ht="13.2" customHeight="1" s="586">
      <c r="A17" s="855" t="n"/>
      <c r="B17" s="856" t="inlineStr">
        <is>
          <t>2IM</t>
        </is>
      </c>
      <c r="C17" s="857" t="n"/>
      <c r="D17" s="820" t="n"/>
      <c r="E17" s="821" t="inlineStr">
        <is>
          <t>Month -1</t>
        </is>
      </c>
      <c r="F17" s="821" t="inlineStr">
        <is>
          <t>Month 0</t>
        </is>
      </c>
      <c r="G17" s="821" t="inlineStr">
        <is>
          <t>Month 1</t>
        </is>
      </c>
      <c r="H17" s="822" t="inlineStr">
        <is>
          <t>Month 2</t>
        </is>
      </c>
      <c r="I17" s="822" t="inlineStr">
        <is>
          <t>Month 3</t>
        </is>
      </c>
      <c r="J17" s="822" t="inlineStr">
        <is>
          <t>Month 4</t>
        </is>
      </c>
      <c r="K17" s="822" t="inlineStr">
        <is>
          <t>Month 5</t>
        </is>
      </c>
      <c r="L17" s="822" t="inlineStr">
        <is>
          <t>Month 6</t>
        </is>
      </c>
      <c r="M17" s="822" t="inlineStr">
        <is>
          <t>Month 7</t>
        </is>
      </c>
      <c r="N17" s="822" t="inlineStr">
        <is>
          <t>Month 8</t>
        </is>
      </c>
      <c r="O17" s="822" t="inlineStr">
        <is>
          <t>Month 9</t>
        </is>
      </c>
      <c r="P17" s="822" t="inlineStr">
        <is>
          <t>Month 10</t>
        </is>
      </c>
      <c r="Q17" s="822" t="inlineStr">
        <is>
          <t>Month 11</t>
        </is>
      </c>
      <c r="R17" s="822" t="inlineStr">
        <is>
          <t>Month 12</t>
        </is>
      </c>
      <c r="S17" s="821" t="n"/>
      <c r="T17" s="822" t="inlineStr">
        <is>
          <t>Month 13</t>
        </is>
      </c>
      <c r="U17" s="822" t="inlineStr">
        <is>
          <t>Month 14</t>
        </is>
      </c>
      <c r="V17" s="822" t="inlineStr">
        <is>
          <t>Month 15</t>
        </is>
      </c>
      <c r="W17" s="822" t="inlineStr">
        <is>
          <t>Month 16</t>
        </is>
      </c>
      <c r="X17" s="822" t="inlineStr">
        <is>
          <t>Month 17</t>
        </is>
      </c>
      <c r="Y17" s="822" t="inlineStr">
        <is>
          <t>Month 18</t>
        </is>
      </c>
      <c r="Z17" s="822" t="inlineStr">
        <is>
          <t>Month 19</t>
        </is>
      </c>
      <c r="AA17" s="822" t="inlineStr">
        <is>
          <t>Month 20</t>
        </is>
      </c>
      <c r="AB17" s="822" t="inlineStr">
        <is>
          <t>Month 21</t>
        </is>
      </c>
      <c r="AC17" s="822" t="inlineStr">
        <is>
          <t>Month 22</t>
        </is>
      </c>
      <c r="AD17" s="822" t="inlineStr">
        <is>
          <t>Month 23</t>
        </is>
      </c>
      <c r="AE17" s="822" t="inlineStr">
        <is>
          <t>Month 24</t>
        </is>
      </c>
      <c r="AF17" s="822" t="n"/>
      <c r="AG17" s="822" t="inlineStr">
        <is>
          <t>Month 25</t>
        </is>
      </c>
      <c r="AH17" s="822" t="inlineStr">
        <is>
          <t>Month 26</t>
        </is>
      </c>
      <c r="AI17" s="822" t="inlineStr">
        <is>
          <t>Month 27</t>
        </is>
      </c>
      <c r="AJ17" s="822" t="inlineStr">
        <is>
          <t>Month 28</t>
        </is>
      </c>
      <c r="AK17" s="822" t="inlineStr">
        <is>
          <t>Month 29</t>
        </is>
      </c>
      <c r="AL17" s="822" t="inlineStr">
        <is>
          <t>Month 30</t>
        </is>
      </c>
      <c r="AM17" s="822" t="inlineStr">
        <is>
          <t>Month 31</t>
        </is>
      </c>
      <c r="AN17" s="822" t="inlineStr">
        <is>
          <t>Month 32</t>
        </is>
      </c>
      <c r="AO17" s="822" t="inlineStr">
        <is>
          <t>Month 33</t>
        </is>
      </c>
      <c r="AP17" s="822" t="inlineStr">
        <is>
          <t>Month 34</t>
        </is>
      </c>
      <c r="AQ17" s="822" t="inlineStr">
        <is>
          <t>Month 35</t>
        </is>
      </c>
      <c r="AR17" s="822" t="inlineStr">
        <is>
          <t>Month 36</t>
        </is>
      </c>
      <c r="AS17" s="822" t="n"/>
      <c r="AT17" s="822" t="inlineStr">
        <is>
          <t>Month 37</t>
        </is>
      </c>
      <c r="AU17" s="822" t="inlineStr">
        <is>
          <t>Month 38</t>
        </is>
      </c>
      <c r="AV17" s="822" t="inlineStr">
        <is>
          <t>Month 39</t>
        </is>
      </c>
      <c r="AW17" s="822" t="inlineStr">
        <is>
          <t>Month 40</t>
        </is>
      </c>
      <c r="AX17" s="822" t="inlineStr">
        <is>
          <t>Month 41</t>
        </is>
      </c>
      <c r="AY17" s="822" t="inlineStr">
        <is>
          <t>Month 42</t>
        </is>
      </c>
      <c r="AZ17" s="822" t="inlineStr">
        <is>
          <t>Month 43</t>
        </is>
      </c>
      <c r="BA17" s="822" t="inlineStr">
        <is>
          <t>Month 44</t>
        </is>
      </c>
      <c r="BB17" s="822" t="inlineStr">
        <is>
          <t>Month 45</t>
        </is>
      </c>
      <c r="BC17" s="822" t="inlineStr">
        <is>
          <t>Month 46</t>
        </is>
      </c>
      <c r="BD17" s="822" t="inlineStr">
        <is>
          <t>Month 47</t>
        </is>
      </c>
      <c r="BE17" s="822" t="inlineStr">
        <is>
          <t>Month 48</t>
        </is>
      </c>
      <c r="BF17" s="822" t="n"/>
      <c r="BG17" s="822" t="n"/>
    </row>
    <row r="18" ht="14.4" customHeight="1" s="586">
      <c r="A18" s="858" t="n"/>
      <c r="B18" s="859" t="n"/>
      <c r="C18" s="860" t="n"/>
      <c r="D18" s="824" t="n"/>
      <c r="E18" s="825" t="inlineStr">
        <is>
          <t>FTE's</t>
        </is>
      </c>
      <c r="F18" s="825" t="inlineStr">
        <is>
          <t>FTE's</t>
        </is>
      </c>
      <c r="G18" s="825" t="inlineStr">
        <is>
          <t>FTE's</t>
        </is>
      </c>
      <c r="H18" s="825" t="inlineStr">
        <is>
          <t>FTE's</t>
        </is>
      </c>
      <c r="I18" s="825" t="inlineStr">
        <is>
          <t>FTE's</t>
        </is>
      </c>
      <c r="J18" s="825" t="inlineStr">
        <is>
          <t>FTE's</t>
        </is>
      </c>
      <c r="K18" s="825" t="inlineStr">
        <is>
          <t>FTE's</t>
        </is>
      </c>
      <c r="L18" s="825" t="inlineStr">
        <is>
          <t>FTE's</t>
        </is>
      </c>
      <c r="M18" s="825" t="inlineStr">
        <is>
          <t>FTE's</t>
        </is>
      </c>
      <c r="N18" s="825" t="inlineStr">
        <is>
          <t>FTE's</t>
        </is>
      </c>
      <c r="O18" s="825" t="inlineStr">
        <is>
          <t>FTE's</t>
        </is>
      </c>
      <c r="P18" s="825" t="inlineStr">
        <is>
          <t>FTE's</t>
        </is>
      </c>
      <c r="Q18" s="825" t="inlineStr">
        <is>
          <t>FTE's</t>
        </is>
      </c>
      <c r="R18" s="825" t="inlineStr">
        <is>
          <t>FTE's</t>
        </is>
      </c>
      <c r="S18" s="825" t="n"/>
      <c r="T18" s="825" t="inlineStr">
        <is>
          <t>FTE's</t>
        </is>
      </c>
      <c r="U18" s="825" t="inlineStr">
        <is>
          <t>FTE's</t>
        </is>
      </c>
      <c r="V18" s="825" t="inlineStr">
        <is>
          <t>FTE's</t>
        </is>
      </c>
      <c r="W18" s="825" t="inlineStr">
        <is>
          <t>FTE's</t>
        </is>
      </c>
      <c r="X18" s="825" t="inlineStr">
        <is>
          <t>FTE's</t>
        </is>
      </c>
      <c r="Y18" s="825" t="inlineStr">
        <is>
          <t>FTE's</t>
        </is>
      </c>
      <c r="Z18" s="825" t="inlineStr">
        <is>
          <t>FTE's</t>
        </is>
      </c>
      <c r="AA18" s="825" t="inlineStr">
        <is>
          <t>FTE's</t>
        </is>
      </c>
      <c r="AB18" s="825" t="inlineStr">
        <is>
          <t>FTE's</t>
        </is>
      </c>
      <c r="AC18" s="825" t="inlineStr">
        <is>
          <t>FTE's</t>
        </is>
      </c>
      <c r="AD18" s="825" t="inlineStr">
        <is>
          <t>FTE's</t>
        </is>
      </c>
      <c r="AE18" s="825" t="inlineStr">
        <is>
          <t>FTE's</t>
        </is>
      </c>
      <c r="AF18" s="825" t="n"/>
      <c r="AG18" s="825" t="inlineStr">
        <is>
          <t>FTE's</t>
        </is>
      </c>
      <c r="AH18" s="825" t="inlineStr">
        <is>
          <t>FTE's</t>
        </is>
      </c>
      <c r="AI18" s="825" t="inlineStr">
        <is>
          <t>FTE's</t>
        </is>
      </c>
      <c r="AJ18" s="825" t="inlineStr">
        <is>
          <t>FTE's</t>
        </is>
      </c>
      <c r="AK18" s="825" t="inlineStr">
        <is>
          <t>FTE's</t>
        </is>
      </c>
      <c r="AL18" s="825" t="inlineStr">
        <is>
          <t>FTE's</t>
        </is>
      </c>
      <c r="AM18" s="825" t="inlineStr">
        <is>
          <t>FTE's</t>
        </is>
      </c>
      <c r="AN18" s="825" t="inlineStr">
        <is>
          <t>FTE's</t>
        </is>
      </c>
      <c r="AO18" s="825" t="inlineStr">
        <is>
          <t>FTE's</t>
        </is>
      </c>
      <c r="AP18" s="825" t="inlineStr">
        <is>
          <t>FTE's</t>
        </is>
      </c>
      <c r="AQ18" s="825" t="inlineStr">
        <is>
          <t>FTE's</t>
        </is>
      </c>
      <c r="AR18" s="825" t="inlineStr">
        <is>
          <t>FTE's</t>
        </is>
      </c>
      <c r="AS18" s="825" t="n"/>
      <c r="AT18" s="825" t="inlineStr">
        <is>
          <t>FTE's</t>
        </is>
      </c>
      <c r="AU18" s="825" t="inlineStr">
        <is>
          <t>FTE's</t>
        </is>
      </c>
      <c r="AV18" s="825" t="inlineStr">
        <is>
          <t>FTE's</t>
        </is>
      </c>
      <c r="AW18" s="825" t="inlineStr">
        <is>
          <t>FTE's</t>
        </is>
      </c>
      <c r="AX18" s="825" t="inlineStr">
        <is>
          <t>FTE's</t>
        </is>
      </c>
      <c r="AY18" s="825" t="inlineStr">
        <is>
          <t>FTE's</t>
        </is>
      </c>
      <c r="AZ18" s="825" t="inlineStr">
        <is>
          <t>FTE's</t>
        </is>
      </c>
      <c r="BA18" s="825" t="inlineStr">
        <is>
          <t>FTE's</t>
        </is>
      </c>
      <c r="BB18" s="825" t="inlineStr">
        <is>
          <t>FTE's</t>
        </is>
      </c>
      <c r="BC18" s="825" t="inlineStr">
        <is>
          <t>FTE's</t>
        </is>
      </c>
      <c r="BD18" s="825" t="inlineStr">
        <is>
          <t>FTE's</t>
        </is>
      </c>
      <c r="BE18" s="825" t="inlineStr">
        <is>
          <t>FTE's</t>
        </is>
      </c>
      <c r="BF18" s="825" t="n"/>
      <c r="BG18" s="825" t="n"/>
    </row>
    <row r="19" ht="13.2" customHeight="1" s="586">
      <c r="A19" s="858" t="n"/>
      <c r="B19" s="827" t="n"/>
      <c r="C19" s="861" t="n"/>
      <c r="D19" s="862" t="n"/>
      <c r="E19" s="830" t="n"/>
      <c r="F19" s="830" t="n"/>
      <c r="G19" s="830" t="n"/>
      <c r="H19" s="832" t="n"/>
      <c r="I19" s="832" t="n"/>
      <c r="J19" s="832" t="n"/>
      <c r="K19" s="832" t="n"/>
      <c r="L19" s="832" t="n"/>
      <c r="M19" s="832" t="n"/>
      <c r="N19" s="832" t="n"/>
      <c r="O19" s="832" t="n"/>
      <c r="P19" s="832" t="n"/>
      <c r="Q19" s="832" t="n"/>
      <c r="R19" s="832" t="n"/>
      <c r="S19" s="833" t="n"/>
      <c r="T19" s="832" t="n"/>
      <c r="U19" s="832" t="n"/>
      <c r="V19" s="832" t="n"/>
      <c r="W19" s="832" t="n"/>
      <c r="X19" s="832" t="n"/>
      <c r="Y19" s="832" t="n"/>
      <c r="Z19" s="832" t="n"/>
      <c r="AA19" s="832" t="n"/>
      <c r="AB19" s="832" t="n"/>
      <c r="AC19" s="832" t="n"/>
      <c r="AD19" s="832" t="n"/>
      <c r="AE19" s="832" t="n"/>
      <c r="AF19" s="834" t="n"/>
      <c r="AG19" s="832" t="n"/>
      <c r="AH19" s="832" t="n"/>
      <c r="AI19" s="832" t="n"/>
      <c r="AJ19" s="832" t="n"/>
      <c r="AK19" s="832" t="n"/>
      <c r="AL19" s="832" t="n"/>
      <c r="AM19" s="832" t="n"/>
      <c r="AN19" s="832" t="n"/>
      <c r="AO19" s="832" t="n"/>
      <c r="AP19" s="832" t="n"/>
      <c r="AQ19" s="832" t="n"/>
      <c r="AR19" s="832" t="n"/>
      <c r="AS19" s="834" t="n"/>
      <c r="AT19" s="832" t="n"/>
      <c r="AU19" s="832" t="n"/>
      <c r="AV19" s="832" t="n"/>
      <c r="AW19" s="832" t="n"/>
      <c r="AX19" s="832" t="n"/>
      <c r="AY19" s="832" t="n"/>
      <c r="AZ19" s="832" t="n"/>
      <c r="BA19" s="832" t="n"/>
      <c r="BB19" s="832" t="n"/>
      <c r="BC19" s="832" t="n"/>
      <c r="BD19" s="832" t="n"/>
      <c r="BE19" s="832" t="n"/>
      <c r="BF19" s="834" t="n"/>
      <c r="BG19" s="832" t="n"/>
    </row>
    <row r="20" ht="13.2" customHeight="1" s="586">
      <c r="A20" s="858" t="n"/>
      <c r="B20" s="836" t="inlineStr">
        <is>
          <t>1. Transition Program Management Stream</t>
        </is>
      </c>
      <c r="C20" s="863" t="inlineStr">
        <is>
          <t xml:space="preserve"> </t>
        </is>
      </c>
      <c r="D20" s="864" t="n"/>
      <c r="E20" s="865" t="n">
        <v>0</v>
      </c>
      <c r="F20" s="865" t="n">
        <v>4.19047619047619</v>
      </c>
      <c r="G20" s="865" t="n">
        <v>1.9047619047619</v>
      </c>
      <c r="H20" s="865" t="n">
        <v>1.9047619047619</v>
      </c>
      <c r="I20" s="865" t="n">
        <v>1.9047619047619</v>
      </c>
      <c r="J20" s="865" t="n"/>
      <c r="K20" s="865" t="n"/>
      <c r="L20" s="865" t="n"/>
      <c r="M20" s="865" t="n"/>
      <c r="N20" s="865" t="n"/>
      <c r="O20" s="865" t="n"/>
      <c r="P20" s="865" t="n"/>
      <c r="Q20" s="865" t="n"/>
      <c r="R20" s="865" t="n"/>
      <c r="S20" s="840" t="n"/>
      <c r="T20" s="841" t="n"/>
      <c r="U20" s="841" t="n"/>
      <c r="V20" s="841" t="n"/>
      <c r="W20" s="841" t="n"/>
      <c r="X20" s="841" t="n"/>
      <c r="Y20" s="841" t="n"/>
      <c r="Z20" s="841" t="n"/>
      <c r="AA20" s="841" t="n"/>
      <c r="AB20" s="841" t="n"/>
      <c r="AC20" s="841" t="n"/>
      <c r="AD20" s="841" t="n"/>
      <c r="AE20" s="841" t="n"/>
      <c r="AF20" s="866" t="n"/>
      <c r="AG20" s="841" t="n"/>
      <c r="AH20" s="841" t="n"/>
      <c r="AI20" s="841" t="n"/>
      <c r="AJ20" s="841" t="n"/>
      <c r="AK20" s="841" t="n"/>
      <c r="AL20" s="841" t="n"/>
      <c r="AM20" s="841" t="n"/>
      <c r="AN20" s="841" t="n"/>
      <c r="AO20" s="841" t="n"/>
      <c r="AP20" s="841" t="n"/>
      <c r="AQ20" s="841" t="n"/>
      <c r="AR20" s="841" t="n"/>
      <c r="AS20" s="866" t="n"/>
      <c r="AT20" s="841" t="n"/>
      <c r="AU20" s="841" t="n"/>
      <c r="AV20" s="841" t="n"/>
      <c r="AW20" s="841" t="n"/>
      <c r="AX20" s="841" t="n"/>
      <c r="AY20" s="841" t="n"/>
      <c r="AZ20" s="841" t="n"/>
      <c r="BA20" s="841" t="n"/>
      <c r="BB20" s="841" t="n"/>
      <c r="BC20" s="841" t="n"/>
      <c r="BD20" s="841" t="n"/>
      <c r="BE20" s="841" t="n"/>
      <c r="BF20" s="866" t="n"/>
      <c r="BG20" s="841" t="n"/>
    </row>
    <row r="21" ht="13.2" customHeight="1" s="586">
      <c r="A21" s="858" t="n"/>
      <c r="B21" s="836" t="inlineStr">
        <is>
          <t>2. Service Management Stream</t>
        </is>
      </c>
      <c r="C21" s="863" t="inlineStr">
        <is>
          <t xml:space="preserve"> </t>
        </is>
      </c>
      <c r="D21" s="864" t="n"/>
      <c r="E21" s="865" t="n">
        <v>0</v>
      </c>
      <c r="F21" s="865" t="n">
        <v>0</v>
      </c>
      <c r="G21" s="865" t="n">
        <v>4.35714285714286</v>
      </c>
      <c r="H21" s="865" t="n">
        <v>5.30952380952381</v>
      </c>
      <c r="I21" s="865" t="n">
        <v>5.26190476190476</v>
      </c>
      <c r="J21" s="865" t="n"/>
      <c r="K21" s="865" t="n"/>
      <c r="L21" s="865" t="n"/>
      <c r="M21" s="865" t="n"/>
      <c r="N21" s="865" t="n"/>
      <c r="O21" s="865" t="n"/>
      <c r="P21" s="865" t="n"/>
      <c r="Q21" s="865" t="n"/>
      <c r="R21" s="865" t="n"/>
      <c r="S21" s="840" t="n"/>
      <c r="T21" s="841" t="n"/>
      <c r="U21" s="841" t="n"/>
      <c r="V21" s="841" t="n"/>
      <c r="W21" s="841" t="n"/>
      <c r="X21" s="841" t="n"/>
      <c r="Y21" s="841" t="n"/>
      <c r="Z21" s="841" t="n"/>
      <c r="AA21" s="841" t="n"/>
      <c r="AB21" s="841" t="n"/>
      <c r="AC21" s="841" t="n"/>
      <c r="AD21" s="841" t="n"/>
      <c r="AE21" s="841" t="n"/>
      <c r="AF21" s="866" t="n"/>
      <c r="AG21" s="841" t="n"/>
      <c r="AH21" s="841" t="n"/>
      <c r="AI21" s="841" t="n"/>
      <c r="AJ21" s="841" t="n"/>
      <c r="AK21" s="841" t="n"/>
      <c r="AL21" s="841" t="n"/>
      <c r="AM21" s="841" t="n"/>
      <c r="AN21" s="841" t="n"/>
      <c r="AO21" s="841" t="n"/>
      <c r="AP21" s="841" t="n"/>
      <c r="AQ21" s="841" t="n"/>
      <c r="AR21" s="841" t="n"/>
      <c r="AS21" s="866" t="n"/>
      <c r="AT21" s="841" t="n"/>
      <c r="AU21" s="841" t="n"/>
      <c r="AV21" s="841" t="n"/>
      <c r="AW21" s="841" t="n"/>
      <c r="AX21" s="841" t="n"/>
      <c r="AY21" s="841" t="n"/>
      <c r="AZ21" s="841" t="n"/>
      <c r="BA21" s="841" t="n"/>
      <c r="BB21" s="841" t="n"/>
      <c r="BC21" s="841" t="n"/>
      <c r="BD21" s="841" t="n"/>
      <c r="BE21" s="841" t="n"/>
      <c r="BF21" s="866" t="n"/>
      <c r="BG21" s="841" t="n"/>
    </row>
    <row r="22" ht="13.2" customHeight="1" s="586">
      <c r="A22" s="858" t="n"/>
      <c r="B22" s="836" t="inlineStr">
        <is>
          <t>3. Unit Operations Stream</t>
        </is>
      </c>
      <c r="C22" s="863" t="inlineStr">
        <is>
          <t xml:space="preserve"> </t>
        </is>
      </c>
      <c r="D22" s="864" t="n"/>
      <c r="E22" s="865" t="n">
        <v>0</v>
      </c>
      <c r="F22" s="865" t="n">
        <v>0</v>
      </c>
      <c r="G22" s="865" t="n">
        <v>4.76190476190476</v>
      </c>
      <c r="H22" s="865" t="n">
        <v>6.21428571428571</v>
      </c>
      <c r="I22" s="865" t="n">
        <v>6.16666666666667</v>
      </c>
      <c r="J22" s="865" t="n"/>
      <c r="K22" s="865" t="n"/>
      <c r="L22" s="865" t="n"/>
      <c r="M22" s="865" t="n"/>
      <c r="N22" s="865" t="n"/>
      <c r="O22" s="865" t="n"/>
      <c r="P22" s="865" t="n"/>
      <c r="Q22" s="865" t="n"/>
      <c r="R22" s="865" t="n"/>
      <c r="S22" s="840" t="n"/>
      <c r="T22" s="841" t="n"/>
      <c r="U22" s="841" t="n"/>
      <c r="V22" s="841" t="n"/>
      <c r="W22" s="841" t="n"/>
      <c r="X22" s="841" t="n"/>
      <c r="Y22" s="841" t="n"/>
      <c r="Z22" s="841" t="n"/>
      <c r="AA22" s="841" t="n"/>
      <c r="AB22" s="841" t="n"/>
      <c r="AC22" s="841" t="n"/>
      <c r="AD22" s="841" t="n"/>
      <c r="AE22" s="841" t="n"/>
      <c r="AF22" s="866" t="n"/>
      <c r="AG22" s="841" t="n"/>
      <c r="AH22" s="841" t="n"/>
      <c r="AI22" s="841" t="n"/>
      <c r="AJ22" s="841" t="n"/>
      <c r="AK22" s="841" t="n"/>
      <c r="AL22" s="841" t="n"/>
      <c r="AM22" s="841" t="n"/>
      <c r="AN22" s="841" t="n"/>
      <c r="AO22" s="841" t="n"/>
      <c r="AP22" s="841" t="n"/>
      <c r="AQ22" s="841" t="n"/>
      <c r="AR22" s="841" t="n"/>
      <c r="AS22" s="866" t="n"/>
      <c r="AT22" s="841" t="n"/>
      <c r="AU22" s="841" t="n"/>
      <c r="AV22" s="841" t="n"/>
      <c r="AW22" s="841" t="n"/>
      <c r="AX22" s="841" t="n"/>
      <c r="AY22" s="841" t="n"/>
      <c r="AZ22" s="841" t="n"/>
      <c r="BA22" s="841" t="n"/>
      <c r="BB22" s="841" t="n"/>
      <c r="BC22" s="841" t="n"/>
      <c r="BD22" s="841" t="n"/>
      <c r="BE22" s="841" t="n"/>
      <c r="BF22" s="866" t="n"/>
      <c r="BG22" s="841" t="n"/>
    </row>
    <row r="23" ht="13.2" customHeight="1" s="586">
      <c r="A23" s="858" t="n"/>
      <c r="B23" s="836" t="inlineStr">
        <is>
          <t>4. Communications Stream</t>
        </is>
      </c>
      <c r="C23" s="863" t="inlineStr">
        <is>
          <t xml:space="preserve"> </t>
        </is>
      </c>
      <c r="D23" s="864" t="n"/>
      <c r="E23" s="865" t="n">
        <v>0</v>
      </c>
      <c r="F23" s="865" t="n">
        <v>1</v>
      </c>
      <c r="G23" s="865" t="n">
        <v>0.952380952380952</v>
      </c>
      <c r="H23" s="865" t="n">
        <v>0.476190476190476</v>
      </c>
      <c r="I23" s="865" t="n">
        <v>0.19047619047619</v>
      </c>
      <c r="J23" s="865" t="n"/>
      <c r="K23" s="865" t="n"/>
      <c r="L23" s="865" t="n"/>
      <c r="M23" s="865" t="n"/>
      <c r="N23" s="865" t="n"/>
      <c r="O23" s="865" t="n"/>
      <c r="P23" s="865" t="n"/>
      <c r="Q23" s="865" t="n"/>
      <c r="R23" s="865" t="n"/>
      <c r="S23" s="840" t="n"/>
      <c r="T23" s="841" t="n"/>
      <c r="U23" s="841" t="n"/>
      <c r="V23" s="841" t="n"/>
      <c r="W23" s="841" t="n"/>
      <c r="X23" s="841" t="n"/>
      <c r="Y23" s="841" t="n"/>
      <c r="Z23" s="841" t="n"/>
      <c r="AA23" s="841" t="n"/>
      <c r="AB23" s="841" t="n"/>
      <c r="AC23" s="841" t="n"/>
      <c r="AD23" s="841" t="n"/>
      <c r="AE23" s="841" t="n"/>
      <c r="AF23" s="866" t="n"/>
      <c r="AG23" s="841" t="n"/>
      <c r="AH23" s="841" t="n"/>
      <c r="AI23" s="841" t="n"/>
      <c r="AJ23" s="841" t="n"/>
      <c r="AK23" s="841" t="n"/>
      <c r="AL23" s="841" t="n"/>
      <c r="AM23" s="841" t="n"/>
      <c r="AN23" s="841" t="n"/>
      <c r="AO23" s="841" t="n"/>
      <c r="AP23" s="841" t="n"/>
      <c r="AQ23" s="841" t="n"/>
      <c r="AR23" s="841" t="n"/>
      <c r="AS23" s="866" t="n"/>
      <c r="AT23" s="841" t="n"/>
      <c r="AU23" s="841" t="n"/>
      <c r="AV23" s="841" t="n"/>
      <c r="AW23" s="841" t="n"/>
      <c r="AX23" s="841" t="n"/>
      <c r="AY23" s="841" t="n"/>
      <c r="AZ23" s="841" t="n"/>
      <c r="BA23" s="841" t="n"/>
      <c r="BB23" s="841" t="n"/>
      <c r="BC23" s="841" t="n"/>
      <c r="BD23" s="841" t="n"/>
      <c r="BE23" s="841" t="n"/>
      <c r="BF23" s="866" t="n"/>
      <c r="BG23" s="841" t="n"/>
    </row>
    <row r="24" ht="13.2" customHeight="1" s="586">
      <c r="A24" s="858" t="n"/>
      <c r="B24" s="836" t="inlineStr">
        <is>
          <t>5. Finance and Contract Management Stream</t>
        </is>
      </c>
      <c r="C24" s="863" t="inlineStr">
        <is>
          <t xml:space="preserve"> </t>
        </is>
      </c>
      <c r="D24" s="864" t="n"/>
      <c r="E24" s="865" t="n">
        <v>0</v>
      </c>
      <c r="F24" s="865" t="n">
        <v>0.71031746031746</v>
      </c>
      <c r="G24" s="865" t="n">
        <v>2.5047619047619</v>
      </c>
      <c r="H24" s="865" t="n">
        <v>2.95714285714286</v>
      </c>
      <c r="I24" s="865" t="n">
        <v>2.95714285714286</v>
      </c>
      <c r="J24" s="865" t="n"/>
      <c r="K24" s="865" t="n"/>
      <c r="L24" s="865" t="n"/>
      <c r="M24" s="865" t="n"/>
      <c r="N24" s="865" t="n"/>
      <c r="O24" s="865" t="n"/>
      <c r="P24" s="865" t="n"/>
      <c r="Q24" s="865" t="n"/>
      <c r="R24" s="865" t="n"/>
      <c r="S24" s="840" t="n"/>
      <c r="T24" s="841" t="n"/>
      <c r="U24" s="841" t="n"/>
      <c r="V24" s="841" t="n"/>
      <c r="W24" s="841" t="n"/>
      <c r="X24" s="841" t="n"/>
      <c r="Y24" s="841" t="n"/>
      <c r="Z24" s="841" t="n"/>
      <c r="AA24" s="841" t="n"/>
      <c r="AB24" s="841" t="n"/>
      <c r="AC24" s="841" t="n"/>
      <c r="AD24" s="841" t="n"/>
      <c r="AE24" s="841" t="n"/>
      <c r="AF24" s="866" t="n"/>
      <c r="AG24" s="841" t="n"/>
      <c r="AH24" s="841" t="n"/>
      <c r="AI24" s="841" t="n"/>
      <c r="AJ24" s="841" t="n"/>
      <c r="AK24" s="841" t="n"/>
      <c r="AL24" s="841" t="n"/>
      <c r="AM24" s="841" t="n"/>
      <c r="AN24" s="841" t="n"/>
      <c r="AO24" s="841" t="n"/>
      <c r="AP24" s="841" t="n"/>
      <c r="AQ24" s="841" t="n"/>
      <c r="AR24" s="841" t="n"/>
      <c r="AS24" s="866" t="n"/>
      <c r="AT24" s="841" t="n"/>
      <c r="AU24" s="841" t="n"/>
      <c r="AV24" s="841" t="n"/>
      <c r="AW24" s="841" t="n"/>
      <c r="AX24" s="841" t="n"/>
      <c r="AY24" s="841" t="n"/>
      <c r="AZ24" s="841" t="n"/>
      <c r="BA24" s="841" t="n"/>
      <c r="BB24" s="841" t="n"/>
      <c r="BC24" s="841" t="n"/>
      <c r="BD24" s="841" t="n"/>
      <c r="BE24" s="841" t="n"/>
      <c r="BF24" s="866" t="n"/>
      <c r="BG24" s="841" t="n"/>
    </row>
    <row r="25" ht="13.2" customHeight="1" s="586">
      <c r="A25" s="858" t="n"/>
      <c r="B25" s="836" t="inlineStr">
        <is>
          <t>6. People Transfer Stream</t>
        </is>
      </c>
      <c r="C25" s="863" t="n"/>
      <c r="D25" s="864" t="n"/>
      <c r="E25" s="865" t="n">
        <v>0</v>
      </c>
      <c r="F25" s="865" t="n">
        <v>0</v>
      </c>
      <c r="G25" s="865" t="n">
        <v>2.2</v>
      </c>
      <c r="H25" s="865" t="n">
        <v>2</v>
      </c>
      <c r="I25" s="865" t="n">
        <v>1.2</v>
      </c>
      <c r="J25" s="865" t="n"/>
      <c r="K25" s="865" t="n"/>
      <c r="L25" s="865" t="n"/>
      <c r="M25" s="865" t="n"/>
      <c r="N25" s="865" t="n"/>
      <c r="O25" s="865" t="n"/>
      <c r="P25" s="865" t="n"/>
      <c r="Q25" s="865" t="n"/>
      <c r="R25" s="865" t="n"/>
      <c r="S25" s="840" t="n"/>
      <c r="T25" s="841" t="n"/>
      <c r="U25" s="841" t="n"/>
      <c r="V25" s="841" t="n"/>
      <c r="W25" s="841" t="n"/>
      <c r="X25" s="841" t="n"/>
      <c r="Y25" s="841" t="n"/>
      <c r="Z25" s="841" t="n"/>
      <c r="AA25" s="841" t="n"/>
      <c r="AB25" s="841" t="n"/>
      <c r="AC25" s="841" t="n"/>
      <c r="AD25" s="841" t="n"/>
      <c r="AE25" s="841" t="n"/>
      <c r="AF25" s="866" t="n"/>
      <c r="AG25" s="841" t="n"/>
      <c r="AH25" s="841" t="n"/>
      <c r="AI25" s="841" t="n"/>
      <c r="AJ25" s="841" t="n"/>
      <c r="AK25" s="841" t="n"/>
      <c r="AL25" s="841" t="n"/>
      <c r="AM25" s="841" t="n"/>
      <c r="AN25" s="841" t="n"/>
      <c r="AO25" s="841" t="n"/>
      <c r="AP25" s="841" t="n"/>
      <c r="AQ25" s="841" t="n"/>
      <c r="AR25" s="841" t="n"/>
      <c r="AS25" s="866" t="n"/>
      <c r="AT25" s="841" t="n"/>
      <c r="AU25" s="841" t="n"/>
      <c r="AV25" s="841" t="n"/>
      <c r="AW25" s="841" t="n"/>
      <c r="AX25" s="841" t="n"/>
      <c r="AY25" s="841" t="n"/>
      <c r="AZ25" s="841" t="n"/>
      <c r="BA25" s="841" t="n"/>
      <c r="BB25" s="841" t="n"/>
      <c r="BC25" s="841" t="n"/>
      <c r="BD25" s="841" t="n"/>
      <c r="BE25" s="841" t="n"/>
      <c r="BF25" s="866" t="n"/>
      <c r="BG25" s="841" t="n"/>
    </row>
    <row r="26" ht="13.8" customHeight="1" s="586">
      <c r="A26" s="858" t="n"/>
      <c r="B26" s="843" t="inlineStr">
        <is>
          <t>7. Knowledge Transfer Stream</t>
        </is>
      </c>
      <c r="C26" s="867" t="inlineStr">
        <is>
          <t xml:space="preserve"> </t>
        </is>
      </c>
      <c r="D26" s="868" t="n"/>
      <c r="E26" s="869" t="n">
        <v>0</v>
      </c>
      <c r="F26" s="869" t="n">
        <v>0</v>
      </c>
      <c r="G26" s="869" t="n">
        <v>1</v>
      </c>
      <c r="H26" s="869" t="n">
        <v>1</v>
      </c>
      <c r="I26" s="869" t="n">
        <v>1</v>
      </c>
      <c r="J26" s="869" t="n"/>
      <c r="K26" s="869" t="n"/>
      <c r="L26" s="869" t="n"/>
      <c r="M26" s="869" t="n"/>
      <c r="N26" s="869" t="n"/>
      <c r="O26" s="869" t="n"/>
      <c r="P26" s="869" t="n"/>
      <c r="Q26" s="869" t="n"/>
      <c r="R26" s="869" t="n"/>
      <c r="S26" s="847" t="n"/>
      <c r="T26" s="848" t="n"/>
      <c r="U26" s="848" t="n"/>
      <c r="V26" s="848" t="n"/>
      <c r="W26" s="848" t="n"/>
      <c r="X26" s="848" t="n"/>
      <c r="Y26" s="848" t="n"/>
      <c r="Z26" s="848" t="n"/>
      <c r="AA26" s="848" t="n"/>
      <c r="AB26" s="848" t="n"/>
      <c r="AC26" s="848" t="n"/>
      <c r="AD26" s="848" t="n"/>
      <c r="AE26" s="848" t="n"/>
      <c r="AF26" s="870" t="n"/>
      <c r="AG26" s="848" t="n"/>
      <c r="AH26" s="848" t="n"/>
      <c r="AI26" s="848" t="n"/>
      <c r="AJ26" s="848" t="n"/>
      <c r="AK26" s="848" t="n"/>
      <c r="AL26" s="848" t="n"/>
      <c r="AM26" s="848" t="n"/>
      <c r="AN26" s="848" t="n"/>
      <c r="AO26" s="848" t="n"/>
      <c r="AP26" s="848" t="n"/>
      <c r="AQ26" s="848" t="n"/>
      <c r="AR26" s="848" t="n"/>
      <c r="AS26" s="870" t="n"/>
      <c r="AT26" s="848" t="n"/>
      <c r="AU26" s="848" t="n"/>
      <c r="AV26" s="848" t="n"/>
      <c r="AW26" s="848" t="n"/>
      <c r="AX26" s="848" t="n"/>
      <c r="AY26" s="848" t="n"/>
      <c r="AZ26" s="848" t="n"/>
      <c r="BA26" s="848" t="n"/>
      <c r="BB26" s="848" t="n"/>
      <c r="BC26" s="848" t="n"/>
      <c r="BD26" s="848" t="n"/>
      <c r="BE26" s="848" t="n"/>
      <c r="BF26" s="870" t="n"/>
      <c r="BG26" s="848" t="n"/>
    </row>
    <row r="27" ht="13.8" customHeight="1" s="586">
      <c r="A27" s="849" t="n"/>
      <c r="B27" s="871" t="inlineStr">
        <is>
          <t>TOTAL</t>
        </is>
      </c>
      <c r="C27" s="872" t="n"/>
      <c r="D27" s="872" t="n"/>
      <c r="E27" s="873" t="n">
        <v>0</v>
      </c>
      <c r="F27" s="873" t="n">
        <v>5.90079365079365</v>
      </c>
      <c r="G27" s="873" t="n">
        <v>17.6809523809524</v>
      </c>
      <c r="H27" s="873" t="n">
        <v>19.8619047619048</v>
      </c>
      <c r="I27" s="873" t="n">
        <v>18.6809523809524</v>
      </c>
      <c r="J27" s="873" t="n">
        <v>0</v>
      </c>
      <c r="K27" s="873" t="n">
        <v>0</v>
      </c>
      <c r="L27" s="873" t="n">
        <v>0</v>
      </c>
      <c r="M27" s="873" t="n">
        <v>0</v>
      </c>
      <c r="N27" s="873" t="n">
        <v>0</v>
      </c>
      <c r="O27" s="873" t="n">
        <v>0</v>
      </c>
      <c r="P27" s="873" t="n">
        <v>0</v>
      </c>
      <c r="Q27" s="873" t="n">
        <v>0</v>
      </c>
      <c r="R27" s="873" t="n">
        <v>0</v>
      </c>
      <c r="S27" s="873" t="n"/>
      <c r="T27" s="873" t="n">
        <v>0</v>
      </c>
      <c r="U27" s="873" t="n">
        <v>0</v>
      </c>
      <c r="V27" s="873" t="n">
        <v>0</v>
      </c>
      <c r="W27" s="873" t="n">
        <v>0</v>
      </c>
      <c r="X27" s="873" t="n">
        <v>0</v>
      </c>
      <c r="Y27" s="873" t="n">
        <v>0</v>
      </c>
      <c r="Z27" s="873" t="n">
        <v>0</v>
      </c>
      <c r="AA27" s="873" t="n">
        <v>0</v>
      </c>
      <c r="AB27" s="873" t="n">
        <v>0</v>
      </c>
      <c r="AC27" s="873" t="n">
        <v>0</v>
      </c>
      <c r="AD27" s="873" t="n">
        <v>0</v>
      </c>
      <c r="AE27" s="873" t="n">
        <v>0</v>
      </c>
      <c r="AF27" s="873" t="n"/>
      <c r="AG27" s="873" t="n">
        <v>0</v>
      </c>
      <c r="AH27" s="873" t="n">
        <v>0</v>
      </c>
      <c r="AI27" s="873" t="n">
        <v>0</v>
      </c>
      <c r="AJ27" s="873" t="n">
        <v>0</v>
      </c>
      <c r="AK27" s="873" t="n">
        <v>0</v>
      </c>
      <c r="AL27" s="873" t="n">
        <v>0</v>
      </c>
      <c r="AM27" s="873" t="n">
        <v>0</v>
      </c>
      <c r="AN27" s="873" t="n">
        <v>0</v>
      </c>
      <c r="AO27" s="873" t="n">
        <v>0</v>
      </c>
      <c r="AP27" s="873" t="n">
        <v>0</v>
      </c>
      <c r="AQ27" s="873" t="n">
        <v>0</v>
      </c>
      <c r="AR27" s="873" t="n">
        <v>0</v>
      </c>
      <c r="AS27" s="873" t="n"/>
      <c r="AT27" s="873" t="n">
        <v>0</v>
      </c>
      <c r="AU27" s="873" t="n">
        <v>0</v>
      </c>
      <c r="AV27" s="873" t="n">
        <v>0</v>
      </c>
      <c r="AW27" s="873" t="n">
        <v>0</v>
      </c>
      <c r="AX27" s="873" t="n">
        <v>0</v>
      </c>
      <c r="AY27" s="873" t="n">
        <v>0</v>
      </c>
      <c r="AZ27" s="873" t="n">
        <v>0</v>
      </c>
      <c r="BA27" s="873" t="n">
        <v>0</v>
      </c>
      <c r="BB27" s="873" t="n">
        <v>0</v>
      </c>
      <c r="BC27" s="873" t="n">
        <v>0</v>
      </c>
      <c r="BD27" s="873" t="n">
        <v>0</v>
      </c>
      <c r="BE27" s="873" t="n">
        <v>0</v>
      </c>
      <c r="BF27" s="873" t="n"/>
      <c r="BG27" s="874" t="n"/>
    </row>
    <row r="28" ht="13.2" customHeight="1" s="586">
      <c r="B28" s="805" t="n"/>
      <c r="C28" s="854" t="n"/>
      <c r="D28" s="854" t="n"/>
      <c r="E28" s="812" t="n"/>
      <c r="F28" s="812" t="n"/>
      <c r="G28" s="812" t="n"/>
      <c r="H28" s="812" t="n"/>
      <c r="I28" s="812" t="n"/>
      <c r="J28" s="812" t="n"/>
      <c r="K28" s="812" t="n"/>
      <c r="L28" s="812" t="n"/>
      <c r="M28" s="812" t="n"/>
      <c r="N28" s="812" t="n"/>
      <c r="O28" s="812" t="n"/>
      <c r="P28" s="812" t="n"/>
      <c r="Q28" s="812" t="n"/>
      <c r="R28" s="812" t="n"/>
      <c r="S28" s="812" t="n"/>
      <c r="T28" s="812" t="n"/>
      <c r="U28" s="812" t="n"/>
      <c r="V28" s="812" t="n"/>
      <c r="W28" s="812" t="n"/>
      <c r="X28" s="812" t="n"/>
      <c r="Y28" s="812" t="n"/>
      <c r="Z28" s="812" t="n"/>
      <c r="AA28" s="812" t="n"/>
      <c r="AB28" s="812" t="n"/>
      <c r="AC28" s="812" t="n"/>
      <c r="AD28" s="812" t="n"/>
      <c r="AE28" s="812" t="n"/>
      <c r="AF28" s="812" t="n"/>
      <c r="AG28" s="812" t="n"/>
      <c r="AH28" s="812" t="n"/>
      <c r="AI28" s="812" t="n"/>
      <c r="AJ28" s="812" t="n"/>
      <c r="AK28" s="812" t="n"/>
      <c r="AL28" s="812" t="n"/>
      <c r="AM28" s="812" t="n"/>
      <c r="AN28" s="812" t="n"/>
      <c r="AO28" s="812" t="n"/>
      <c r="AP28" s="812" t="n"/>
      <c r="AQ28" s="812" t="n"/>
      <c r="AR28" s="812" t="n"/>
      <c r="AS28" s="812" t="n"/>
      <c r="AT28" s="812" t="n"/>
      <c r="AU28" s="812" t="n"/>
      <c r="AV28" s="812" t="n"/>
      <c r="AW28" s="812" t="n"/>
      <c r="AX28" s="812" t="n"/>
      <c r="AY28" s="812" t="n"/>
      <c r="AZ28" s="812" t="n"/>
      <c r="BA28" s="812" t="n"/>
      <c r="BB28" s="812" t="n"/>
      <c r="BC28" s="812" t="n"/>
      <c r="BD28" s="812" t="n"/>
      <c r="BE28" s="812" t="n"/>
      <c r="BF28" s="812" t="n"/>
      <c r="BG28" s="812" t="n"/>
    </row>
    <row r="29" ht="13.8" customHeight="1" s="586">
      <c r="B29" s="813" t="n"/>
      <c r="E29" s="815" t="inlineStr">
        <is>
          <t>HR prep</t>
        </is>
      </c>
      <c r="F29" s="816" t="inlineStr">
        <is>
          <t>Prep</t>
        </is>
      </c>
      <c r="G29" s="817" t="n"/>
      <c r="H29" s="815" t="inlineStr">
        <is>
          <t>Transition</t>
        </is>
      </c>
      <c r="I29" s="818" t="n"/>
      <c r="J29" s="817" t="n"/>
      <c r="K29" s="817" t="n"/>
      <c r="L29" s="815" t="n"/>
      <c r="M29" s="815" t="n"/>
      <c r="N29" s="817" t="n"/>
      <c r="O29" s="815" t="n"/>
    </row>
    <row r="30" ht="13.2" customHeight="1" s="586">
      <c r="B30" s="819" t="inlineStr">
        <is>
          <t>Vendor Alpha</t>
        </is>
      </c>
      <c r="C30" s="820" t="n"/>
      <c r="D30" s="820" t="inlineStr">
        <is>
          <t>Month -2</t>
        </is>
      </c>
      <c r="E30" s="821" t="inlineStr">
        <is>
          <t>Month -1</t>
        </is>
      </c>
      <c r="F30" s="821" t="inlineStr">
        <is>
          <t>Month 0</t>
        </is>
      </c>
      <c r="G30" s="821" t="inlineStr">
        <is>
          <t>Month 1</t>
        </is>
      </c>
      <c r="H30" s="822" t="inlineStr">
        <is>
          <t>Month 2</t>
        </is>
      </c>
      <c r="I30" s="822" t="inlineStr">
        <is>
          <t>Month 3</t>
        </is>
      </c>
      <c r="J30" s="822" t="inlineStr">
        <is>
          <t>Month 4</t>
        </is>
      </c>
      <c r="K30" s="822" t="inlineStr">
        <is>
          <t>Month 5</t>
        </is>
      </c>
      <c r="L30" s="822" t="inlineStr">
        <is>
          <t>Month 6</t>
        </is>
      </c>
      <c r="M30" s="822" t="inlineStr">
        <is>
          <t>Month 7</t>
        </is>
      </c>
      <c r="N30" s="822" t="inlineStr">
        <is>
          <t>Month 8</t>
        </is>
      </c>
      <c r="O30" s="822" t="inlineStr">
        <is>
          <t>Month 9</t>
        </is>
      </c>
      <c r="P30" s="822" t="inlineStr">
        <is>
          <t>Month 10</t>
        </is>
      </c>
      <c r="Q30" s="822" t="inlineStr">
        <is>
          <t>Month 11</t>
        </is>
      </c>
      <c r="R30" s="822" t="inlineStr">
        <is>
          <t>Month 12</t>
        </is>
      </c>
      <c r="S30" s="821" t="inlineStr">
        <is>
          <t>Year 1</t>
        </is>
      </c>
      <c r="T30" s="822" t="inlineStr">
        <is>
          <t>Month 13</t>
        </is>
      </c>
      <c r="U30" s="822" t="inlineStr">
        <is>
          <t>Month 14</t>
        </is>
      </c>
      <c r="V30" s="822" t="inlineStr">
        <is>
          <t>Month 15</t>
        </is>
      </c>
      <c r="W30" s="822" t="inlineStr">
        <is>
          <t>Month 16</t>
        </is>
      </c>
      <c r="X30" s="822" t="inlineStr">
        <is>
          <t>Month 17</t>
        </is>
      </c>
      <c r="Y30" s="822" t="inlineStr">
        <is>
          <t>Month 18</t>
        </is>
      </c>
      <c r="Z30" s="822" t="inlineStr">
        <is>
          <t>Month 19</t>
        </is>
      </c>
      <c r="AA30" s="822" t="inlineStr">
        <is>
          <t>Month 20</t>
        </is>
      </c>
      <c r="AB30" s="822" t="inlineStr">
        <is>
          <t>Month 21</t>
        </is>
      </c>
      <c r="AC30" s="822" t="inlineStr">
        <is>
          <t>Month 22</t>
        </is>
      </c>
      <c r="AD30" s="822" t="inlineStr">
        <is>
          <t>Month 23</t>
        </is>
      </c>
      <c r="AE30" s="822" t="inlineStr">
        <is>
          <t>Month 24</t>
        </is>
      </c>
      <c r="AF30" s="822" t="inlineStr">
        <is>
          <t>Year 2</t>
        </is>
      </c>
      <c r="AG30" s="822" t="inlineStr">
        <is>
          <t>Month 25</t>
        </is>
      </c>
      <c r="AH30" s="822" t="inlineStr">
        <is>
          <t>Month 26</t>
        </is>
      </c>
      <c r="AI30" s="822" t="inlineStr">
        <is>
          <t>Month 27</t>
        </is>
      </c>
      <c r="AJ30" s="822" t="inlineStr">
        <is>
          <t>Month 28</t>
        </is>
      </c>
      <c r="AK30" s="822" t="inlineStr">
        <is>
          <t>Month 29</t>
        </is>
      </c>
      <c r="AL30" s="822" t="inlineStr">
        <is>
          <t>Month 30</t>
        </is>
      </c>
      <c r="AM30" s="822" t="inlineStr">
        <is>
          <t>Month 31</t>
        </is>
      </c>
      <c r="AN30" s="822" t="inlineStr">
        <is>
          <t>Month 32</t>
        </is>
      </c>
      <c r="AO30" s="822" t="inlineStr">
        <is>
          <t>Month 33</t>
        </is>
      </c>
      <c r="AP30" s="822" t="inlineStr">
        <is>
          <t>Month 34</t>
        </is>
      </c>
      <c r="AQ30" s="822" t="inlineStr">
        <is>
          <t>Month 35</t>
        </is>
      </c>
      <c r="AR30" s="822" t="inlineStr">
        <is>
          <t>Month 36</t>
        </is>
      </c>
      <c r="AS30" s="822" t="inlineStr">
        <is>
          <t>Year 3</t>
        </is>
      </c>
      <c r="AT30" s="822" t="inlineStr">
        <is>
          <t>Month 37</t>
        </is>
      </c>
      <c r="AU30" s="822" t="inlineStr">
        <is>
          <t>Month 38</t>
        </is>
      </c>
      <c r="AV30" s="822" t="inlineStr">
        <is>
          <t>Month 39</t>
        </is>
      </c>
      <c r="AW30" s="822" t="inlineStr">
        <is>
          <t>Month 40</t>
        </is>
      </c>
      <c r="AX30" s="822" t="inlineStr">
        <is>
          <t>Month 41</t>
        </is>
      </c>
      <c r="AY30" s="822" t="inlineStr">
        <is>
          <t>Month 42</t>
        </is>
      </c>
      <c r="AZ30" s="822" t="inlineStr">
        <is>
          <t>Month 43</t>
        </is>
      </c>
      <c r="BA30" s="822" t="inlineStr">
        <is>
          <t>Month 44</t>
        </is>
      </c>
      <c r="BB30" s="822" t="inlineStr">
        <is>
          <t>Month 45</t>
        </is>
      </c>
      <c r="BC30" s="822" t="inlineStr">
        <is>
          <t>Month 46</t>
        </is>
      </c>
      <c r="BD30" s="822" t="inlineStr">
        <is>
          <t>Month 47</t>
        </is>
      </c>
      <c r="BE30" s="822" t="inlineStr">
        <is>
          <t>Month 48</t>
        </is>
      </c>
      <c r="BF30" s="822" t="inlineStr">
        <is>
          <t>Year 4</t>
        </is>
      </c>
      <c r="BG30" s="821" t="inlineStr">
        <is>
          <t>Total</t>
        </is>
      </c>
    </row>
    <row r="31" ht="14.4" customHeight="1" s="586">
      <c r="B31" s="875" t="n"/>
      <c r="C31" s="876" t="n"/>
      <c r="D31" s="876" t="inlineStr">
        <is>
          <t>(Euro)</t>
        </is>
      </c>
      <c r="E31" s="877" t="inlineStr">
        <is>
          <t>(Euro)</t>
        </is>
      </c>
      <c r="F31" s="877" t="inlineStr">
        <is>
          <t>(Euro)</t>
        </is>
      </c>
      <c r="G31" s="877" t="inlineStr">
        <is>
          <t>(Euro)</t>
        </is>
      </c>
      <c r="H31" s="878" t="inlineStr">
        <is>
          <t>(Euro)</t>
        </is>
      </c>
      <c r="I31" s="878" t="inlineStr">
        <is>
          <t>(Euro)</t>
        </is>
      </c>
      <c r="J31" s="878" t="inlineStr">
        <is>
          <t>(Euro)</t>
        </is>
      </c>
      <c r="K31" s="878" t="inlineStr">
        <is>
          <t>(Euro)</t>
        </is>
      </c>
      <c r="L31" s="878" t="inlineStr">
        <is>
          <t>(Euro)</t>
        </is>
      </c>
      <c r="M31" s="878" t="inlineStr">
        <is>
          <t>(Euro)</t>
        </is>
      </c>
      <c r="N31" s="878" t="inlineStr">
        <is>
          <t>(Euro)</t>
        </is>
      </c>
      <c r="O31" s="878" t="inlineStr">
        <is>
          <t>(Euro)</t>
        </is>
      </c>
      <c r="P31" s="878" t="inlineStr">
        <is>
          <t>(Euro)</t>
        </is>
      </c>
      <c r="Q31" s="878" t="inlineStr">
        <is>
          <t>(Euro)</t>
        </is>
      </c>
      <c r="R31" s="878" t="inlineStr">
        <is>
          <t>(Euro)</t>
        </is>
      </c>
      <c r="S31" s="877" t="inlineStr">
        <is>
          <t>(Euro)</t>
        </is>
      </c>
      <c r="T31" s="878" t="inlineStr">
        <is>
          <t>(Euro)</t>
        </is>
      </c>
      <c r="U31" s="878" t="inlineStr">
        <is>
          <t>(Euro)</t>
        </is>
      </c>
      <c r="V31" s="878" t="inlineStr">
        <is>
          <t>(Euro)</t>
        </is>
      </c>
      <c r="W31" s="878" t="inlineStr">
        <is>
          <t>(Euro)</t>
        </is>
      </c>
      <c r="X31" s="878" t="inlineStr">
        <is>
          <t>(Euro)</t>
        </is>
      </c>
      <c r="Y31" s="878" t="inlineStr">
        <is>
          <t>(Euro)</t>
        </is>
      </c>
      <c r="Z31" s="878" t="inlineStr">
        <is>
          <t>(Euro)</t>
        </is>
      </c>
      <c r="AA31" s="878" t="inlineStr">
        <is>
          <t>(Euro)</t>
        </is>
      </c>
      <c r="AB31" s="878" t="inlineStr">
        <is>
          <t>(Euro)</t>
        </is>
      </c>
      <c r="AC31" s="878" t="inlineStr">
        <is>
          <t>(Euro)</t>
        </is>
      </c>
      <c r="AD31" s="878" t="inlineStr">
        <is>
          <t>(Euro)</t>
        </is>
      </c>
      <c r="AE31" s="878" t="inlineStr">
        <is>
          <t>(Euro)</t>
        </is>
      </c>
      <c r="AF31" s="878" t="inlineStr">
        <is>
          <t>(Euro)</t>
        </is>
      </c>
      <c r="AG31" s="878" t="inlineStr">
        <is>
          <t>(Euro)</t>
        </is>
      </c>
      <c r="AH31" s="878" t="inlineStr">
        <is>
          <t>(Euro)</t>
        </is>
      </c>
      <c r="AI31" s="878" t="inlineStr">
        <is>
          <t>(Euro)</t>
        </is>
      </c>
      <c r="AJ31" s="878" t="inlineStr">
        <is>
          <t>(Euro)</t>
        </is>
      </c>
      <c r="AK31" s="878" t="inlineStr">
        <is>
          <t>(Euro)</t>
        </is>
      </c>
      <c r="AL31" s="878" t="inlineStr">
        <is>
          <t>(Euro)</t>
        </is>
      </c>
      <c r="AM31" s="878" t="inlineStr">
        <is>
          <t>(Euro)</t>
        </is>
      </c>
      <c r="AN31" s="878" t="inlineStr">
        <is>
          <t>(Euro)</t>
        </is>
      </c>
      <c r="AO31" s="878" t="inlineStr">
        <is>
          <t>(Euro)</t>
        </is>
      </c>
      <c r="AP31" s="878" t="inlineStr">
        <is>
          <t>(Euro)</t>
        </is>
      </c>
      <c r="AQ31" s="878" t="inlineStr">
        <is>
          <t>(Euro)</t>
        </is>
      </c>
      <c r="AR31" s="878" t="inlineStr">
        <is>
          <t>(Euro)</t>
        </is>
      </c>
      <c r="AS31" s="878" t="inlineStr">
        <is>
          <t>(Euro)</t>
        </is>
      </c>
      <c r="AT31" s="878" t="inlineStr">
        <is>
          <t>(Euro)</t>
        </is>
      </c>
      <c r="AU31" s="878" t="inlineStr">
        <is>
          <t>(Euro)</t>
        </is>
      </c>
      <c r="AV31" s="878" t="inlineStr">
        <is>
          <t>(Euro)</t>
        </is>
      </c>
      <c r="AW31" s="878" t="inlineStr">
        <is>
          <t>(Euro)</t>
        </is>
      </c>
      <c r="AX31" s="878" t="inlineStr">
        <is>
          <t>(Euro)</t>
        </is>
      </c>
      <c r="AY31" s="878" t="inlineStr">
        <is>
          <t>(Euro)</t>
        </is>
      </c>
      <c r="AZ31" s="878" t="inlineStr">
        <is>
          <t>(Euro)</t>
        </is>
      </c>
      <c r="BA31" s="878" t="inlineStr">
        <is>
          <t>(Euro)</t>
        </is>
      </c>
      <c r="BB31" s="878" t="inlineStr">
        <is>
          <t>(Euro)</t>
        </is>
      </c>
      <c r="BC31" s="878" t="inlineStr">
        <is>
          <t>(Euro)</t>
        </is>
      </c>
      <c r="BD31" s="878" t="inlineStr">
        <is>
          <t>(Euro)</t>
        </is>
      </c>
      <c r="BE31" s="878" t="inlineStr">
        <is>
          <t>(Euro)</t>
        </is>
      </c>
      <c r="BF31" s="878" t="inlineStr">
        <is>
          <t>(Euro)</t>
        </is>
      </c>
      <c r="BG31" s="877" t="inlineStr">
        <is>
          <t>(Euro)</t>
        </is>
      </c>
    </row>
    <row r="32" ht="13.2" customHeight="1" s="586">
      <c r="A32" s="855" t="n"/>
      <c r="B32" s="855" t="n"/>
      <c r="C32" s="829" t="n"/>
      <c r="D32" s="879" t="n"/>
      <c r="E32" s="830" t="n"/>
      <c r="F32" s="880" t="n"/>
      <c r="G32" s="830" t="n"/>
      <c r="H32" s="881" t="n"/>
      <c r="I32" s="835" t="n"/>
      <c r="J32" s="835" t="n"/>
      <c r="K32" s="881" t="n"/>
      <c r="L32" s="835" t="n"/>
      <c r="M32" s="881" t="n"/>
      <c r="N32" s="835" t="n"/>
      <c r="O32" s="881" t="n"/>
      <c r="P32" s="835" t="n"/>
      <c r="Q32" s="881" t="n"/>
      <c r="R32" s="835" t="n"/>
      <c r="S32" s="833" t="n"/>
      <c r="T32" s="835" t="n"/>
      <c r="U32" s="881" t="n"/>
      <c r="V32" s="835" t="n"/>
      <c r="W32" s="881" t="n"/>
      <c r="X32" s="835" t="n"/>
      <c r="Y32" s="881" t="n"/>
      <c r="Z32" s="835" t="n"/>
      <c r="AA32" s="881" t="n"/>
      <c r="AB32" s="835" t="n"/>
      <c r="AC32" s="881" t="n"/>
      <c r="AD32" s="835" t="n"/>
      <c r="AE32" s="881" t="n"/>
      <c r="AF32" s="833" t="n"/>
      <c r="AG32" s="881" t="n"/>
      <c r="AH32" s="835" t="n"/>
      <c r="AI32" s="881" t="n"/>
      <c r="AJ32" s="835" t="n"/>
      <c r="AK32" s="881" t="n"/>
      <c r="AL32" s="835" t="n"/>
      <c r="AM32" s="881" t="n"/>
      <c r="AN32" s="835" t="n"/>
      <c r="AO32" s="881" t="n"/>
      <c r="AP32" s="835" t="n"/>
      <c r="AQ32" s="881" t="n"/>
      <c r="AR32" s="835" t="n"/>
      <c r="AS32" s="834" t="n"/>
      <c r="AT32" s="881" t="n"/>
      <c r="AU32" s="835" t="n"/>
      <c r="AV32" s="881" t="n"/>
      <c r="AW32" s="835" t="n"/>
      <c r="AX32" s="881" t="n"/>
      <c r="AY32" s="835" t="n"/>
      <c r="AZ32" s="881" t="n"/>
      <c r="BA32" s="835" t="n"/>
      <c r="BB32" s="881" t="n"/>
      <c r="BC32" s="835" t="n"/>
      <c r="BD32" s="881" t="n"/>
      <c r="BE32" s="835" t="n"/>
      <c r="BF32" s="833" t="n"/>
      <c r="BG32" s="835" t="n"/>
    </row>
    <row r="33" ht="13.2" customHeight="1" s="586">
      <c r="A33" s="858" t="n"/>
      <c r="B33" s="882" t="inlineStr">
        <is>
          <t>1. Transition Program Management Stream</t>
        </is>
      </c>
      <c r="C33" s="842" t="n"/>
      <c r="D33" s="883" t="n"/>
      <c r="E33" s="839" t="n">
        <v>0</v>
      </c>
      <c r="F33" s="812" t="n">
        <v>58880</v>
      </c>
      <c r="G33" s="839" t="n">
        <v>58880</v>
      </c>
      <c r="H33" s="812" t="n">
        <v>58880</v>
      </c>
      <c r="I33" s="839" t="n">
        <v>58880</v>
      </c>
      <c r="J33" s="839" t="n">
        <v>0</v>
      </c>
      <c r="K33" s="812" t="n">
        <v>0</v>
      </c>
      <c r="L33" s="839" t="n">
        <v>0</v>
      </c>
      <c r="M33" s="812" t="n">
        <v>0</v>
      </c>
      <c r="N33" s="839" t="n">
        <v>0</v>
      </c>
      <c r="O33" s="812" t="n">
        <v>0</v>
      </c>
      <c r="P33" s="839" t="n">
        <v>0</v>
      </c>
      <c r="Q33" s="812" t="n">
        <v>0</v>
      </c>
      <c r="R33" s="839" t="n">
        <v>0</v>
      </c>
      <c r="S33" s="840">
        <f>SUM(E33:R33)</f>
        <v/>
      </c>
      <c r="T33" s="884" t="n"/>
      <c r="V33" s="884" t="n"/>
      <c r="X33" s="884" t="n"/>
      <c r="Z33" s="884" t="n"/>
      <c r="AB33" s="884" t="n"/>
      <c r="AD33" s="884" t="n"/>
      <c r="AF33" s="840">
        <f>SUM(T33:AE33)</f>
        <v/>
      </c>
      <c r="AH33" s="884" t="n"/>
      <c r="AJ33" s="884" t="n"/>
      <c r="AL33" s="884" t="n"/>
      <c r="AN33" s="884" t="n"/>
      <c r="AP33" s="884" t="n"/>
      <c r="AR33" s="884" t="n"/>
      <c r="AS33" s="809" t="n">
        <v>0</v>
      </c>
      <c r="AU33" s="884" t="n"/>
      <c r="AW33" s="884" t="n"/>
      <c r="AY33" s="884" t="n"/>
      <c r="BA33" s="884" t="n"/>
      <c r="BC33" s="884" t="n"/>
      <c r="BE33" s="884" t="n"/>
      <c r="BF33" s="840" t="n">
        <v>0</v>
      </c>
      <c r="BG33" s="840" t="n">
        <v>235520</v>
      </c>
      <c r="BI33" s="810" t="n"/>
    </row>
    <row r="34" ht="13.2" customHeight="1" s="586">
      <c r="A34" s="858" t="n"/>
      <c r="B34" s="882" t="inlineStr">
        <is>
          <t>2. Service Management Stream</t>
        </is>
      </c>
      <c r="C34" s="842" t="n"/>
      <c r="D34" s="883" t="n"/>
      <c r="E34" s="839" t="n">
        <v>0</v>
      </c>
      <c r="F34" s="812" t="n">
        <v>47424</v>
      </c>
      <c r="G34" s="839" t="n">
        <v>51072</v>
      </c>
      <c r="H34" s="812" t="n">
        <v>40128</v>
      </c>
      <c r="I34" s="839" t="n">
        <v>25536</v>
      </c>
      <c r="J34" s="839" t="n">
        <v>0</v>
      </c>
      <c r="K34" s="812" t="n">
        <v>0</v>
      </c>
      <c r="L34" s="839" t="n">
        <v>0</v>
      </c>
      <c r="M34" s="812" t="n">
        <v>0</v>
      </c>
      <c r="N34" s="839" t="n">
        <v>0</v>
      </c>
      <c r="O34" s="812" t="n">
        <v>0</v>
      </c>
      <c r="P34" s="839" t="n">
        <v>0</v>
      </c>
      <c r="Q34" s="812" t="n">
        <v>0</v>
      </c>
      <c r="R34" s="839" t="n">
        <v>0</v>
      </c>
      <c r="S34" s="840">
        <f>SUM(E34:R34)</f>
        <v/>
      </c>
      <c r="T34" s="884" t="n"/>
      <c r="V34" s="884" t="n"/>
      <c r="X34" s="884" t="n"/>
      <c r="Z34" s="884" t="n"/>
      <c r="AB34" s="884" t="n"/>
      <c r="AD34" s="884" t="n"/>
      <c r="AF34" s="840">
        <f>SUM(T34:AE34)</f>
        <v/>
      </c>
      <c r="AH34" s="884" t="n"/>
      <c r="AJ34" s="884" t="n"/>
      <c r="AL34" s="884" t="n"/>
      <c r="AN34" s="884" t="n"/>
      <c r="AP34" s="884" t="n"/>
      <c r="AR34" s="884" t="n"/>
      <c r="AS34" s="809" t="n">
        <v>0</v>
      </c>
      <c r="AU34" s="884" t="n"/>
      <c r="AW34" s="884" t="n"/>
      <c r="AY34" s="884" t="n"/>
      <c r="BA34" s="884" t="n"/>
      <c r="BC34" s="884" t="n"/>
      <c r="BE34" s="884" t="n"/>
      <c r="BF34" s="840" t="n">
        <v>0</v>
      </c>
      <c r="BG34" s="840" t="n">
        <v>164160</v>
      </c>
      <c r="BH34" s="810" t="n"/>
      <c r="BI34" s="810" t="n"/>
    </row>
    <row r="35" ht="13.2" customHeight="1" s="586">
      <c r="A35" s="858" t="n"/>
      <c r="B35" s="882" t="inlineStr">
        <is>
          <t>3. Unit Operations Stream</t>
        </is>
      </c>
      <c r="C35" s="842" t="n"/>
      <c r="D35" s="883" t="n"/>
      <c r="E35" s="839" t="n">
        <v>0</v>
      </c>
      <c r="F35" s="812" t="n">
        <v>34320</v>
      </c>
      <c r="G35" s="839" t="n">
        <v>137280</v>
      </c>
      <c r="H35" s="812" t="n">
        <v>62400</v>
      </c>
      <c r="I35" s="839" t="n">
        <v>49920</v>
      </c>
      <c r="J35" s="839" t="n">
        <v>0</v>
      </c>
      <c r="K35" s="812" t="n">
        <v>0</v>
      </c>
      <c r="L35" s="839" t="n">
        <v>0</v>
      </c>
      <c r="M35" s="812" t="n">
        <v>0</v>
      </c>
      <c r="N35" s="839" t="n">
        <v>0</v>
      </c>
      <c r="O35" s="812" t="n">
        <v>0</v>
      </c>
      <c r="P35" s="839" t="n">
        <v>0</v>
      </c>
      <c r="Q35" s="812" t="n">
        <v>0</v>
      </c>
      <c r="R35" s="839" t="n">
        <v>0</v>
      </c>
      <c r="S35" s="840">
        <f>SUM(E35:R35)</f>
        <v/>
      </c>
      <c r="T35" s="884" t="n"/>
      <c r="V35" s="884" t="n"/>
      <c r="X35" s="884" t="n"/>
      <c r="Z35" s="884" t="n"/>
      <c r="AB35" s="884" t="n"/>
      <c r="AD35" s="884" t="n"/>
      <c r="AF35" s="840">
        <f>SUM(T35:AE35)</f>
        <v/>
      </c>
      <c r="AH35" s="884" t="n"/>
      <c r="AJ35" s="884" t="n"/>
      <c r="AL35" s="884" t="n"/>
      <c r="AN35" s="884" t="n"/>
      <c r="AP35" s="884" t="n"/>
      <c r="AR35" s="884" t="n"/>
      <c r="AS35" s="809" t="n">
        <v>0</v>
      </c>
      <c r="AU35" s="884" t="n"/>
      <c r="AW35" s="884" t="n"/>
      <c r="AY35" s="884" t="n"/>
      <c r="BA35" s="884" t="n"/>
      <c r="BC35" s="884" t="n"/>
      <c r="BE35" s="884" t="n"/>
      <c r="BF35" s="840" t="n">
        <v>0</v>
      </c>
      <c r="BG35" s="840" t="n">
        <v>283920</v>
      </c>
      <c r="BH35" s="810" t="n"/>
      <c r="BI35" s="810" t="n"/>
    </row>
    <row r="36" ht="13.2" customHeight="1" s="586">
      <c r="A36" s="858" t="n"/>
      <c r="B36" s="882" t="inlineStr">
        <is>
          <t>4. Communications Stream</t>
        </is>
      </c>
      <c r="C36" s="842" t="n"/>
      <c r="D36" s="883" t="n"/>
      <c r="E36" s="839" t="n">
        <v>26520</v>
      </c>
      <c r="F36" s="812" t="n">
        <v>18720</v>
      </c>
      <c r="G36" s="839" t="n">
        <v>15600</v>
      </c>
      <c r="H36" s="812" t="n">
        <v>15600</v>
      </c>
      <c r="I36" s="839" t="n">
        <v>15600</v>
      </c>
      <c r="J36" s="839" t="n">
        <v>0</v>
      </c>
      <c r="K36" s="812" t="n">
        <v>0</v>
      </c>
      <c r="L36" s="839" t="n">
        <v>0</v>
      </c>
      <c r="M36" s="812" t="n">
        <v>0</v>
      </c>
      <c r="N36" s="839" t="n">
        <v>0</v>
      </c>
      <c r="O36" s="812" t="n">
        <v>0</v>
      </c>
      <c r="P36" s="839" t="n">
        <v>0</v>
      </c>
      <c r="Q36" s="812" t="n">
        <v>0</v>
      </c>
      <c r="R36" s="839" t="n">
        <v>0</v>
      </c>
      <c r="S36" s="840">
        <f>SUM(E36:R36)</f>
        <v/>
      </c>
      <c r="T36" s="884" t="n"/>
      <c r="V36" s="884" t="n"/>
      <c r="X36" s="884" t="n"/>
      <c r="Z36" s="884" t="n"/>
      <c r="AB36" s="884" t="n"/>
      <c r="AD36" s="884" t="n"/>
      <c r="AF36" s="840">
        <f>SUM(T36:AE36)</f>
        <v/>
      </c>
      <c r="AH36" s="884" t="n"/>
      <c r="AJ36" s="884" t="n"/>
      <c r="AL36" s="884" t="n"/>
      <c r="AN36" s="884" t="n"/>
      <c r="AP36" s="884" t="n"/>
      <c r="AR36" s="884" t="n"/>
      <c r="AS36" s="809" t="n">
        <v>0</v>
      </c>
      <c r="AU36" s="884" t="n"/>
      <c r="AW36" s="884" t="n"/>
      <c r="AY36" s="884" t="n"/>
      <c r="BA36" s="884" t="n"/>
      <c r="BC36" s="884" t="n"/>
      <c r="BE36" s="884" t="n"/>
      <c r="BF36" s="840" t="n">
        <v>0</v>
      </c>
      <c r="BG36" s="840" t="n">
        <v>92040</v>
      </c>
      <c r="BH36" s="810" t="n"/>
      <c r="BI36" s="810" t="n"/>
    </row>
    <row r="37" ht="13.2" customHeight="1" s="586">
      <c r="A37" s="858" t="n"/>
      <c r="B37" s="882" t="inlineStr">
        <is>
          <t>5. Finance and Contract Management Stream</t>
        </is>
      </c>
      <c r="C37" s="842" t="n"/>
      <c r="D37" s="883" t="n"/>
      <c r="E37" s="839" t="n">
        <v>0</v>
      </c>
      <c r="F37" s="812" t="n">
        <v>24960</v>
      </c>
      <c r="G37" s="839" t="n">
        <v>51480</v>
      </c>
      <c r="H37" s="812" t="n">
        <v>48360</v>
      </c>
      <c r="I37" s="839" t="n">
        <v>15600</v>
      </c>
      <c r="J37" s="839" t="n">
        <v>0</v>
      </c>
      <c r="K37" s="812" t="n">
        <v>0</v>
      </c>
      <c r="L37" s="839" t="n">
        <v>0</v>
      </c>
      <c r="M37" s="812" t="n">
        <v>0</v>
      </c>
      <c r="N37" s="839" t="n">
        <v>0</v>
      </c>
      <c r="O37" s="812" t="n">
        <v>0</v>
      </c>
      <c r="P37" s="839" t="n">
        <v>0</v>
      </c>
      <c r="Q37" s="812" t="n">
        <v>0</v>
      </c>
      <c r="R37" s="839" t="n">
        <v>0</v>
      </c>
      <c r="S37" s="840">
        <f>SUM(E37:R37)</f>
        <v/>
      </c>
      <c r="T37" s="884" t="n"/>
      <c r="V37" s="884" t="n"/>
      <c r="X37" s="884" t="n"/>
      <c r="Z37" s="884" t="n"/>
      <c r="AB37" s="884" t="n"/>
      <c r="AD37" s="884" t="n"/>
      <c r="AF37" s="840">
        <f>SUM(T37:AE37)</f>
        <v/>
      </c>
      <c r="AH37" s="884" t="n"/>
      <c r="AJ37" s="884" t="n"/>
      <c r="AL37" s="884" t="n"/>
      <c r="AN37" s="884" t="n"/>
      <c r="AP37" s="884" t="n"/>
      <c r="AR37" s="884" t="n"/>
      <c r="AS37" s="809" t="n">
        <v>0</v>
      </c>
      <c r="AU37" s="884" t="n"/>
      <c r="AW37" s="884" t="n"/>
      <c r="AY37" s="884" t="n"/>
      <c r="BA37" s="884" t="n"/>
      <c r="BC37" s="884" t="n"/>
      <c r="BE37" s="884" t="n"/>
      <c r="BF37" s="840" t="n">
        <v>0</v>
      </c>
      <c r="BG37" s="840" t="n">
        <v>140400</v>
      </c>
      <c r="BH37" s="810" t="n"/>
      <c r="BI37" s="810" t="n"/>
    </row>
    <row r="38" ht="13.2" customHeight="1" s="586">
      <c r="A38" s="858" t="n"/>
      <c r="B38" s="882" t="inlineStr">
        <is>
          <t>6. People Transfer Stream</t>
        </is>
      </c>
      <c r="C38" s="842" t="n"/>
      <c r="D38" s="883" t="n"/>
      <c r="E38" s="839" t="n">
        <v>56908.8</v>
      </c>
      <c r="F38" s="812" t="n">
        <v>29366.4</v>
      </c>
      <c r="G38" s="839" t="n">
        <v>46694.4</v>
      </c>
      <c r="H38" s="812" t="n">
        <v>79161.60000000001</v>
      </c>
      <c r="I38" s="839" t="n">
        <v>99590.39999999999</v>
      </c>
      <c r="J38" s="839" t="n">
        <v>0</v>
      </c>
      <c r="K38" s="812" t="n">
        <v>0</v>
      </c>
      <c r="L38" s="839" t="n">
        <v>0</v>
      </c>
      <c r="M38" s="812" t="n">
        <v>0</v>
      </c>
      <c r="N38" s="839" t="n">
        <v>0</v>
      </c>
      <c r="O38" s="812" t="n">
        <v>0</v>
      </c>
      <c r="P38" s="839" t="n">
        <v>0</v>
      </c>
      <c r="Q38" s="812" t="n">
        <v>0</v>
      </c>
      <c r="R38" s="839" t="n">
        <v>0</v>
      </c>
      <c r="S38" s="840">
        <f>SUM(E38:R38)</f>
        <v/>
      </c>
      <c r="T38" s="884" t="n"/>
      <c r="V38" s="884" t="n"/>
      <c r="X38" s="884" t="n"/>
      <c r="Z38" s="884" t="n"/>
      <c r="AB38" s="884" t="n"/>
      <c r="AD38" s="884" t="n"/>
      <c r="AF38" s="840">
        <f>SUM(T38:AE38)</f>
        <v/>
      </c>
      <c r="AH38" s="884" t="n"/>
      <c r="AJ38" s="884" t="n"/>
      <c r="AL38" s="884" t="n"/>
      <c r="AN38" s="884" t="n"/>
      <c r="AP38" s="884" t="n"/>
      <c r="AR38" s="884" t="n"/>
      <c r="AS38" s="809" t="n">
        <v>0</v>
      </c>
      <c r="AU38" s="884" t="n"/>
      <c r="AW38" s="884" t="n"/>
      <c r="AY38" s="884" t="n"/>
      <c r="BA38" s="884" t="n"/>
      <c r="BC38" s="884" t="n"/>
      <c r="BE38" s="884" t="n"/>
      <c r="BF38" s="840" t="n">
        <v>0</v>
      </c>
      <c r="BG38" s="840" t="n">
        <v>311721.6</v>
      </c>
      <c r="BH38" s="810" t="n"/>
      <c r="BI38" s="810" t="n"/>
    </row>
    <row r="39" ht="13.8" customHeight="1" s="586">
      <c r="A39" s="849" t="n"/>
      <c r="B39" s="882" t="inlineStr">
        <is>
          <t>7. Knowledge Transfer Stream</t>
        </is>
      </c>
      <c r="C39" s="842" t="n"/>
      <c r="D39" s="883" t="n"/>
      <c r="E39" s="839" t="n">
        <v>0</v>
      </c>
      <c r="F39" s="812" t="n">
        <v>3120</v>
      </c>
      <c r="G39" s="839" t="n">
        <v>28080</v>
      </c>
      <c r="H39" s="812" t="n">
        <v>53040</v>
      </c>
      <c r="I39" s="839" t="n">
        <v>28080</v>
      </c>
      <c r="J39" s="839" t="n">
        <v>0</v>
      </c>
      <c r="K39" s="812" t="n">
        <v>0</v>
      </c>
      <c r="L39" s="839" t="n">
        <v>0</v>
      </c>
      <c r="M39" s="812" t="n">
        <v>0</v>
      </c>
      <c r="N39" s="839" t="n">
        <v>0</v>
      </c>
      <c r="O39" s="812" t="n">
        <v>0</v>
      </c>
      <c r="P39" s="839" t="n">
        <v>0</v>
      </c>
      <c r="Q39" s="812" t="n">
        <v>0</v>
      </c>
      <c r="R39" s="839" t="n">
        <v>0</v>
      </c>
      <c r="S39" s="840">
        <f>SUM(E39:R39)</f>
        <v/>
      </c>
      <c r="T39" s="884" t="n"/>
      <c r="V39" s="884" t="n"/>
      <c r="X39" s="884" t="n"/>
      <c r="Z39" s="884" t="n"/>
      <c r="AB39" s="884" t="n"/>
      <c r="AD39" s="884" t="n"/>
      <c r="AF39" s="840">
        <f>SUM(T39:AE39)</f>
        <v/>
      </c>
      <c r="AH39" s="884" t="n"/>
      <c r="AJ39" s="884" t="n"/>
      <c r="AL39" s="884" t="n"/>
      <c r="AN39" s="884" t="n"/>
      <c r="AP39" s="884" t="n"/>
      <c r="AR39" s="884" t="n"/>
      <c r="AS39" s="809" t="n">
        <v>0</v>
      </c>
      <c r="AU39" s="884" t="n"/>
      <c r="AW39" s="884" t="n"/>
      <c r="AY39" s="884" t="n"/>
      <c r="BA39" s="884" t="n"/>
      <c r="BC39" s="884" t="n"/>
      <c r="BE39" s="884" t="n"/>
      <c r="BF39" s="840" t="n">
        <v>0</v>
      </c>
      <c r="BG39" s="840" t="n">
        <v>112320</v>
      </c>
      <c r="BH39" s="810" t="n"/>
      <c r="BI39" s="810" t="n"/>
    </row>
    <row r="40" ht="13.2" customHeight="1" s="586">
      <c r="A40" s="805" t="n"/>
      <c r="B40" s="882" t="inlineStr">
        <is>
          <t>Communication Expenses</t>
        </is>
      </c>
      <c r="C40" s="842" t="n"/>
      <c r="D40" s="883" t="n"/>
      <c r="E40" s="839" t="n">
        <v>0</v>
      </c>
      <c r="F40" s="839" t="n">
        <v>40000</v>
      </c>
      <c r="G40" s="839" t="n">
        <v>30000</v>
      </c>
      <c r="H40" s="839" t="n">
        <v>20000</v>
      </c>
      <c r="I40" s="839" t="n">
        <v>10000</v>
      </c>
      <c r="J40" s="839" t="n">
        <v>0</v>
      </c>
      <c r="K40" s="812" t="n">
        <v>0</v>
      </c>
      <c r="L40" s="839" t="n">
        <v>0</v>
      </c>
      <c r="M40" s="812" t="n">
        <v>0</v>
      </c>
      <c r="N40" s="839" t="n">
        <v>0</v>
      </c>
      <c r="O40" s="812" t="n">
        <v>0</v>
      </c>
      <c r="P40" s="839" t="n">
        <v>0</v>
      </c>
      <c r="Q40" s="812" t="n">
        <v>0</v>
      </c>
      <c r="R40" s="839" t="n">
        <v>0</v>
      </c>
      <c r="S40" s="840">
        <f>SUM(E40:R40)</f>
        <v/>
      </c>
      <c r="T40" s="884" t="n"/>
      <c r="V40" s="884" t="n"/>
      <c r="X40" s="884" t="n"/>
      <c r="Z40" s="884" t="n"/>
      <c r="AB40" s="884" t="n"/>
      <c r="AD40" s="884" t="n"/>
      <c r="AF40" s="840">
        <f>SUM(T40:AE40)</f>
        <v/>
      </c>
      <c r="AH40" s="884" t="n"/>
      <c r="AJ40" s="884" t="n"/>
      <c r="AL40" s="884" t="n"/>
      <c r="AN40" s="884" t="n"/>
      <c r="AP40" s="884" t="n"/>
      <c r="AR40" s="884" t="n"/>
      <c r="AS40" s="809" t="n">
        <v>0</v>
      </c>
      <c r="AU40" s="884" t="n"/>
      <c r="AW40" s="884" t="n"/>
      <c r="AY40" s="884" t="n"/>
      <c r="BA40" s="884" t="n"/>
      <c r="BC40" s="884" t="n"/>
      <c r="BE40" s="884" t="n"/>
      <c r="BF40" s="840" t="n">
        <v>0</v>
      </c>
      <c r="BG40" s="840" t="n">
        <v>100000</v>
      </c>
      <c r="BH40" s="810" t="n"/>
      <c r="BI40" s="810" t="n"/>
    </row>
    <row r="41" ht="13.8" customHeight="1" s="586">
      <c r="A41" s="805" t="n"/>
      <c r="B41" s="885" t="inlineStr">
        <is>
          <t>Expenses</t>
        </is>
      </c>
      <c r="C41" s="844" t="n"/>
      <c r="D41" s="886" t="n"/>
      <c r="E41" s="846" t="n">
        <v>20000</v>
      </c>
      <c r="F41" s="851" t="n">
        <v>25000</v>
      </c>
      <c r="G41" s="846" t="n">
        <v>25000</v>
      </c>
      <c r="H41" s="851" t="n">
        <v>25000</v>
      </c>
      <c r="I41" s="846" t="n">
        <v>25000</v>
      </c>
      <c r="J41" s="846" t="n">
        <v>0</v>
      </c>
      <c r="K41" s="851" t="n">
        <v>0</v>
      </c>
      <c r="L41" s="846" t="n">
        <v>0</v>
      </c>
      <c r="M41" s="851" t="n">
        <v>0</v>
      </c>
      <c r="N41" s="846" t="n">
        <v>0</v>
      </c>
      <c r="O41" s="851" t="n">
        <v>0</v>
      </c>
      <c r="P41" s="846" t="n">
        <v>0</v>
      </c>
      <c r="Q41" s="851" t="n">
        <v>0</v>
      </c>
      <c r="R41" s="846" t="n">
        <v>0</v>
      </c>
      <c r="S41" s="847">
        <f>SUM(E41:R41)</f>
        <v/>
      </c>
      <c r="T41" s="887" t="n"/>
      <c r="U41" s="888" t="n"/>
      <c r="V41" s="887" t="n"/>
      <c r="W41" s="888" t="n"/>
      <c r="X41" s="887" t="n"/>
      <c r="Y41" s="888" t="n"/>
      <c r="Z41" s="887" t="n"/>
      <c r="AA41" s="888" t="n"/>
      <c r="AB41" s="887" t="n"/>
      <c r="AC41" s="888" t="n"/>
      <c r="AD41" s="887" t="n"/>
      <c r="AE41" s="888" t="n"/>
      <c r="AF41" s="847">
        <f>SUM(T41:AE41)</f>
        <v/>
      </c>
      <c r="AG41" s="888" t="n"/>
      <c r="AH41" s="887" t="n"/>
      <c r="AI41" s="888" t="n"/>
      <c r="AJ41" s="887" t="n"/>
      <c r="AK41" s="888" t="n"/>
      <c r="AL41" s="887" t="n"/>
      <c r="AM41" s="888" t="n"/>
      <c r="AN41" s="887" t="n"/>
      <c r="AO41" s="888" t="n"/>
      <c r="AP41" s="887" t="n"/>
      <c r="AQ41" s="888" t="n"/>
      <c r="AR41" s="887" t="n"/>
      <c r="AS41" s="889" t="n">
        <v>0</v>
      </c>
      <c r="AT41" s="888" t="n"/>
      <c r="AU41" s="887" t="n"/>
      <c r="AV41" s="888" t="n"/>
      <c r="AW41" s="887" t="n"/>
      <c r="AX41" s="888" t="n"/>
      <c r="AY41" s="887" t="n"/>
      <c r="AZ41" s="888" t="n"/>
      <c r="BA41" s="887" t="n"/>
      <c r="BB41" s="888" t="n"/>
      <c r="BC41" s="887" t="n"/>
      <c r="BD41" s="888" t="n"/>
      <c r="BE41" s="887" t="n"/>
      <c r="BF41" s="847" t="n">
        <v>0</v>
      </c>
      <c r="BG41" s="847" t="n">
        <v>120000</v>
      </c>
      <c r="BH41" s="810" t="n"/>
      <c r="BI41" s="810" t="n"/>
    </row>
    <row r="42" ht="13.8" customHeight="1" s="586">
      <c r="B42" s="871" t="inlineStr">
        <is>
          <t>TOTAL</t>
        </is>
      </c>
      <c r="C42" s="872" t="n"/>
      <c r="D42" s="872" t="n"/>
      <c r="E42" s="873">
        <f>SUM(E33:E41)</f>
        <v/>
      </c>
      <c r="F42" s="873">
        <f>SUM(F33:F41)</f>
        <v/>
      </c>
      <c r="G42" s="873">
        <f>SUM(G33:G41)</f>
        <v/>
      </c>
      <c r="H42" s="873">
        <f>SUM(H33:H41)</f>
        <v/>
      </c>
      <c r="I42" s="873">
        <f>SUM(I33:I41)</f>
        <v/>
      </c>
      <c r="J42" s="873">
        <f>SUM(J33:J41)</f>
        <v/>
      </c>
      <c r="K42" s="873">
        <f>SUM(K33:K41)</f>
        <v/>
      </c>
      <c r="L42" s="873">
        <f>SUM(L33:L41)</f>
        <v/>
      </c>
      <c r="M42" s="873">
        <f>SUM(M33:M41)</f>
        <v/>
      </c>
      <c r="N42" s="873">
        <f>SUM(N33:N41)</f>
        <v/>
      </c>
      <c r="O42" s="873">
        <f>SUM(O33:O41)</f>
        <v/>
      </c>
      <c r="P42" s="873">
        <f>SUM(P33:P41)</f>
        <v/>
      </c>
      <c r="Q42" s="873">
        <f>SUM(Q33:Q41)</f>
        <v/>
      </c>
      <c r="R42" s="873">
        <f>SUM(R33:R41)</f>
        <v/>
      </c>
      <c r="S42" s="873">
        <f>SUM(S33:S41)</f>
        <v/>
      </c>
      <c r="T42" s="873">
        <f>SUM(T33:T41)</f>
        <v/>
      </c>
      <c r="U42" s="873">
        <f>SUM(U33:U41)</f>
        <v/>
      </c>
      <c r="V42" s="873">
        <f>SUM(V33:V41)</f>
        <v/>
      </c>
      <c r="W42" s="873">
        <f>SUM(W33:W41)</f>
        <v/>
      </c>
      <c r="X42" s="873">
        <f>SUM(X33:X41)</f>
        <v/>
      </c>
      <c r="Y42" s="873">
        <f>SUM(Y33:Y41)</f>
        <v/>
      </c>
      <c r="Z42" s="873">
        <f>SUM(Z33:Z41)</f>
        <v/>
      </c>
      <c r="AA42" s="873">
        <f>SUM(AA33:AA41)</f>
        <v/>
      </c>
      <c r="AB42" s="873">
        <f>SUM(AB33:AB41)</f>
        <v/>
      </c>
      <c r="AC42" s="873">
        <f>SUM(AC33:AC41)</f>
        <v/>
      </c>
      <c r="AD42" s="873">
        <f>SUM(AD33:AD41)</f>
        <v/>
      </c>
      <c r="AE42" s="873">
        <f>SUM(AE33:AE41)</f>
        <v/>
      </c>
      <c r="AF42" s="873">
        <f>SUM(AF33:AF41)</f>
        <v/>
      </c>
      <c r="AG42" s="873">
        <f>SUM(AG33:AG41)</f>
        <v/>
      </c>
      <c r="AH42" s="873">
        <f>SUM(AH33:AH41)</f>
        <v/>
      </c>
      <c r="AI42" s="873">
        <f>SUM(AI33:AI41)</f>
        <v/>
      </c>
      <c r="AJ42" s="873">
        <f>SUM(AJ33:AJ41)</f>
        <v/>
      </c>
      <c r="AK42" s="873">
        <f>SUM(AK33:AK41)</f>
        <v/>
      </c>
      <c r="AL42" s="873">
        <f>SUM(AL33:AL41)</f>
        <v/>
      </c>
      <c r="AM42" s="873">
        <f>SUM(AM33:AM41)</f>
        <v/>
      </c>
      <c r="AN42" s="873">
        <f>SUM(AN33:AN41)</f>
        <v/>
      </c>
      <c r="AO42" s="873">
        <f>SUM(AO33:AO41)</f>
        <v/>
      </c>
      <c r="AP42" s="873">
        <f>SUM(AP33:AP41)</f>
        <v/>
      </c>
      <c r="AQ42" s="873">
        <f>SUM(AQ33:AQ41)</f>
        <v/>
      </c>
      <c r="AR42" s="873">
        <f>SUM(AR33:AR41)</f>
        <v/>
      </c>
      <c r="AS42" s="873">
        <f>SUM(AS33:AS41)</f>
        <v/>
      </c>
      <c r="AT42" s="873">
        <f>SUM(AT33:AT41)</f>
        <v/>
      </c>
      <c r="AU42" s="873">
        <f>SUM(AU33:AU41)</f>
        <v/>
      </c>
      <c r="AV42" s="873">
        <f>SUM(AV33:AV41)</f>
        <v/>
      </c>
      <c r="AW42" s="873">
        <f>SUM(AW33:AW41)</f>
        <v/>
      </c>
      <c r="AX42" s="873">
        <f>SUM(AX33:AX41)</f>
        <v/>
      </c>
      <c r="AY42" s="873">
        <f>SUM(AY33:AY41)</f>
        <v/>
      </c>
      <c r="AZ42" s="873">
        <f>SUM(AZ33:AZ41)</f>
        <v/>
      </c>
      <c r="BA42" s="873">
        <f>SUM(BA33:BA41)</f>
        <v/>
      </c>
      <c r="BB42" s="873">
        <f>SUM(BB33:BB41)</f>
        <v/>
      </c>
      <c r="BC42" s="873">
        <f>SUM(BC33:BC41)</f>
        <v/>
      </c>
      <c r="BD42" s="873">
        <f>SUM(BD33:BD41)</f>
        <v/>
      </c>
      <c r="BE42" s="873">
        <f>SUM(BE33:BE41)</f>
        <v/>
      </c>
      <c r="BF42" s="873">
        <f>SUM(BF33:BF41)</f>
        <v/>
      </c>
      <c r="BG42" s="874">
        <f>SUM(BG33:BG41)</f>
        <v/>
      </c>
      <c r="BI42" s="810" t="n"/>
    </row>
    <row r="43" ht="13.2" customHeight="1" s="586">
      <c r="B43" s="805" t="n"/>
      <c r="C43" s="854" t="n"/>
      <c r="D43" s="854" t="n"/>
      <c r="E43" s="812" t="n"/>
      <c r="F43" s="812" t="n"/>
      <c r="G43" s="812" t="n"/>
      <c r="H43" s="812" t="n"/>
      <c r="I43" s="812" t="n"/>
      <c r="J43" s="812" t="n"/>
      <c r="K43" s="812" t="n"/>
      <c r="L43" s="812" t="n"/>
      <c r="M43" s="812" t="n"/>
      <c r="N43" s="812" t="n"/>
      <c r="O43" s="812" t="n"/>
      <c r="P43" s="812" t="n"/>
      <c r="Q43" s="812" t="n"/>
      <c r="R43" s="812" t="n"/>
      <c r="T43" s="809" t="n"/>
      <c r="U43" s="809" t="n"/>
      <c r="V43" s="809" t="n"/>
      <c r="W43" s="809" t="n"/>
      <c r="X43" s="809" t="n"/>
      <c r="Y43" s="809" t="n"/>
      <c r="Z43" s="809" t="n"/>
      <c r="AA43" s="809" t="n"/>
      <c r="AB43" s="809" t="n"/>
      <c r="AC43" s="809" t="n"/>
      <c r="AD43" s="809" t="n"/>
      <c r="AE43" s="809" t="n"/>
      <c r="AG43" s="809" t="n"/>
      <c r="AH43" s="809" t="n"/>
      <c r="AI43" s="809" t="n"/>
      <c r="AJ43" s="809" t="n"/>
      <c r="AK43" s="809" t="n"/>
      <c r="AL43" s="809" t="n"/>
      <c r="AM43" s="809" t="n"/>
      <c r="AN43" s="809" t="n"/>
      <c r="AO43" s="809" t="n"/>
      <c r="AP43" s="809" t="n"/>
      <c r="AQ43" s="809" t="n"/>
      <c r="AR43" s="809" t="n"/>
      <c r="AT43" s="809" t="n"/>
      <c r="AU43" s="809" t="n"/>
      <c r="AV43" s="809" t="n"/>
      <c r="AW43" s="809" t="n"/>
      <c r="AX43" s="809" t="n"/>
      <c r="AY43" s="809" t="n"/>
      <c r="AZ43" s="809" t="n"/>
      <c r="BA43" s="809" t="n"/>
      <c r="BB43" s="809" t="n"/>
      <c r="BC43" s="809" t="n"/>
      <c r="BD43" s="809" t="n"/>
      <c r="BE43" s="809" t="n"/>
      <c r="BG43" s="809" t="n"/>
      <c r="BH43" s="810" t="n"/>
    </row>
    <row r="44" ht="13.8" customHeight="1" s="586">
      <c r="B44" s="813" t="n"/>
      <c r="E44" s="815" t="inlineStr">
        <is>
          <t>HR prep</t>
        </is>
      </c>
      <c r="F44" s="816" t="inlineStr">
        <is>
          <t>Prep</t>
        </is>
      </c>
      <c r="G44" s="817" t="n"/>
      <c r="H44" s="815" t="inlineStr">
        <is>
          <t>Transition</t>
        </is>
      </c>
      <c r="I44" s="818" t="n"/>
      <c r="J44" s="817" t="n"/>
      <c r="K44" s="817" t="n"/>
      <c r="L44" s="815" t="n"/>
      <c r="M44" s="815" t="n"/>
      <c r="N44" s="817" t="n"/>
      <c r="O44" s="815" t="n"/>
    </row>
    <row r="45" ht="13.2" customHeight="1" s="586">
      <c r="B45" s="856" t="inlineStr">
        <is>
          <t>Vendor Alpha</t>
        </is>
      </c>
      <c r="C45" s="857" t="n"/>
      <c r="D45" s="820" t="n"/>
      <c r="E45" s="821" t="inlineStr">
        <is>
          <t>Month -1</t>
        </is>
      </c>
      <c r="F45" s="821" t="inlineStr">
        <is>
          <t>Month 0</t>
        </is>
      </c>
      <c r="G45" s="821" t="inlineStr">
        <is>
          <t>Month 1</t>
        </is>
      </c>
      <c r="H45" s="822" t="inlineStr">
        <is>
          <t>Month 2</t>
        </is>
      </c>
      <c r="I45" s="822" t="inlineStr">
        <is>
          <t>Month 3</t>
        </is>
      </c>
      <c r="J45" s="822" t="inlineStr">
        <is>
          <t>Month 4</t>
        </is>
      </c>
      <c r="K45" s="822" t="inlineStr">
        <is>
          <t>Month 5</t>
        </is>
      </c>
      <c r="L45" s="822" t="inlineStr">
        <is>
          <t>Month 6</t>
        </is>
      </c>
      <c r="M45" s="822" t="inlineStr">
        <is>
          <t>Month 7</t>
        </is>
      </c>
      <c r="N45" s="822" t="inlineStr">
        <is>
          <t>Month 8</t>
        </is>
      </c>
      <c r="O45" s="822" t="inlineStr">
        <is>
          <t>Month 9</t>
        </is>
      </c>
      <c r="P45" s="822" t="inlineStr">
        <is>
          <t>Month 10</t>
        </is>
      </c>
      <c r="Q45" s="822" t="inlineStr">
        <is>
          <t>Month 11</t>
        </is>
      </c>
      <c r="R45" s="822" t="inlineStr">
        <is>
          <t>Month 12</t>
        </is>
      </c>
      <c r="S45" s="821" t="n"/>
      <c r="T45" s="822" t="inlineStr">
        <is>
          <t>Month 13</t>
        </is>
      </c>
      <c r="U45" s="822" t="inlineStr">
        <is>
          <t>Month 14</t>
        </is>
      </c>
      <c r="V45" s="822" t="inlineStr">
        <is>
          <t>Month 15</t>
        </is>
      </c>
      <c r="W45" s="822" t="inlineStr">
        <is>
          <t>Month 16</t>
        </is>
      </c>
      <c r="X45" s="822" t="inlineStr">
        <is>
          <t>Month 17</t>
        </is>
      </c>
      <c r="Y45" s="822" t="inlineStr">
        <is>
          <t>Month 18</t>
        </is>
      </c>
      <c r="Z45" s="822" t="inlineStr">
        <is>
          <t>Month 19</t>
        </is>
      </c>
      <c r="AA45" s="822" t="inlineStr">
        <is>
          <t>Month 20</t>
        </is>
      </c>
      <c r="AB45" s="822" t="inlineStr">
        <is>
          <t>Month 21</t>
        </is>
      </c>
      <c r="AC45" s="822" t="inlineStr">
        <is>
          <t>Month 22</t>
        </is>
      </c>
      <c r="AD45" s="822" t="inlineStr">
        <is>
          <t>Month 23</t>
        </is>
      </c>
      <c r="AE45" s="822" t="inlineStr">
        <is>
          <t>Month 24</t>
        </is>
      </c>
      <c r="AF45" s="822" t="n"/>
      <c r="AG45" s="822" t="inlineStr">
        <is>
          <t>Month 25</t>
        </is>
      </c>
      <c r="AH45" s="822" t="inlineStr">
        <is>
          <t>Month 26</t>
        </is>
      </c>
      <c r="AI45" s="822" t="inlineStr">
        <is>
          <t>Month 27</t>
        </is>
      </c>
      <c r="AJ45" s="822" t="inlineStr">
        <is>
          <t>Month 28</t>
        </is>
      </c>
      <c r="AK45" s="822" t="inlineStr">
        <is>
          <t>Month 29</t>
        </is>
      </c>
      <c r="AL45" s="822" t="inlineStr">
        <is>
          <t>Month 30</t>
        </is>
      </c>
      <c r="AM45" s="822" t="inlineStr">
        <is>
          <t>Month 31</t>
        </is>
      </c>
      <c r="AN45" s="822" t="inlineStr">
        <is>
          <t>Month 32</t>
        </is>
      </c>
      <c r="AO45" s="822" t="inlineStr">
        <is>
          <t>Month 33</t>
        </is>
      </c>
      <c r="AP45" s="822" t="inlineStr">
        <is>
          <t>Month 34</t>
        </is>
      </c>
      <c r="AQ45" s="822" t="inlineStr">
        <is>
          <t>Month 35</t>
        </is>
      </c>
      <c r="AR45" s="822" t="inlineStr">
        <is>
          <t>Month 36</t>
        </is>
      </c>
      <c r="AS45" s="822" t="n"/>
      <c r="AT45" s="822" t="inlineStr">
        <is>
          <t>Month 37</t>
        </is>
      </c>
      <c r="AU45" s="822" t="inlineStr">
        <is>
          <t>Month 38</t>
        </is>
      </c>
      <c r="AV45" s="822" t="inlineStr">
        <is>
          <t>Month 39</t>
        </is>
      </c>
      <c r="AW45" s="822" t="inlineStr">
        <is>
          <t>Month 40</t>
        </is>
      </c>
      <c r="AX45" s="822" t="inlineStr">
        <is>
          <t>Month 41</t>
        </is>
      </c>
      <c r="AY45" s="822" t="inlineStr">
        <is>
          <t>Month 42</t>
        </is>
      </c>
      <c r="AZ45" s="822" t="inlineStr">
        <is>
          <t>Month 43</t>
        </is>
      </c>
      <c r="BA45" s="822" t="inlineStr">
        <is>
          <t>Month 44</t>
        </is>
      </c>
      <c r="BB45" s="822" t="inlineStr">
        <is>
          <t>Month 45</t>
        </is>
      </c>
      <c r="BC45" s="822" t="inlineStr">
        <is>
          <t>Month 46</t>
        </is>
      </c>
      <c r="BD45" s="822" t="inlineStr">
        <is>
          <t>Month 47</t>
        </is>
      </c>
      <c r="BE45" s="822" t="inlineStr">
        <is>
          <t>Month 48</t>
        </is>
      </c>
      <c r="BF45" s="822" t="n"/>
      <c r="BG45" s="822" t="n"/>
    </row>
    <row r="46" ht="14.4" customHeight="1" s="586">
      <c r="B46" s="859" t="n"/>
      <c r="C46" s="860" t="n"/>
      <c r="D46" s="824" t="n"/>
      <c r="E46" s="825" t="inlineStr">
        <is>
          <t>FTE's</t>
        </is>
      </c>
      <c r="F46" s="825" t="inlineStr">
        <is>
          <t>FTE's</t>
        </is>
      </c>
      <c r="G46" s="825" t="inlineStr">
        <is>
          <t>FTE's</t>
        </is>
      </c>
      <c r="H46" s="825" t="inlineStr">
        <is>
          <t>FTE's</t>
        </is>
      </c>
      <c r="I46" s="825" t="inlineStr">
        <is>
          <t>FTE's</t>
        </is>
      </c>
      <c r="J46" s="825" t="inlineStr">
        <is>
          <t>FTE's</t>
        </is>
      </c>
      <c r="K46" s="825" t="inlineStr">
        <is>
          <t>FTE's</t>
        </is>
      </c>
      <c r="L46" s="825" t="inlineStr">
        <is>
          <t>FTE's</t>
        </is>
      </c>
      <c r="M46" s="825" t="inlineStr">
        <is>
          <t>FTE's</t>
        </is>
      </c>
      <c r="N46" s="825" t="inlineStr">
        <is>
          <t>FTE's</t>
        </is>
      </c>
      <c r="O46" s="825" t="inlineStr">
        <is>
          <t>FTE's</t>
        </is>
      </c>
      <c r="P46" s="825" t="inlineStr">
        <is>
          <t>FTE's</t>
        </is>
      </c>
      <c r="Q46" s="825" t="inlineStr">
        <is>
          <t>FTE's</t>
        </is>
      </c>
      <c r="R46" s="825" t="inlineStr">
        <is>
          <t>FTE's</t>
        </is>
      </c>
      <c r="S46" s="825" t="n"/>
      <c r="T46" s="825" t="inlineStr">
        <is>
          <t>FTE's</t>
        </is>
      </c>
      <c r="U46" s="825" t="inlineStr">
        <is>
          <t>FTE's</t>
        </is>
      </c>
      <c r="V46" s="825" t="inlineStr">
        <is>
          <t>FTE's</t>
        </is>
      </c>
      <c r="W46" s="825" t="inlineStr">
        <is>
          <t>FTE's</t>
        </is>
      </c>
      <c r="X46" s="825" t="inlineStr">
        <is>
          <t>FTE's</t>
        </is>
      </c>
      <c r="Y46" s="825" t="inlineStr">
        <is>
          <t>FTE's</t>
        </is>
      </c>
      <c r="Z46" s="825" t="inlineStr">
        <is>
          <t>FTE's</t>
        </is>
      </c>
      <c r="AA46" s="825" t="inlineStr">
        <is>
          <t>FTE's</t>
        </is>
      </c>
      <c r="AB46" s="825" t="inlineStr">
        <is>
          <t>FTE's</t>
        </is>
      </c>
      <c r="AC46" s="825" t="inlineStr">
        <is>
          <t>FTE's</t>
        </is>
      </c>
      <c r="AD46" s="825" t="inlineStr">
        <is>
          <t>FTE's</t>
        </is>
      </c>
      <c r="AE46" s="825" t="inlineStr">
        <is>
          <t>FTE's</t>
        </is>
      </c>
      <c r="AF46" s="825" t="n"/>
      <c r="AG46" s="825" t="inlineStr">
        <is>
          <t>FTE's</t>
        </is>
      </c>
      <c r="AH46" s="825" t="inlineStr">
        <is>
          <t>FTE's</t>
        </is>
      </c>
      <c r="AI46" s="825" t="inlineStr">
        <is>
          <t>FTE's</t>
        </is>
      </c>
      <c r="AJ46" s="825" t="inlineStr">
        <is>
          <t>FTE's</t>
        </is>
      </c>
      <c r="AK46" s="825" t="inlineStr">
        <is>
          <t>FTE's</t>
        </is>
      </c>
      <c r="AL46" s="825" t="inlineStr">
        <is>
          <t>FTE's</t>
        </is>
      </c>
      <c r="AM46" s="825" t="inlineStr">
        <is>
          <t>FTE's</t>
        </is>
      </c>
      <c r="AN46" s="825" t="inlineStr">
        <is>
          <t>FTE's</t>
        </is>
      </c>
      <c r="AO46" s="825" t="inlineStr">
        <is>
          <t>FTE's</t>
        </is>
      </c>
      <c r="AP46" s="825" t="inlineStr">
        <is>
          <t>FTE's</t>
        </is>
      </c>
      <c r="AQ46" s="825" t="inlineStr">
        <is>
          <t>FTE's</t>
        </is>
      </c>
      <c r="AR46" s="825" t="inlineStr">
        <is>
          <t>FTE's</t>
        </is>
      </c>
      <c r="AS46" s="825" t="n"/>
      <c r="AT46" s="825" t="inlineStr">
        <is>
          <t>FTE's</t>
        </is>
      </c>
      <c r="AU46" s="825" t="inlineStr">
        <is>
          <t>FTE's</t>
        </is>
      </c>
      <c r="AV46" s="825" t="inlineStr">
        <is>
          <t>FTE's</t>
        </is>
      </c>
      <c r="AW46" s="825" t="inlineStr">
        <is>
          <t>FTE's</t>
        </is>
      </c>
      <c r="AX46" s="825" t="inlineStr">
        <is>
          <t>FTE's</t>
        </is>
      </c>
      <c r="AY46" s="825" t="inlineStr">
        <is>
          <t>FTE's</t>
        </is>
      </c>
      <c r="AZ46" s="825" t="inlineStr">
        <is>
          <t>FTE's</t>
        </is>
      </c>
      <c r="BA46" s="825" t="inlineStr">
        <is>
          <t>FTE's</t>
        </is>
      </c>
      <c r="BB46" s="825" t="inlineStr">
        <is>
          <t>FTE's</t>
        </is>
      </c>
      <c r="BC46" s="825" t="inlineStr">
        <is>
          <t>FTE's</t>
        </is>
      </c>
      <c r="BD46" s="825" t="inlineStr">
        <is>
          <t>FTE's</t>
        </is>
      </c>
      <c r="BE46" s="825" t="inlineStr">
        <is>
          <t>FTE's</t>
        </is>
      </c>
      <c r="BF46" s="825" t="n"/>
      <c r="BG46" s="825" t="n"/>
    </row>
    <row r="47" ht="13.2" customHeight="1" s="586">
      <c r="B47" s="827" t="n"/>
      <c r="C47" s="861" t="n"/>
      <c r="D47" s="862" t="n"/>
      <c r="E47" s="830" t="n"/>
      <c r="F47" s="830" t="n"/>
      <c r="G47" s="830" t="n"/>
      <c r="H47" s="832" t="n"/>
      <c r="I47" s="832" t="n"/>
      <c r="J47" s="832" t="n"/>
      <c r="K47" s="832" t="n"/>
      <c r="L47" s="832" t="n"/>
      <c r="M47" s="832" t="n"/>
      <c r="N47" s="832" t="n"/>
      <c r="O47" s="832" t="n"/>
      <c r="P47" s="832" t="n"/>
      <c r="Q47" s="832" t="n"/>
      <c r="R47" s="832" t="n"/>
      <c r="S47" s="833" t="n"/>
      <c r="T47" s="832" t="n"/>
      <c r="U47" s="832" t="n"/>
      <c r="V47" s="832" t="n"/>
      <c r="W47" s="832" t="n"/>
      <c r="X47" s="832" t="n"/>
      <c r="Y47" s="832" t="n"/>
      <c r="Z47" s="832" t="n"/>
      <c r="AA47" s="832" t="n"/>
      <c r="AB47" s="832" t="n"/>
      <c r="AC47" s="832" t="n"/>
      <c r="AD47" s="832" t="n"/>
      <c r="AE47" s="832" t="n"/>
      <c r="AF47" s="834" t="n"/>
      <c r="AG47" s="832" t="n"/>
      <c r="AH47" s="832" t="n"/>
      <c r="AI47" s="832" t="n"/>
      <c r="AJ47" s="832" t="n"/>
      <c r="AK47" s="832" t="n"/>
      <c r="AL47" s="832" t="n"/>
      <c r="AM47" s="832" t="n"/>
      <c r="AN47" s="832" t="n"/>
      <c r="AO47" s="832" t="n"/>
      <c r="AP47" s="832" t="n"/>
      <c r="AQ47" s="832" t="n"/>
      <c r="AR47" s="832" t="n"/>
      <c r="AS47" s="834" t="n"/>
      <c r="AT47" s="832" t="n"/>
      <c r="AU47" s="832" t="n"/>
      <c r="AV47" s="832" t="n"/>
      <c r="AW47" s="832" t="n"/>
      <c r="AX47" s="832" t="n"/>
      <c r="AY47" s="832" t="n"/>
      <c r="AZ47" s="832" t="n"/>
      <c r="BA47" s="832" t="n"/>
      <c r="BB47" s="832" t="n"/>
      <c r="BC47" s="832" t="n"/>
      <c r="BD47" s="832" t="n"/>
      <c r="BE47" s="832" t="n"/>
      <c r="BF47" s="834" t="n"/>
      <c r="BG47" s="832" t="n"/>
    </row>
    <row r="48" ht="13.2" customHeight="1" s="586">
      <c r="B48" s="836" t="inlineStr">
        <is>
          <t>1. Transition Program Management Stream</t>
        </is>
      </c>
      <c r="C48" s="863" t="inlineStr">
        <is>
          <t xml:space="preserve"> </t>
        </is>
      </c>
      <c r="D48" s="864" t="n"/>
      <c r="E48" s="890" t="n">
        <v>0</v>
      </c>
      <c r="F48" s="890" t="n">
        <v>4.8</v>
      </c>
      <c r="G48" s="890" t="n">
        <v>4.8</v>
      </c>
      <c r="H48" s="890" t="n">
        <v>4.8</v>
      </c>
      <c r="I48" s="890" t="n">
        <v>4.8</v>
      </c>
      <c r="J48" s="865" t="n"/>
      <c r="K48" s="865" t="n"/>
      <c r="L48" s="865" t="n"/>
      <c r="M48" s="865" t="n"/>
      <c r="N48" s="865" t="n"/>
      <c r="O48" s="865" t="n"/>
      <c r="P48" s="865" t="n"/>
      <c r="Q48" s="865" t="n"/>
      <c r="R48" s="865" t="n"/>
      <c r="S48" s="840" t="n"/>
      <c r="T48" s="841" t="n"/>
      <c r="U48" s="841" t="n"/>
      <c r="V48" s="841" t="n"/>
      <c r="W48" s="841" t="n"/>
      <c r="X48" s="841" t="n"/>
      <c r="Y48" s="841" t="n"/>
      <c r="Z48" s="841" t="n"/>
      <c r="AA48" s="841" t="n"/>
      <c r="AB48" s="841" t="n"/>
      <c r="AC48" s="841" t="n"/>
      <c r="AD48" s="841" t="n"/>
      <c r="AE48" s="841" t="n"/>
      <c r="AF48" s="866" t="n"/>
      <c r="AG48" s="841" t="n"/>
      <c r="AH48" s="841" t="n"/>
      <c r="AI48" s="841" t="n"/>
      <c r="AJ48" s="841" t="n"/>
      <c r="AK48" s="841" t="n"/>
      <c r="AL48" s="841" t="n"/>
      <c r="AM48" s="841" t="n"/>
      <c r="AN48" s="841" t="n"/>
      <c r="AO48" s="841" t="n"/>
      <c r="AP48" s="841" t="n"/>
      <c r="AQ48" s="841" t="n"/>
      <c r="AR48" s="841" t="n"/>
      <c r="AS48" s="866" t="n"/>
      <c r="AT48" s="841" t="n"/>
      <c r="AU48" s="841" t="n"/>
      <c r="AV48" s="841" t="n"/>
      <c r="AW48" s="841" t="n"/>
      <c r="AX48" s="841" t="n"/>
      <c r="AY48" s="841" t="n"/>
      <c r="AZ48" s="841" t="n"/>
      <c r="BA48" s="841" t="n"/>
      <c r="BB48" s="841" t="n"/>
      <c r="BC48" s="841" t="n"/>
      <c r="BD48" s="841" t="n"/>
      <c r="BE48" s="841" t="n"/>
      <c r="BF48" s="866" t="n"/>
      <c r="BG48" s="841" t="n"/>
    </row>
    <row r="49" ht="13.2" customHeight="1" s="586">
      <c r="B49" s="836" t="inlineStr">
        <is>
          <t>2. Service Management Stream</t>
        </is>
      </c>
      <c r="C49" s="863" t="inlineStr">
        <is>
          <t xml:space="preserve"> </t>
        </is>
      </c>
      <c r="D49" s="864" t="n"/>
      <c r="E49" s="890" t="n">
        <v>0</v>
      </c>
      <c r="F49" s="890" t="n">
        <v>3.9</v>
      </c>
      <c r="G49" s="890" t="n">
        <v>4.2</v>
      </c>
      <c r="H49" s="890" t="n">
        <v>3.3</v>
      </c>
      <c r="I49" s="890" t="n">
        <v>2.1</v>
      </c>
      <c r="J49" s="865" t="n"/>
      <c r="K49" s="865" t="n"/>
      <c r="L49" s="865" t="n"/>
      <c r="M49" s="865" t="n"/>
      <c r="N49" s="865" t="n"/>
      <c r="O49" s="865" t="n"/>
      <c r="P49" s="865" t="n"/>
      <c r="Q49" s="865" t="n"/>
      <c r="R49" s="865" t="n"/>
      <c r="S49" s="840" t="n"/>
      <c r="T49" s="841" t="n"/>
      <c r="U49" s="841" t="n"/>
      <c r="V49" s="841" t="n"/>
      <c r="W49" s="841" t="n"/>
      <c r="X49" s="841" t="n"/>
      <c r="Y49" s="841" t="n"/>
      <c r="Z49" s="841" t="n"/>
      <c r="AA49" s="841" t="n"/>
      <c r="AB49" s="841" t="n"/>
      <c r="AC49" s="841" t="n"/>
      <c r="AD49" s="841" t="n"/>
      <c r="AE49" s="841" t="n"/>
      <c r="AF49" s="866" t="n"/>
      <c r="AG49" s="841" t="n"/>
      <c r="AH49" s="841" t="n"/>
      <c r="AI49" s="841" t="n"/>
      <c r="AJ49" s="841" t="n"/>
      <c r="AK49" s="841" t="n"/>
      <c r="AL49" s="841" t="n"/>
      <c r="AM49" s="841" t="n"/>
      <c r="AN49" s="841" t="n"/>
      <c r="AO49" s="841" t="n"/>
      <c r="AP49" s="841" t="n"/>
      <c r="AQ49" s="841" t="n"/>
      <c r="AR49" s="841" t="n"/>
      <c r="AS49" s="866" t="n"/>
      <c r="AT49" s="841" t="n"/>
      <c r="AU49" s="841" t="n"/>
      <c r="AV49" s="841" t="n"/>
      <c r="AW49" s="841" t="n"/>
      <c r="AX49" s="841" t="n"/>
      <c r="AY49" s="841" t="n"/>
      <c r="AZ49" s="841" t="n"/>
      <c r="BA49" s="841" t="n"/>
      <c r="BB49" s="841" t="n"/>
      <c r="BC49" s="841" t="n"/>
      <c r="BD49" s="841" t="n"/>
      <c r="BE49" s="841" t="n"/>
      <c r="BF49" s="866" t="n"/>
      <c r="BG49" s="841" t="n"/>
    </row>
    <row r="50" ht="13.2" customHeight="1" s="586">
      <c r="B50" s="836" t="inlineStr">
        <is>
          <t>3. Unit Operations Stream</t>
        </is>
      </c>
      <c r="C50" s="863" t="inlineStr">
        <is>
          <t xml:space="preserve"> </t>
        </is>
      </c>
      <c r="D50" s="864" t="n"/>
      <c r="E50" s="890" t="n">
        <v>0</v>
      </c>
      <c r="F50" s="890" t="n">
        <v>3.3</v>
      </c>
      <c r="G50" s="890" t="n">
        <v>13.2</v>
      </c>
      <c r="H50" s="890" t="n">
        <v>6</v>
      </c>
      <c r="I50" s="890" t="n">
        <v>4.8</v>
      </c>
      <c r="J50" s="865" t="n"/>
      <c r="K50" s="865" t="n"/>
      <c r="L50" s="865" t="n"/>
      <c r="M50" s="865" t="n"/>
      <c r="N50" s="865" t="n"/>
      <c r="O50" s="865" t="n"/>
      <c r="P50" s="865" t="n"/>
      <c r="Q50" s="865" t="n"/>
      <c r="R50" s="865" t="n"/>
      <c r="S50" s="840" t="n"/>
      <c r="T50" s="841" t="n"/>
      <c r="U50" s="841" t="n"/>
      <c r="V50" s="841" t="n"/>
      <c r="W50" s="841" t="n"/>
      <c r="X50" s="841" t="n"/>
      <c r="Y50" s="841" t="n"/>
      <c r="Z50" s="841" t="n"/>
      <c r="AA50" s="841" t="n"/>
      <c r="AB50" s="841" t="n"/>
      <c r="AC50" s="841" t="n"/>
      <c r="AD50" s="841" t="n"/>
      <c r="AE50" s="841" t="n"/>
      <c r="AF50" s="866" t="n"/>
      <c r="AG50" s="841" t="n"/>
      <c r="AH50" s="841" t="n"/>
      <c r="AI50" s="841" t="n"/>
      <c r="AJ50" s="841" t="n"/>
      <c r="AK50" s="841" t="n"/>
      <c r="AL50" s="841" t="n"/>
      <c r="AM50" s="841" t="n"/>
      <c r="AN50" s="841" t="n"/>
      <c r="AO50" s="841" t="n"/>
      <c r="AP50" s="841" t="n"/>
      <c r="AQ50" s="841" t="n"/>
      <c r="AR50" s="841" t="n"/>
      <c r="AS50" s="866" t="n"/>
      <c r="AT50" s="841" t="n"/>
      <c r="AU50" s="841" t="n"/>
      <c r="AV50" s="841" t="n"/>
      <c r="AW50" s="841" t="n"/>
      <c r="AX50" s="841" t="n"/>
      <c r="AY50" s="841" t="n"/>
      <c r="AZ50" s="841" t="n"/>
      <c r="BA50" s="841" t="n"/>
      <c r="BB50" s="841" t="n"/>
      <c r="BC50" s="841" t="n"/>
      <c r="BD50" s="841" t="n"/>
      <c r="BE50" s="841" t="n"/>
      <c r="BF50" s="866" t="n"/>
      <c r="BG50" s="841" t="n"/>
    </row>
    <row r="51" ht="13.2" customHeight="1" s="586">
      <c r="B51" s="836" t="inlineStr">
        <is>
          <t>4. Communications Stream</t>
        </is>
      </c>
      <c r="C51" s="863" t="inlineStr">
        <is>
          <t xml:space="preserve"> </t>
        </is>
      </c>
      <c r="D51" s="864" t="n"/>
      <c r="E51" s="890" t="n">
        <v>2.55</v>
      </c>
      <c r="F51" s="890" t="n">
        <v>1.8</v>
      </c>
      <c r="G51" s="890" t="n">
        <v>1.5</v>
      </c>
      <c r="H51" s="890" t="n">
        <v>1.5</v>
      </c>
      <c r="I51" s="890" t="n">
        <v>1.5</v>
      </c>
      <c r="J51" s="865" t="n"/>
      <c r="K51" s="865" t="n"/>
      <c r="L51" s="865" t="n"/>
      <c r="M51" s="865" t="n"/>
      <c r="N51" s="865" t="n"/>
      <c r="O51" s="865" t="n"/>
      <c r="P51" s="865" t="n"/>
      <c r="Q51" s="865" t="n"/>
      <c r="R51" s="865" t="n"/>
      <c r="S51" s="840" t="n"/>
      <c r="T51" s="841" t="n"/>
      <c r="U51" s="841" t="n"/>
      <c r="V51" s="841" t="n"/>
      <c r="W51" s="841" t="n"/>
      <c r="X51" s="841" t="n"/>
      <c r="Y51" s="841" t="n"/>
      <c r="Z51" s="841" t="n"/>
      <c r="AA51" s="841" t="n"/>
      <c r="AB51" s="841" t="n"/>
      <c r="AC51" s="841" t="n"/>
      <c r="AD51" s="841" t="n"/>
      <c r="AE51" s="841" t="n"/>
      <c r="AF51" s="866" t="n"/>
      <c r="AG51" s="841" t="n"/>
      <c r="AH51" s="841" t="n"/>
      <c r="AI51" s="841" t="n"/>
      <c r="AJ51" s="841" t="n"/>
      <c r="AK51" s="841" t="n"/>
      <c r="AL51" s="841" t="n"/>
      <c r="AM51" s="841" t="n"/>
      <c r="AN51" s="841" t="n"/>
      <c r="AO51" s="841" t="n"/>
      <c r="AP51" s="841" t="n"/>
      <c r="AQ51" s="841" t="n"/>
      <c r="AR51" s="841" t="n"/>
      <c r="AS51" s="866" t="n"/>
      <c r="AT51" s="841" t="n"/>
      <c r="AU51" s="841" t="n"/>
      <c r="AV51" s="841" t="n"/>
      <c r="AW51" s="841" t="n"/>
      <c r="AX51" s="841" t="n"/>
      <c r="AY51" s="841" t="n"/>
      <c r="AZ51" s="841" t="n"/>
      <c r="BA51" s="841" t="n"/>
      <c r="BB51" s="841" t="n"/>
      <c r="BC51" s="841" t="n"/>
      <c r="BD51" s="841" t="n"/>
      <c r="BE51" s="841" t="n"/>
      <c r="BF51" s="866" t="n"/>
      <c r="BG51" s="841" t="n"/>
    </row>
    <row r="52" ht="13.2" customHeight="1" s="586">
      <c r="B52" s="836" t="inlineStr">
        <is>
          <t>5. Finance and Contract Management Stream</t>
        </is>
      </c>
      <c r="C52" s="863" t="inlineStr">
        <is>
          <t xml:space="preserve"> </t>
        </is>
      </c>
      <c r="D52" s="864" t="n"/>
      <c r="E52" s="890" t="n">
        <v>0</v>
      </c>
      <c r="F52" s="890" t="n">
        <v>2.4</v>
      </c>
      <c r="G52" s="890" t="n">
        <v>4.95</v>
      </c>
      <c r="H52" s="890" t="n">
        <v>4.65</v>
      </c>
      <c r="I52" s="890" t="n">
        <v>1.5</v>
      </c>
      <c r="J52" s="865" t="n"/>
      <c r="K52" s="865" t="n"/>
      <c r="L52" s="865" t="n"/>
      <c r="M52" s="865" t="n"/>
      <c r="N52" s="865" t="n"/>
      <c r="O52" s="865" t="n"/>
      <c r="P52" s="865" t="n"/>
      <c r="Q52" s="865" t="n"/>
      <c r="R52" s="865" t="n"/>
      <c r="S52" s="840" t="n"/>
      <c r="T52" s="841" t="n"/>
      <c r="U52" s="841" t="n"/>
      <c r="V52" s="841" t="n"/>
      <c r="W52" s="841" t="n"/>
      <c r="X52" s="841" t="n"/>
      <c r="Y52" s="841" t="n"/>
      <c r="Z52" s="841" t="n"/>
      <c r="AA52" s="841" t="n"/>
      <c r="AB52" s="841" t="n"/>
      <c r="AC52" s="841" t="n"/>
      <c r="AD52" s="841" t="n"/>
      <c r="AE52" s="841" t="n"/>
      <c r="AF52" s="866" t="n"/>
      <c r="AG52" s="841" t="n"/>
      <c r="AH52" s="841" t="n"/>
      <c r="AI52" s="841" t="n"/>
      <c r="AJ52" s="841" t="n"/>
      <c r="AK52" s="841" t="n"/>
      <c r="AL52" s="841" t="n"/>
      <c r="AM52" s="841" t="n"/>
      <c r="AN52" s="841" t="n"/>
      <c r="AO52" s="841" t="n"/>
      <c r="AP52" s="841" t="n"/>
      <c r="AQ52" s="841" t="n"/>
      <c r="AR52" s="841" t="n"/>
      <c r="AS52" s="866" t="n"/>
      <c r="AT52" s="841" t="n"/>
      <c r="AU52" s="841" t="n"/>
      <c r="AV52" s="841" t="n"/>
      <c r="AW52" s="841" t="n"/>
      <c r="AX52" s="841" t="n"/>
      <c r="AY52" s="841" t="n"/>
      <c r="AZ52" s="841" t="n"/>
      <c r="BA52" s="841" t="n"/>
      <c r="BB52" s="841" t="n"/>
      <c r="BC52" s="841" t="n"/>
      <c r="BD52" s="841" t="n"/>
      <c r="BE52" s="841" t="n"/>
      <c r="BF52" s="866" t="n"/>
      <c r="BG52" s="841" t="n"/>
    </row>
    <row r="53" ht="13.2" customHeight="1" s="586">
      <c r="B53" s="836" t="inlineStr">
        <is>
          <t>6. People Transfer Stream</t>
        </is>
      </c>
      <c r="C53" s="863" t="inlineStr">
        <is>
          <t xml:space="preserve"> </t>
        </is>
      </c>
      <c r="D53" s="864" t="n"/>
      <c r="E53" s="890" t="n">
        <v>4.68</v>
      </c>
      <c r="F53" s="890" t="n">
        <v>2.415</v>
      </c>
      <c r="G53" s="890" t="n">
        <v>3.84</v>
      </c>
      <c r="H53" s="890" t="n">
        <v>6.51</v>
      </c>
      <c r="I53" s="890" t="n">
        <v>8.19</v>
      </c>
      <c r="J53" s="865" t="n"/>
      <c r="K53" s="865" t="n"/>
      <c r="L53" s="865" t="n"/>
      <c r="M53" s="865" t="n"/>
      <c r="N53" s="865" t="n"/>
      <c r="O53" s="865" t="n"/>
      <c r="P53" s="865" t="n"/>
      <c r="Q53" s="865" t="n"/>
      <c r="R53" s="865" t="n"/>
      <c r="S53" s="840" t="n"/>
      <c r="T53" s="841" t="n"/>
      <c r="U53" s="841" t="n"/>
      <c r="V53" s="841" t="n"/>
      <c r="W53" s="841" t="n"/>
      <c r="X53" s="841" t="n"/>
      <c r="Y53" s="841" t="n"/>
      <c r="Z53" s="841" t="n"/>
      <c r="AA53" s="841" t="n"/>
      <c r="AB53" s="841" t="n"/>
      <c r="AC53" s="841" t="n"/>
      <c r="AD53" s="841" t="n"/>
      <c r="AE53" s="841" t="n"/>
      <c r="AF53" s="866" t="n"/>
      <c r="AG53" s="841" t="n"/>
      <c r="AH53" s="841" t="n"/>
      <c r="AI53" s="841" t="n"/>
      <c r="AJ53" s="841" t="n"/>
      <c r="AK53" s="841" t="n"/>
      <c r="AL53" s="841" t="n"/>
      <c r="AM53" s="841" t="n"/>
      <c r="AN53" s="841" t="n"/>
      <c r="AO53" s="841" t="n"/>
      <c r="AP53" s="841" t="n"/>
      <c r="AQ53" s="841" t="n"/>
      <c r="AR53" s="841" t="n"/>
      <c r="AS53" s="866" t="n"/>
      <c r="AT53" s="841" t="n"/>
      <c r="AU53" s="841" t="n"/>
      <c r="AV53" s="841" t="n"/>
      <c r="AW53" s="841" t="n"/>
      <c r="AX53" s="841" t="n"/>
      <c r="AY53" s="841" t="n"/>
      <c r="AZ53" s="841" t="n"/>
      <c r="BA53" s="841" t="n"/>
      <c r="BB53" s="841" t="n"/>
      <c r="BC53" s="841" t="n"/>
      <c r="BD53" s="841" t="n"/>
      <c r="BE53" s="841" t="n"/>
      <c r="BF53" s="866" t="n"/>
      <c r="BG53" s="841" t="n"/>
    </row>
    <row r="54" ht="13.8" customHeight="1" s="586">
      <c r="B54" s="843" t="inlineStr">
        <is>
          <t>7. Knowledge Transfer Stream</t>
        </is>
      </c>
      <c r="C54" s="867" t="inlineStr">
        <is>
          <t xml:space="preserve"> </t>
        </is>
      </c>
      <c r="D54" s="868" t="n"/>
      <c r="E54" s="891" t="n">
        <v>0</v>
      </c>
      <c r="F54" s="891" t="n">
        <v>0.3</v>
      </c>
      <c r="G54" s="891" t="n">
        <v>2.7</v>
      </c>
      <c r="H54" s="891" t="n">
        <v>5.1</v>
      </c>
      <c r="I54" s="891" t="n">
        <v>2.7</v>
      </c>
      <c r="J54" s="869" t="n"/>
      <c r="K54" s="869" t="n"/>
      <c r="L54" s="869" t="n"/>
      <c r="M54" s="869" t="n"/>
      <c r="N54" s="869" t="n"/>
      <c r="O54" s="869" t="n"/>
      <c r="P54" s="869" t="n"/>
      <c r="Q54" s="869" t="n"/>
      <c r="R54" s="869" t="n"/>
      <c r="S54" s="847" t="n"/>
      <c r="T54" s="848" t="n"/>
      <c r="U54" s="848" t="n"/>
      <c r="V54" s="848" t="n"/>
      <c r="W54" s="848" t="n"/>
      <c r="X54" s="848" t="n"/>
      <c r="Y54" s="848" t="n"/>
      <c r="Z54" s="848" t="n"/>
      <c r="AA54" s="848" t="n"/>
      <c r="AB54" s="848" t="n"/>
      <c r="AC54" s="848" t="n"/>
      <c r="AD54" s="848" t="n"/>
      <c r="AE54" s="848" t="n"/>
      <c r="AF54" s="870" t="n"/>
      <c r="AG54" s="848" t="n"/>
      <c r="AH54" s="848" t="n"/>
      <c r="AI54" s="848" t="n"/>
      <c r="AJ54" s="848" t="n"/>
      <c r="AK54" s="848" t="n"/>
      <c r="AL54" s="848" t="n"/>
      <c r="AM54" s="848" t="n"/>
      <c r="AN54" s="848" t="n"/>
      <c r="AO54" s="848" t="n"/>
      <c r="AP54" s="848" t="n"/>
      <c r="AQ54" s="848" t="n"/>
      <c r="AR54" s="848" t="n"/>
      <c r="AS54" s="870" t="n"/>
      <c r="AT54" s="848" t="n"/>
      <c r="AU54" s="848" t="n"/>
      <c r="AV54" s="848" t="n"/>
      <c r="AW54" s="848" t="n"/>
      <c r="AX54" s="848" t="n"/>
      <c r="AY54" s="848" t="n"/>
      <c r="AZ54" s="848" t="n"/>
      <c r="BA54" s="848" t="n"/>
      <c r="BB54" s="848" t="n"/>
      <c r="BC54" s="848" t="n"/>
      <c r="BD54" s="848" t="n"/>
      <c r="BE54" s="848" t="n"/>
      <c r="BF54" s="870" t="n"/>
      <c r="BG54" s="848" t="n"/>
    </row>
    <row r="55" ht="13.8" customHeight="1" s="586">
      <c r="B55" s="849" t="inlineStr">
        <is>
          <t>TOTAL</t>
        </is>
      </c>
      <c r="C55" s="850" t="n"/>
      <c r="D55" s="850" t="n"/>
      <c r="E55" s="892" t="n">
        <v>7.23</v>
      </c>
      <c r="F55" s="892" t="n">
        <v>18.915</v>
      </c>
      <c r="G55" s="892" t="n">
        <v>35.19</v>
      </c>
      <c r="H55" s="892" t="n">
        <v>31.86</v>
      </c>
      <c r="I55" s="892" t="n">
        <v>25.59</v>
      </c>
      <c r="J55" s="851" t="n">
        <v>0</v>
      </c>
      <c r="K55" s="851" t="n">
        <v>0</v>
      </c>
      <c r="L55" s="851" t="n">
        <v>0</v>
      </c>
      <c r="M55" s="851" t="n">
        <v>0</v>
      </c>
      <c r="N55" s="851" t="n">
        <v>0</v>
      </c>
      <c r="O55" s="851" t="n">
        <v>0</v>
      </c>
      <c r="P55" s="851" t="n">
        <v>0</v>
      </c>
      <c r="Q55" s="851" t="n">
        <v>0</v>
      </c>
      <c r="R55" s="851" t="n">
        <v>0</v>
      </c>
      <c r="S55" s="851" t="n"/>
      <c r="T55" s="851" t="n">
        <v>0</v>
      </c>
      <c r="U55" s="851" t="n">
        <v>0</v>
      </c>
      <c r="V55" s="851" t="n">
        <v>0</v>
      </c>
      <c r="W55" s="851" t="n">
        <v>0</v>
      </c>
      <c r="X55" s="851" t="n">
        <v>0</v>
      </c>
      <c r="Y55" s="851" t="n">
        <v>0</v>
      </c>
      <c r="Z55" s="851" t="n">
        <v>0</v>
      </c>
      <c r="AA55" s="851" t="n">
        <v>0</v>
      </c>
      <c r="AB55" s="851" t="n">
        <v>0</v>
      </c>
      <c r="AC55" s="851" t="n">
        <v>0</v>
      </c>
      <c r="AD55" s="851" t="n">
        <v>0</v>
      </c>
      <c r="AE55" s="851" t="n">
        <v>0</v>
      </c>
      <c r="AF55" s="851" t="n"/>
      <c r="AG55" s="851" t="n">
        <v>0</v>
      </c>
      <c r="AH55" s="851" t="n">
        <v>0</v>
      </c>
      <c r="AI55" s="851" t="n">
        <v>0</v>
      </c>
      <c r="AJ55" s="851" t="n">
        <v>0</v>
      </c>
      <c r="AK55" s="851" t="n">
        <v>0</v>
      </c>
      <c r="AL55" s="851" t="n">
        <v>0</v>
      </c>
      <c r="AM55" s="851" t="n">
        <v>0</v>
      </c>
      <c r="AN55" s="851" t="n">
        <v>0</v>
      </c>
      <c r="AO55" s="851" t="n">
        <v>0</v>
      </c>
      <c r="AP55" s="851" t="n">
        <v>0</v>
      </c>
      <c r="AQ55" s="851" t="n">
        <v>0</v>
      </c>
      <c r="AR55" s="851" t="n">
        <v>0</v>
      </c>
      <c r="AS55" s="851" t="n"/>
      <c r="AT55" s="851" t="n">
        <v>0</v>
      </c>
      <c r="AU55" s="851" t="n">
        <v>0</v>
      </c>
      <c r="AV55" s="851" t="n">
        <v>0</v>
      </c>
      <c r="AW55" s="851" t="n">
        <v>0</v>
      </c>
      <c r="AX55" s="851" t="n">
        <v>0</v>
      </c>
      <c r="AY55" s="851" t="n">
        <v>0</v>
      </c>
      <c r="AZ55" s="851" t="n">
        <v>0</v>
      </c>
      <c r="BA55" s="851" t="n">
        <v>0</v>
      </c>
      <c r="BB55" s="851" t="n">
        <v>0</v>
      </c>
      <c r="BC55" s="851" t="n">
        <v>0</v>
      </c>
      <c r="BD55" s="851" t="n">
        <v>0</v>
      </c>
      <c r="BE55" s="851" t="n">
        <v>0</v>
      </c>
      <c r="BF55" s="851" t="n"/>
      <c r="BG55" s="893" t="n"/>
    </row>
    <row r="56" ht="13.2" customHeight="1" s="586">
      <c r="B56" s="805" t="n"/>
      <c r="C56" s="854" t="n"/>
      <c r="D56" s="854" t="n"/>
      <c r="E56" s="812" t="n"/>
      <c r="F56" s="812" t="n"/>
      <c r="G56" s="812" t="n"/>
      <c r="H56" s="812" t="n"/>
      <c r="I56" s="812" t="n"/>
      <c r="J56" s="812" t="n"/>
      <c r="K56" s="812" t="n"/>
      <c r="L56" s="812" t="n"/>
      <c r="M56" s="812" t="n"/>
      <c r="N56" s="812" t="n"/>
      <c r="O56" s="812" t="n"/>
      <c r="P56" s="812" t="n"/>
      <c r="Q56" s="812" t="n"/>
      <c r="R56" s="812" t="n"/>
      <c r="S56" s="812" t="n"/>
      <c r="T56" s="812" t="n"/>
      <c r="U56" s="812" t="n"/>
      <c r="V56" s="812" t="n"/>
      <c r="W56" s="812" t="n"/>
      <c r="X56" s="812" t="n"/>
      <c r="Y56" s="812" t="n"/>
      <c r="Z56" s="812" t="n"/>
      <c r="AA56" s="812" t="n"/>
      <c r="AB56" s="812" t="n"/>
      <c r="AC56" s="812" t="n"/>
      <c r="AD56" s="812" t="n"/>
      <c r="AE56" s="812" t="n"/>
      <c r="AF56" s="812" t="n"/>
      <c r="AG56" s="812" t="n"/>
      <c r="AH56" s="812" t="n"/>
      <c r="AI56" s="812" t="n"/>
      <c r="AJ56" s="812" t="n"/>
      <c r="AK56" s="812" t="n"/>
      <c r="AL56" s="812" t="n"/>
      <c r="AM56" s="812" t="n"/>
      <c r="AN56" s="812" t="n"/>
      <c r="AO56" s="812" t="n"/>
      <c r="AP56" s="812" t="n"/>
      <c r="AQ56" s="812" t="n"/>
      <c r="AR56" s="812" t="n"/>
      <c r="AS56" s="812" t="n"/>
      <c r="AT56" s="812" t="n"/>
      <c r="AU56" s="812" t="n"/>
      <c r="AV56" s="812" t="n"/>
      <c r="AW56" s="812" t="n"/>
      <c r="AX56" s="812" t="n"/>
      <c r="AY56" s="812" t="n"/>
      <c r="AZ56" s="812" t="n"/>
      <c r="BA56" s="812" t="n"/>
      <c r="BB56" s="812" t="n"/>
      <c r="BC56" s="812" t="n"/>
      <c r="BD56" s="812" t="n"/>
      <c r="BE56" s="812" t="n"/>
      <c r="BF56" s="812" t="n"/>
      <c r="BG56" s="812" t="n"/>
    </row>
    <row r="57" ht="13.2" customHeight="1" s="586">
      <c r="B57" s="805" t="n"/>
      <c r="C57" s="814" t="n"/>
      <c r="D57" s="814" t="n"/>
      <c r="E57" s="812" t="n"/>
      <c r="F57" s="812" t="n"/>
      <c r="G57" s="812" t="n"/>
      <c r="I57" s="812" t="n"/>
      <c r="J57" s="812" t="n"/>
      <c r="K57" s="812" t="n"/>
      <c r="L57" s="812" t="n"/>
      <c r="M57" s="812" t="n"/>
      <c r="N57" s="812" t="n"/>
      <c r="O57" s="812" t="n"/>
      <c r="P57" s="812" t="n"/>
      <c r="Q57" s="812" t="n"/>
      <c r="R57" s="812" t="n"/>
      <c r="T57" s="809" t="n"/>
      <c r="U57" s="809" t="n"/>
      <c r="V57" s="809" t="n"/>
      <c r="W57" s="809" t="n"/>
      <c r="X57" s="809" t="n"/>
      <c r="Y57" s="809" t="n"/>
      <c r="Z57" s="809" t="n"/>
      <c r="AA57" s="809" t="n"/>
      <c r="AB57" s="809" t="n"/>
      <c r="AC57" s="809" t="n"/>
      <c r="AD57" s="809" t="n"/>
      <c r="AE57" s="809" t="n"/>
      <c r="AG57" s="809" t="n"/>
      <c r="AH57" s="809" t="n"/>
      <c r="AI57" s="809" t="n"/>
      <c r="AJ57" s="809" t="n"/>
      <c r="AK57" s="809" t="n"/>
      <c r="AL57" s="809" t="n"/>
      <c r="AM57" s="809" t="n"/>
      <c r="AN57" s="809" t="n"/>
      <c r="AO57" s="809" t="n"/>
      <c r="AP57" s="809" t="n"/>
      <c r="AQ57" s="809" t="n"/>
      <c r="AR57" s="809" t="n"/>
      <c r="AT57" s="809" t="n"/>
      <c r="AU57" s="809" t="n"/>
      <c r="AV57" s="809" t="n"/>
      <c r="AW57" s="809" t="n"/>
      <c r="AX57" s="809" t="n"/>
      <c r="AY57" s="809" t="n"/>
      <c r="AZ57" s="809" t="n"/>
      <c r="BA57" s="809" t="n"/>
      <c r="BB57" s="809" t="n"/>
      <c r="BC57" s="809" t="n"/>
      <c r="BD57" s="809" t="n"/>
      <c r="BE57" s="809" t="n"/>
      <c r="BG57" s="809" t="n"/>
    </row>
    <row r="58" ht="13.8" customHeight="1" s="586">
      <c r="B58" s="813" t="n"/>
      <c r="E58" s="815" t="inlineStr">
        <is>
          <t>HR prep</t>
        </is>
      </c>
      <c r="F58" s="816" t="inlineStr">
        <is>
          <t>Prep</t>
        </is>
      </c>
      <c r="G58" s="817" t="n"/>
      <c r="H58" s="815" t="inlineStr">
        <is>
          <t>Transition</t>
        </is>
      </c>
      <c r="I58" s="818" t="n"/>
      <c r="J58" s="817" t="n"/>
      <c r="K58" s="817" t="n"/>
      <c r="L58" s="815" t="n"/>
      <c r="M58" s="815" t="n"/>
      <c r="N58" s="817" t="n"/>
      <c r="O58" s="815" t="n"/>
    </row>
    <row r="59" ht="13.2" customHeight="1" s="586">
      <c r="B59" s="819" t="inlineStr">
        <is>
          <t>Vendor Gamma</t>
        </is>
      </c>
      <c r="C59" s="820" t="n"/>
      <c r="D59" s="820" t="inlineStr">
        <is>
          <t>Month -2</t>
        </is>
      </c>
      <c r="E59" s="821" t="inlineStr">
        <is>
          <t>Month -1</t>
        </is>
      </c>
      <c r="F59" s="821" t="inlineStr">
        <is>
          <t>Month 0</t>
        </is>
      </c>
      <c r="G59" s="821" t="inlineStr">
        <is>
          <t>Month 1</t>
        </is>
      </c>
      <c r="H59" s="822" t="inlineStr">
        <is>
          <t>Month 2</t>
        </is>
      </c>
      <c r="I59" s="822" t="inlineStr">
        <is>
          <t>Month 3</t>
        </is>
      </c>
      <c r="J59" s="822" t="inlineStr">
        <is>
          <t>Month 4</t>
        </is>
      </c>
      <c r="K59" s="822" t="inlineStr">
        <is>
          <t>Month 5</t>
        </is>
      </c>
      <c r="L59" s="822" t="inlineStr">
        <is>
          <t>Month 6</t>
        </is>
      </c>
      <c r="M59" s="822" t="inlineStr">
        <is>
          <t>Month 7</t>
        </is>
      </c>
      <c r="N59" s="822" t="inlineStr">
        <is>
          <t>Month 8</t>
        </is>
      </c>
      <c r="O59" s="822" t="inlineStr">
        <is>
          <t>Month 9</t>
        </is>
      </c>
      <c r="P59" s="822" t="inlineStr">
        <is>
          <t>Month 10</t>
        </is>
      </c>
      <c r="Q59" s="822" t="inlineStr">
        <is>
          <t>Month 11</t>
        </is>
      </c>
      <c r="R59" s="822" t="inlineStr">
        <is>
          <t>Month 12</t>
        </is>
      </c>
      <c r="S59" s="821" t="inlineStr">
        <is>
          <t>Year 1</t>
        </is>
      </c>
      <c r="T59" s="822" t="inlineStr">
        <is>
          <t>Month 13</t>
        </is>
      </c>
      <c r="U59" s="822" t="inlineStr">
        <is>
          <t>Month 14</t>
        </is>
      </c>
      <c r="V59" s="822" t="inlineStr">
        <is>
          <t>Month 15</t>
        </is>
      </c>
      <c r="W59" s="822" t="inlineStr">
        <is>
          <t>Month 16</t>
        </is>
      </c>
      <c r="X59" s="822" t="inlineStr">
        <is>
          <t>Month 17</t>
        </is>
      </c>
      <c r="Y59" s="822" t="inlineStr">
        <is>
          <t>Month 18</t>
        </is>
      </c>
      <c r="Z59" s="822" t="inlineStr">
        <is>
          <t>Month 19</t>
        </is>
      </c>
      <c r="AA59" s="822" t="inlineStr">
        <is>
          <t>Month 20</t>
        </is>
      </c>
      <c r="AB59" s="822" t="inlineStr">
        <is>
          <t>Month 21</t>
        </is>
      </c>
      <c r="AC59" s="822" t="inlineStr">
        <is>
          <t>Month 22</t>
        </is>
      </c>
      <c r="AD59" s="822" t="inlineStr">
        <is>
          <t>Month 23</t>
        </is>
      </c>
      <c r="AE59" s="822" t="inlineStr">
        <is>
          <t>Month 24</t>
        </is>
      </c>
      <c r="AF59" s="822" t="inlineStr">
        <is>
          <t>Year 2</t>
        </is>
      </c>
      <c r="AG59" s="822" t="inlineStr">
        <is>
          <t>Month 25</t>
        </is>
      </c>
      <c r="AH59" s="822" t="inlineStr">
        <is>
          <t>Month 26</t>
        </is>
      </c>
      <c r="AI59" s="822" t="inlineStr">
        <is>
          <t>Month 27</t>
        </is>
      </c>
      <c r="AJ59" s="822" t="inlineStr">
        <is>
          <t>Month 28</t>
        </is>
      </c>
      <c r="AK59" s="822" t="inlineStr">
        <is>
          <t>Month 29</t>
        </is>
      </c>
      <c r="AL59" s="822" t="inlineStr">
        <is>
          <t>Month 30</t>
        </is>
      </c>
      <c r="AM59" s="822" t="inlineStr">
        <is>
          <t>Month 31</t>
        </is>
      </c>
      <c r="AN59" s="822" t="inlineStr">
        <is>
          <t>Month 32</t>
        </is>
      </c>
      <c r="AO59" s="822" t="inlineStr">
        <is>
          <t>Month 33</t>
        </is>
      </c>
      <c r="AP59" s="822" t="inlineStr">
        <is>
          <t>Month 34</t>
        </is>
      </c>
      <c r="AQ59" s="822" t="inlineStr">
        <is>
          <t>Month 35</t>
        </is>
      </c>
      <c r="AR59" s="822" t="inlineStr">
        <is>
          <t>Month 36</t>
        </is>
      </c>
      <c r="AS59" s="822" t="inlineStr">
        <is>
          <t>Year 3</t>
        </is>
      </c>
      <c r="AT59" s="822" t="inlineStr">
        <is>
          <t>Month 37</t>
        </is>
      </c>
      <c r="AU59" s="822" t="inlineStr">
        <is>
          <t>Month 38</t>
        </is>
      </c>
      <c r="AV59" s="822" t="inlineStr">
        <is>
          <t>Month 39</t>
        </is>
      </c>
      <c r="AW59" s="822" t="inlineStr">
        <is>
          <t>Month 40</t>
        </is>
      </c>
      <c r="AX59" s="822" t="inlineStr">
        <is>
          <t>Month 41</t>
        </is>
      </c>
      <c r="AY59" s="822" t="inlineStr">
        <is>
          <t>Month 42</t>
        </is>
      </c>
      <c r="AZ59" s="822" t="inlineStr">
        <is>
          <t>Month 43</t>
        </is>
      </c>
      <c r="BA59" s="822" t="inlineStr">
        <is>
          <t>Month 44</t>
        </is>
      </c>
      <c r="BB59" s="822" t="inlineStr">
        <is>
          <t>Month 45</t>
        </is>
      </c>
      <c r="BC59" s="822" t="inlineStr">
        <is>
          <t>Month 46</t>
        </is>
      </c>
      <c r="BD59" s="822" t="inlineStr">
        <is>
          <t>Month 47</t>
        </is>
      </c>
      <c r="BE59" s="822" t="inlineStr">
        <is>
          <t>Month 48</t>
        </is>
      </c>
      <c r="BF59" s="822" t="inlineStr">
        <is>
          <t>Year 4</t>
        </is>
      </c>
      <c r="BG59" s="821" t="inlineStr">
        <is>
          <t>Total</t>
        </is>
      </c>
    </row>
    <row r="60" ht="14.4" customHeight="1" s="586">
      <c r="B60" s="823" t="n"/>
      <c r="C60" s="824" t="n"/>
      <c r="D60" s="824" t="inlineStr">
        <is>
          <t>(Euro)</t>
        </is>
      </c>
      <c r="E60" s="825" t="inlineStr">
        <is>
          <t>(Euro)</t>
        </is>
      </c>
      <c r="F60" s="825" t="inlineStr">
        <is>
          <t>(Euro)</t>
        </is>
      </c>
      <c r="G60" s="825" t="inlineStr">
        <is>
          <t>(Euro)</t>
        </is>
      </c>
      <c r="H60" s="826" t="inlineStr">
        <is>
          <t>(Euro)</t>
        </is>
      </c>
      <c r="I60" s="826" t="inlineStr">
        <is>
          <t>(Euro)</t>
        </is>
      </c>
      <c r="J60" s="826" t="inlineStr">
        <is>
          <t>(Euro)</t>
        </is>
      </c>
      <c r="K60" s="826" t="inlineStr">
        <is>
          <t>(Euro)</t>
        </is>
      </c>
      <c r="L60" s="826" t="inlineStr">
        <is>
          <t>(Euro)</t>
        </is>
      </c>
      <c r="M60" s="826" t="inlineStr">
        <is>
          <t>(Euro)</t>
        </is>
      </c>
      <c r="N60" s="826" t="inlineStr">
        <is>
          <t>(Euro)</t>
        </is>
      </c>
      <c r="O60" s="826" t="inlineStr">
        <is>
          <t>(Euro)</t>
        </is>
      </c>
      <c r="P60" s="826" t="inlineStr">
        <is>
          <t>(Euro)</t>
        </is>
      </c>
      <c r="Q60" s="826" t="inlineStr">
        <is>
          <t>(Euro)</t>
        </is>
      </c>
      <c r="R60" s="826" t="inlineStr">
        <is>
          <t>(Euro)</t>
        </is>
      </c>
      <c r="S60" s="825" t="inlineStr">
        <is>
          <t>(Euro)</t>
        </is>
      </c>
      <c r="T60" s="826" t="inlineStr">
        <is>
          <t>(Euro)</t>
        </is>
      </c>
      <c r="U60" s="826" t="inlineStr">
        <is>
          <t>(Euro)</t>
        </is>
      </c>
      <c r="V60" s="826" t="inlineStr">
        <is>
          <t>(Euro)</t>
        </is>
      </c>
      <c r="W60" s="826" t="inlineStr">
        <is>
          <t>(Euro)</t>
        </is>
      </c>
      <c r="X60" s="826" t="inlineStr">
        <is>
          <t>(Euro)</t>
        </is>
      </c>
      <c r="Y60" s="826" t="inlineStr">
        <is>
          <t>(Euro)</t>
        </is>
      </c>
      <c r="Z60" s="826" t="inlineStr">
        <is>
          <t>(Euro)</t>
        </is>
      </c>
      <c r="AA60" s="826" t="inlineStr">
        <is>
          <t>(Euro)</t>
        </is>
      </c>
      <c r="AB60" s="826" t="inlineStr">
        <is>
          <t>(Euro)</t>
        </is>
      </c>
      <c r="AC60" s="826" t="inlineStr">
        <is>
          <t>(Euro)</t>
        </is>
      </c>
      <c r="AD60" s="826" t="inlineStr">
        <is>
          <t>(Euro)</t>
        </is>
      </c>
      <c r="AE60" s="826" t="inlineStr">
        <is>
          <t>(Euro)</t>
        </is>
      </c>
      <c r="AF60" s="826" t="inlineStr">
        <is>
          <t>(Euro)</t>
        </is>
      </c>
      <c r="AG60" s="826" t="inlineStr">
        <is>
          <t>(Euro)</t>
        </is>
      </c>
      <c r="AH60" s="826" t="inlineStr">
        <is>
          <t>(Euro)</t>
        </is>
      </c>
      <c r="AI60" s="826" t="inlineStr">
        <is>
          <t>(Euro)</t>
        </is>
      </c>
      <c r="AJ60" s="826" t="inlineStr">
        <is>
          <t>(Euro)</t>
        </is>
      </c>
      <c r="AK60" s="826" t="inlineStr">
        <is>
          <t>(Euro)</t>
        </is>
      </c>
      <c r="AL60" s="826" t="inlineStr">
        <is>
          <t>(Euro)</t>
        </is>
      </c>
      <c r="AM60" s="826" t="inlineStr">
        <is>
          <t>(Euro)</t>
        </is>
      </c>
      <c r="AN60" s="826" t="inlineStr">
        <is>
          <t>(Euro)</t>
        </is>
      </c>
      <c r="AO60" s="826" t="inlineStr">
        <is>
          <t>(Euro)</t>
        </is>
      </c>
      <c r="AP60" s="826" t="inlineStr">
        <is>
          <t>(Euro)</t>
        </is>
      </c>
      <c r="AQ60" s="826" t="inlineStr">
        <is>
          <t>(Euro)</t>
        </is>
      </c>
      <c r="AR60" s="826" t="inlineStr">
        <is>
          <t>(Euro)</t>
        </is>
      </c>
      <c r="AS60" s="826" t="inlineStr">
        <is>
          <t>(Euro)</t>
        </is>
      </c>
      <c r="AT60" s="826" t="inlineStr">
        <is>
          <t>(Euro)</t>
        </is>
      </c>
      <c r="AU60" s="826" t="inlineStr">
        <is>
          <t>(Euro)</t>
        </is>
      </c>
      <c r="AV60" s="826" t="inlineStr">
        <is>
          <t>(Euro)</t>
        </is>
      </c>
      <c r="AW60" s="826" t="inlineStr">
        <is>
          <t>(Euro)</t>
        </is>
      </c>
      <c r="AX60" s="826" t="inlineStr">
        <is>
          <t>(Euro)</t>
        </is>
      </c>
      <c r="AY60" s="826" t="inlineStr">
        <is>
          <t>(Euro)</t>
        </is>
      </c>
      <c r="AZ60" s="826" t="inlineStr">
        <is>
          <t>(Euro)</t>
        </is>
      </c>
      <c r="BA60" s="826" t="inlineStr">
        <is>
          <t>(Euro)</t>
        </is>
      </c>
      <c r="BB60" s="826" t="inlineStr">
        <is>
          <t>(Euro)</t>
        </is>
      </c>
      <c r="BC60" s="826" t="inlineStr">
        <is>
          <t>(Euro)</t>
        </is>
      </c>
      <c r="BD60" s="826" t="inlineStr">
        <is>
          <t>(Euro)</t>
        </is>
      </c>
      <c r="BE60" s="826" t="inlineStr">
        <is>
          <t>(Euro)</t>
        </is>
      </c>
      <c r="BF60" s="826" t="inlineStr">
        <is>
          <t>(Euro)</t>
        </is>
      </c>
      <c r="BG60" s="825" t="inlineStr">
        <is>
          <t>(Euro)</t>
        </is>
      </c>
    </row>
    <row r="61" ht="13.2" customHeight="1" s="586">
      <c r="B61" s="827" t="inlineStr">
        <is>
          <t>0. asset management licences</t>
        </is>
      </c>
      <c r="C61" s="879" t="n"/>
      <c r="D61" s="829" t="n"/>
      <c r="E61" s="830" t="n">
        <v>0</v>
      </c>
      <c r="F61" s="894" t="n">
        <v>210000</v>
      </c>
      <c r="G61" s="830" t="n">
        <v>0</v>
      </c>
      <c r="H61" s="832" t="n">
        <v>0</v>
      </c>
      <c r="I61" s="832" t="n">
        <v>0</v>
      </c>
      <c r="J61" s="832" t="n">
        <v>0</v>
      </c>
      <c r="K61" s="832" t="n">
        <v>0</v>
      </c>
      <c r="L61" s="832" t="n">
        <v>0</v>
      </c>
      <c r="M61" s="832" t="n">
        <v>0</v>
      </c>
      <c r="N61" s="832" t="n">
        <v>0</v>
      </c>
      <c r="O61" s="832" t="n">
        <v>0</v>
      </c>
      <c r="P61" s="832" t="n">
        <v>0</v>
      </c>
      <c r="Q61" s="832" t="n">
        <v>0</v>
      </c>
      <c r="R61" s="832" t="n">
        <v>0</v>
      </c>
      <c r="S61" s="833">
        <f>F61</f>
        <v/>
      </c>
      <c r="T61" s="832" t="n"/>
      <c r="U61" s="832" t="n"/>
      <c r="V61" s="832" t="n"/>
      <c r="W61" s="832" t="n"/>
      <c r="X61" s="832" t="n"/>
      <c r="Y61" s="832" t="n"/>
      <c r="Z61" s="832" t="n"/>
      <c r="AA61" s="832" t="n"/>
      <c r="AB61" s="832" t="n"/>
      <c r="AC61" s="832" t="n"/>
      <c r="AD61" s="832" t="n"/>
      <c r="AE61" s="832" t="n"/>
      <c r="AF61" s="833" t="n"/>
      <c r="AG61" s="832" t="n"/>
      <c r="AH61" s="832" t="n"/>
      <c r="AI61" s="832" t="n"/>
      <c r="AJ61" s="832" t="n"/>
      <c r="AK61" s="832" t="n"/>
      <c r="AL61" s="832" t="n"/>
      <c r="AM61" s="832" t="n"/>
      <c r="AN61" s="832" t="n"/>
      <c r="AO61" s="832" t="n"/>
      <c r="AP61" s="832" t="n"/>
      <c r="AQ61" s="832" t="n"/>
      <c r="AR61" s="832" t="n"/>
      <c r="AS61" s="834" t="n"/>
      <c r="AT61" s="832" t="n"/>
      <c r="AU61" s="832" t="n"/>
      <c r="AV61" s="832" t="n"/>
      <c r="AW61" s="832" t="n"/>
      <c r="AX61" s="832" t="n"/>
      <c r="AY61" s="832" t="n"/>
      <c r="AZ61" s="832" t="n"/>
      <c r="BA61" s="832" t="n"/>
      <c r="BB61" s="832" t="n"/>
      <c r="BC61" s="832" t="n"/>
      <c r="BD61" s="832" t="n"/>
      <c r="BE61" s="832" t="n"/>
      <c r="BF61" s="895" t="n"/>
      <c r="BG61" s="896">
        <f>S61</f>
        <v/>
      </c>
    </row>
    <row r="62" ht="13.2" customHeight="1" s="586">
      <c r="B62" s="836" t="inlineStr">
        <is>
          <t>1. Transition Program Management Stream</t>
        </is>
      </c>
      <c r="C62" s="897" t="n"/>
      <c r="D62" s="898" t="n"/>
      <c r="E62" s="839" t="n">
        <v>0</v>
      </c>
      <c r="F62" s="839" t="n">
        <v>58432</v>
      </c>
      <c r="G62" s="839" t="n">
        <v>58432</v>
      </c>
      <c r="H62" s="839" t="n">
        <v>58432</v>
      </c>
      <c r="I62" s="839" t="n">
        <v>53356.8</v>
      </c>
      <c r="J62" s="839" t="n">
        <v>0</v>
      </c>
      <c r="K62" s="839" t="n">
        <v>0</v>
      </c>
      <c r="L62" s="839" t="n">
        <v>0</v>
      </c>
      <c r="M62" s="839" t="n">
        <v>0</v>
      </c>
      <c r="N62" s="839" t="n">
        <v>0</v>
      </c>
      <c r="O62" s="839" t="n">
        <v>0</v>
      </c>
      <c r="P62" s="839" t="n">
        <v>0</v>
      </c>
      <c r="Q62" s="839" t="n">
        <v>0</v>
      </c>
      <c r="R62" s="839" t="n">
        <v>0</v>
      </c>
      <c r="S62" s="840">
        <f>SUM(D62:R62)</f>
        <v/>
      </c>
      <c r="T62" s="841" t="n"/>
      <c r="U62" s="841" t="n"/>
      <c r="V62" s="841" t="n"/>
      <c r="W62" s="841" t="n"/>
      <c r="X62" s="841" t="n"/>
      <c r="Y62" s="841" t="n"/>
      <c r="Z62" s="841" t="n"/>
      <c r="AA62" s="841" t="n"/>
      <c r="AB62" s="841" t="n"/>
      <c r="AC62" s="841" t="n"/>
      <c r="AD62" s="841" t="n"/>
      <c r="AE62" s="841" t="n"/>
      <c r="AF62" s="840">
        <f>SUM(T62:AE62)</f>
        <v/>
      </c>
      <c r="AG62" s="841" t="n"/>
      <c r="AH62" s="841" t="n"/>
      <c r="AI62" s="841" t="n"/>
      <c r="AJ62" s="841" t="n"/>
      <c r="AK62" s="841" t="n"/>
      <c r="AL62" s="841" t="n"/>
      <c r="AM62" s="841" t="n"/>
      <c r="AN62" s="841" t="n"/>
      <c r="AO62" s="841" t="n"/>
      <c r="AP62" s="841" t="n"/>
      <c r="AQ62" s="841" t="n"/>
      <c r="AR62" s="841" t="n"/>
      <c r="AS62" s="840">
        <f>SUM(AG62:AR62)</f>
        <v/>
      </c>
      <c r="AT62" s="841" t="n"/>
      <c r="AU62" s="841" t="n"/>
      <c r="AV62" s="841" t="n"/>
      <c r="AW62" s="841" t="n"/>
      <c r="AX62" s="841" t="n"/>
      <c r="AY62" s="841" t="n"/>
      <c r="AZ62" s="841" t="n"/>
      <c r="BA62" s="841" t="n"/>
      <c r="BB62" s="841" t="n"/>
      <c r="BC62" s="841" t="n"/>
      <c r="BD62" s="841" t="n"/>
      <c r="BE62" s="841" t="n"/>
      <c r="BF62" s="840">
        <f>SUM(AT62:BE62)</f>
        <v/>
      </c>
      <c r="BG62" s="840">
        <f>SUM(AS62,AF62,S62,BF62)</f>
        <v/>
      </c>
      <c r="BI62" s="810" t="n"/>
    </row>
    <row r="63" ht="13.2" customHeight="1" s="586">
      <c r="B63" s="836" t="inlineStr">
        <is>
          <t>2. Service Management Stream</t>
        </is>
      </c>
      <c r="C63" s="899" t="n"/>
      <c r="D63" s="898" t="n"/>
      <c r="E63" s="839" t="n">
        <v>0</v>
      </c>
      <c r="F63" s="839" t="n">
        <v>40972.8</v>
      </c>
      <c r="G63" s="839" t="n">
        <v>65964.8</v>
      </c>
      <c r="H63" s="839" t="n">
        <v>42598.4</v>
      </c>
      <c r="I63" s="839" t="n">
        <v>11360</v>
      </c>
      <c r="J63" s="839" t="n">
        <v>0</v>
      </c>
      <c r="K63" s="839" t="n">
        <v>0</v>
      </c>
      <c r="L63" s="839" t="n">
        <v>0</v>
      </c>
      <c r="M63" s="839" t="n">
        <v>0</v>
      </c>
      <c r="N63" s="839" t="n">
        <v>0</v>
      </c>
      <c r="O63" s="839" t="n">
        <v>0</v>
      </c>
      <c r="P63" s="839" t="n">
        <v>0</v>
      </c>
      <c r="Q63" s="839" t="n">
        <v>0</v>
      </c>
      <c r="R63" s="839" t="n">
        <v>0</v>
      </c>
      <c r="S63" s="840">
        <f>SUM(D63:R63)</f>
        <v/>
      </c>
      <c r="T63" s="841" t="n"/>
      <c r="U63" s="841" t="n"/>
      <c r="V63" s="841" t="n"/>
      <c r="W63" s="841" t="n"/>
      <c r="X63" s="841" t="n"/>
      <c r="Y63" s="841" t="n"/>
      <c r="Z63" s="841" t="n"/>
      <c r="AA63" s="841" t="n"/>
      <c r="AB63" s="841" t="n"/>
      <c r="AC63" s="841" t="n"/>
      <c r="AD63" s="841" t="n"/>
      <c r="AE63" s="841" t="n"/>
      <c r="AF63" s="840">
        <f>SUM(T63:AE63)</f>
        <v/>
      </c>
      <c r="AG63" s="841" t="n"/>
      <c r="AH63" s="841" t="n"/>
      <c r="AI63" s="841" t="n"/>
      <c r="AJ63" s="841" t="n"/>
      <c r="AK63" s="841" t="n"/>
      <c r="AL63" s="841" t="n"/>
      <c r="AM63" s="841" t="n"/>
      <c r="AN63" s="841" t="n"/>
      <c r="AO63" s="841" t="n"/>
      <c r="AP63" s="841" t="n"/>
      <c r="AQ63" s="841" t="n"/>
      <c r="AR63" s="841" t="n"/>
      <c r="AS63" s="840">
        <f>SUM(AG63:AR63)</f>
        <v/>
      </c>
      <c r="AT63" s="841" t="n"/>
      <c r="AU63" s="841" t="n"/>
      <c r="AV63" s="841" t="n"/>
      <c r="AW63" s="841" t="n"/>
      <c r="AX63" s="841" t="n"/>
      <c r="AY63" s="841" t="n"/>
      <c r="AZ63" s="841" t="n"/>
      <c r="BA63" s="841" t="n"/>
      <c r="BB63" s="841" t="n"/>
      <c r="BC63" s="841" t="n"/>
      <c r="BD63" s="841" t="n"/>
      <c r="BE63" s="841" t="n"/>
      <c r="BF63" s="840">
        <f>SUM(AT63:BE63)</f>
        <v/>
      </c>
      <c r="BG63" s="840">
        <f>SUM(AS63,AF63,S63,BF63)</f>
        <v/>
      </c>
      <c r="BH63" s="810" t="n"/>
      <c r="BI63" s="810" t="n"/>
    </row>
    <row r="64" ht="13.2" customHeight="1" s="586">
      <c r="B64" s="836" t="inlineStr">
        <is>
          <t>3. Unit Operations Stream</t>
        </is>
      </c>
      <c r="C64" s="899" t="n"/>
      <c r="D64" s="898" t="n"/>
      <c r="E64" s="839" t="n">
        <v>0</v>
      </c>
      <c r="F64" s="839" t="n">
        <v>19891.2</v>
      </c>
      <c r="G64" s="839" t="n">
        <v>126182.4</v>
      </c>
      <c r="H64" s="839" t="n">
        <v>68640</v>
      </c>
      <c r="I64" s="839" t="n">
        <v>53849.6</v>
      </c>
      <c r="J64" s="839" t="n">
        <v>0</v>
      </c>
      <c r="K64" s="839" t="n">
        <v>0</v>
      </c>
      <c r="L64" s="839" t="n">
        <v>0</v>
      </c>
      <c r="M64" s="839" t="n">
        <v>0</v>
      </c>
      <c r="N64" s="839" t="n">
        <v>0</v>
      </c>
      <c r="O64" s="839" t="n">
        <v>0</v>
      </c>
      <c r="P64" s="839" t="n">
        <v>0</v>
      </c>
      <c r="Q64" s="839" t="n">
        <v>0</v>
      </c>
      <c r="R64" s="839" t="n">
        <v>0</v>
      </c>
      <c r="S64" s="840">
        <f>SUM(D64:R64)</f>
        <v/>
      </c>
      <c r="T64" s="841" t="n"/>
      <c r="U64" s="841" t="n"/>
      <c r="V64" s="841" t="n"/>
      <c r="W64" s="841" t="n"/>
      <c r="X64" s="841" t="n"/>
      <c r="Y64" s="841" t="n"/>
      <c r="Z64" s="841" t="n"/>
      <c r="AA64" s="841" t="n"/>
      <c r="AB64" s="841" t="n"/>
      <c r="AC64" s="841" t="n"/>
      <c r="AD64" s="841" t="n"/>
      <c r="AE64" s="841" t="n"/>
      <c r="AF64" s="840">
        <f>SUM(T64:AE64)</f>
        <v/>
      </c>
      <c r="AG64" s="841" t="n"/>
      <c r="AH64" s="841" t="n"/>
      <c r="AI64" s="841" t="n"/>
      <c r="AJ64" s="841" t="n"/>
      <c r="AK64" s="841" t="n"/>
      <c r="AL64" s="841" t="n"/>
      <c r="AM64" s="841" t="n"/>
      <c r="AN64" s="841" t="n"/>
      <c r="AO64" s="841" t="n"/>
      <c r="AP64" s="841" t="n"/>
      <c r="AQ64" s="841" t="n"/>
      <c r="AR64" s="841" t="n"/>
      <c r="AS64" s="840">
        <f>SUM(AG64:AR64)</f>
        <v/>
      </c>
      <c r="AT64" s="841" t="n"/>
      <c r="AU64" s="841" t="n"/>
      <c r="AV64" s="841" t="n"/>
      <c r="AW64" s="841" t="n"/>
      <c r="AX64" s="841" t="n"/>
      <c r="AY64" s="841" t="n"/>
      <c r="AZ64" s="841" t="n"/>
      <c r="BA64" s="841" t="n"/>
      <c r="BB64" s="841" t="n"/>
      <c r="BC64" s="841" t="n"/>
      <c r="BD64" s="841" t="n"/>
      <c r="BE64" s="841" t="n"/>
      <c r="BF64" s="840">
        <f>SUM(AT64:BE64)</f>
        <v/>
      </c>
      <c r="BG64" s="840">
        <f>SUM(AS64,AF64,S64,BF64)</f>
        <v/>
      </c>
      <c r="BH64" s="810" t="n"/>
      <c r="BI64" s="810" t="n"/>
    </row>
    <row r="65" ht="13.2" customHeight="1" s="586">
      <c r="B65" s="836" t="inlineStr">
        <is>
          <t>4. Communications Stream</t>
        </is>
      </c>
      <c r="C65" s="899" t="n"/>
      <c r="D65" s="898" t="n"/>
      <c r="E65" s="839" t="n">
        <v>13440</v>
      </c>
      <c r="F65" s="839" t="n">
        <v>5376</v>
      </c>
      <c r="G65" s="839" t="n">
        <v>11827.2</v>
      </c>
      <c r="H65" s="839" t="n">
        <v>11827.2</v>
      </c>
      <c r="I65" s="839" t="n">
        <v>11827.2</v>
      </c>
      <c r="J65" s="839" t="n">
        <v>0</v>
      </c>
      <c r="K65" s="839" t="n">
        <v>0</v>
      </c>
      <c r="L65" s="839" t="n">
        <v>0</v>
      </c>
      <c r="M65" s="839" t="n">
        <v>0</v>
      </c>
      <c r="N65" s="839" t="n">
        <v>0</v>
      </c>
      <c r="O65" s="839" t="n">
        <v>0</v>
      </c>
      <c r="P65" s="839" t="n">
        <v>0</v>
      </c>
      <c r="Q65" s="839" t="n">
        <v>0</v>
      </c>
      <c r="R65" s="839" t="n">
        <v>0</v>
      </c>
      <c r="S65" s="840">
        <f>SUM(D65:R65)</f>
        <v/>
      </c>
      <c r="T65" s="841" t="n"/>
      <c r="U65" s="841" t="n"/>
      <c r="V65" s="841" t="n"/>
      <c r="W65" s="841" t="n"/>
      <c r="X65" s="841" t="n"/>
      <c r="Y65" s="841" t="n"/>
      <c r="Z65" s="841" t="n"/>
      <c r="AA65" s="841" t="n"/>
      <c r="AB65" s="841" t="n"/>
      <c r="AC65" s="841" t="n"/>
      <c r="AD65" s="841" t="n"/>
      <c r="AE65" s="841" t="n"/>
      <c r="AF65" s="840">
        <f>SUM(T65:AE65)</f>
        <v/>
      </c>
      <c r="AG65" s="841" t="n"/>
      <c r="AH65" s="841" t="n"/>
      <c r="AI65" s="841" t="n"/>
      <c r="AJ65" s="841" t="n"/>
      <c r="AK65" s="841" t="n"/>
      <c r="AL65" s="841" t="n"/>
      <c r="AM65" s="841" t="n"/>
      <c r="AN65" s="841" t="n"/>
      <c r="AO65" s="841" t="n"/>
      <c r="AP65" s="841" t="n"/>
      <c r="AQ65" s="841" t="n"/>
      <c r="AR65" s="841" t="n"/>
      <c r="AS65" s="840">
        <f>SUM(AG65:AR65)</f>
        <v/>
      </c>
      <c r="AT65" s="841" t="n"/>
      <c r="AU65" s="841" t="n"/>
      <c r="AV65" s="841" t="n"/>
      <c r="AW65" s="841" t="n"/>
      <c r="AX65" s="841" t="n"/>
      <c r="AY65" s="841" t="n"/>
      <c r="AZ65" s="841" t="n"/>
      <c r="BA65" s="841" t="n"/>
      <c r="BB65" s="841" t="n"/>
      <c r="BC65" s="841" t="n"/>
      <c r="BD65" s="841" t="n"/>
      <c r="BE65" s="841" t="n"/>
      <c r="BF65" s="840">
        <f>SUM(AT65:BE65)</f>
        <v/>
      </c>
      <c r="BG65" s="840">
        <f>SUM(AS65,AF65,S65,BF65)</f>
        <v/>
      </c>
      <c r="BH65" s="810" t="n"/>
      <c r="BI65" s="810" t="n"/>
    </row>
    <row r="66" ht="13.2" customHeight="1" s="586">
      <c r="B66" s="836" t="inlineStr">
        <is>
          <t>5. Finance and Contract Management Stream</t>
        </is>
      </c>
      <c r="C66" s="899" t="n"/>
      <c r="D66" s="898" t="n"/>
      <c r="E66" s="839" t="n">
        <v>0</v>
      </c>
      <c r="F66" s="839" t="n">
        <v>12352</v>
      </c>
      <c r="G66" s="839" t="n">
        <v>157428.48</v>
      </c>
      <c r="H66" s="839" t="n">
        <v>160244.48</v>
      </c>
      <c r="I66" s="839" t="n">
        <v>139406.08</v>
      </c>
      <c r="J66" s="839" t="n">
        <v>0</v>
      </c>
      <c r="K66" s="839" t="n">
        <v>0</v>
      </c>
      <c r="L66" s="839" t="n">
        <v>0</v>
      </c>
      <c r="M66" s="839" t="n">
        <v>0</v>
      </c>
      <c r="N66" s="839" t="n">
        <v>0</v>
      </c>
      <c r="O66" s="839" t="n">
        <v>0</v>
      </c>
      <c r="P66" s="839" t="n">
        <v>0</v>
      </c>
      <c r="Q66" s="839" t="n">
        <v>0</v>
      </c>
      <c r="R66" s="839" t="n">
        <v>0</v>
      </c>
      <c r="S66" s="840">
        <f>SUM(D66:R66)</f>
        <v/>
      </c>
      <c r="T66" s="841" t="n"/>
      <c r="U66" s="841" t="n"/>
      <c r="V66" s="841" t="n"/>
      <c r="W66" s="841" t="n"/>
      <c r="X66" s="841" t="n"/>
      <c r="Y66" s="841" t="n"/>
      <c r="Z66" s="841" t="n"/>
      <c r="AA66" s="841" t="n"/>
      <c r="AB66" s="841" t="n"/>
      <c r="AC66" s="841" t="n"/>
      <c r="AD66" s="841" t="n"/>
      <c r="AE66" s="841" t="n"/>
      <c r="AF66" s="840">
        <f>SUM(T66:AE66)</f>
        <v/>
      </c>
      <c r="AG66" s="841" t="n"/>
      <c r="AH66" s="841" t="n"/>
      <c r="AI66" s="841" t="n"/>
      <c r="AJ66" s="841" t="n"/>
      <c r="AK66" s="841" t="n"/>
      <c r="AL66" s="841" t="n"/>
      <c r="AM66" s="841" t="n"/>
      <c r="AN66" s="841" t="n"/>
      <c r="AO66" s="841" t="n"/>
      <c r="AP66" s="841" t="n"/>
      <c r="AQ66" s="841" t="n"/>
      <c r="AR66" s="841" t="n"/>
      <c r="AS66" s="840">
        <f>SUM(AG66:AR66)</f>
        <v/>
      </c>
      <c r="AT66" s="841" t="n"/>
      <c r="AU66" s="841" t="n"/>
      <c r="AV66" s="841" t="n"/>
      <c r="AW66" s="841" t="n"/>
      <c r="AX66" s="841" t="n"/>
      <c r="AY66" s="841" t="n"/>
      <c r="AZ66" s="841" t="n"/>
      <c r="BA66" s="841" t="n"/>
      <c r="BB66" s="841" t="n"/>
      <c r="BC66" s="841" t="n"/>
      <c r="BD66" s="841" t="n"/>
      <c r="BE66" s="841" t="n"/>
      <c r="BF66" s="840">
        <f>SUM(AT66:BE66)</f>
        <v/>
      </c>
      <c r="BG66" s="840">
        <f>SUM(AS66,AF66,S66,BF66)</f>
        <v/>
      </c>
      <c r="BH66" s="810" t="n"/>
      <c r="BI66" s="810" t="n"/>
    </row>
    <row r="67" ht="13.2" customHeight="1" s="586">
      <c r="B67" s="836" t="inlineStr">
        <is>
          <t>6. People Transfer Stream</t>
        </is>
      </c>
      <c r="C67" s="899" t="n"/>
      <c r="D67" s="898" t="n"/>
      <c r="E67" s="839" t="n">
        <v>46592</v>
      </c>
      <c r="F67" s="839" t="n">
        <v>36691.2</v>
      </c>
      <c r="G67" s="839" t="n">
        <v>52416</v>
      </c>
      <c r="H67" s="839" t="n">
        <v>58240</v>
      </c>
      <c r="I67" s="839" t="n">
        <v>40768</v>
      </c>
      <c r="J67" s="839" t="n">
        <v>0</v>
      </c>
      <c r="K67" s="839" t="n">
        <v>0</v>
      </c>
      <c r="L67" s="839" t="n">
        <v>0</v>
      </c>
      <c r="M67" s="839" t="n">
        <v>0</v>
      </c>
      <c r="N67" s="839" t="n">
        <v>0</v>
      </c>
      <c r="O67" s="839" t="n">
        <v>0</v>
      </c>
      <c r="P67" s="839" t="n">
        <v>0</v>
      </c>
      <c r="Q67" s="839" t="n">
        <v>0</v>
      </c>
      <c r="R67" s="839" t="n">
        <v>0</v>
      </c>
      <c r="S67" s="840">
        <f>SUM(D67:R67)</f>
        <v/>
      </c>
      <c r="T67" s="841" t="n"/>
      <c r="U67" s="841" t="n"/>
      <c r="V67" s="841" t="n"/>
      <c r="W67" s="841" t="n"/>
      <c r="X67" s="841" t="n"/>
      <c r="Y67" s="841" t="n"/>
      <c r="Z67" s="841" t="n"/>
      <c r="AA67" s="841" t="n"/>
      <c r="AB67" s="841" t="n"/>
      <c r="AC67" s="841" t="n"/>
      <c r="AD67" s="841" t="n"/>
      <c r="AE67" s="841" t="n"/>
      <c r="AF67" s="840">
        <f>SUM(T67:AE67)</f>
        <v/>
      </c>
      <c r="AG67" s="841" t="n"/>
      <c r="AH67" s="841" t="n"/>
      <c r="AI67" s="841" t="n"/>
      <c r="AJ67" s="841" t="n"/>
      <c r="AK67" s="841" t="n"/>
      <c r="AL67" s="841" t="n"/>
      <c r="AM67" s="841" t="n"/>
      <c r="AN67" s="841" t="n"/>
      <c r="AO67" s="841" t="n"/>
      <c r="AP67" s="841" t="n"/>
      <c r="AQ67" s="841" t="n"/>
      <c r="AR67" s="841" t="n"/>
      <c r="AS67" s="840">
        <f>SUM(AG67:AR67)</f>
        <v/>
      </c>
      <c r="AT67" s="841" t="n"/>
      <c r="AU67" s="841" t="n"/>
      <c r="AV67" s="841" t="n"/>
      <c r="AW67" s="841" t="n"/>
      <c r="AX67" s="841" t="n"/>
      <c r="AY67" s="841" t="n"/>
      <c r="AZ67" s="841" t="n"/>
      <c r="BA67" s="841" t="n"/>
      <c r="BB67" s="841" t="n"/>
      <c r="BC67" s="841" t="n"/>
      <c r="BD67" s="841" t="n"/>
      <c r="BE67" s="841" t="n"/>
      <c r="BF67" s="840">
        <f>SUM(AT67:BE67)</f>
        <v/>
      </c>
      <c r="BG67" s="840">
        <f>SUM(AS67,AF67,S67,BF67)</f>
        <v/>
      </c>
      <c r="BH67" s="810" t="n"/>
      <c r="BI67" s="810" t="n"/>
    </row>
    <row r="68" ht="13.8" customHeight="1" s="586">
      <c r="B68" s="836" t="inlineStr">
        <is>
          <t>7. Knowledge Transfer Stream</t>
        </is>
      </c>
      <c r="C68" s="899" t="n"/>
      <c r="D68" s="898" t="n"/>
      <c r="E68" s="839" t="n">
        <v>0</v>
      </c>
      <c r="F68" s="839" t="n">
        <v>0</v>
      </c>
      <c r="G68" s="839" t="n">
        <v>61737.6</v>
      </c>
      <c r="H68" s="839" t="n">
        <v>57369.6</v>
      </c>
      <c r="I68" s="839" t="n">
        <v>8448</v>
      </c>
      <c r="J68" s="839" t="n">
        <v>0</v>
      </c>
      <c r="K68" s="839" t="n">
        <v>0</v>
      </c>
      <c r="L68" s="839" t="n">
        <v>0</v>
      </c>
      <c r="M68" s="839" t="n">
        <v>0</v>
      </c>
      <c r="N68" s="839" t="n">
        <v>0</v>
      </c>
      <c r="O68" s="839" t="n">
        <v>0</v>
      </c>
      <c r="P68" s="839" t="n">
        <v>0</v>
      </c>
      <c r="Q68" s="839" t="n">
        <v>0</v>
      </c>
      <c r="R68" s="839" t="n">
        <v>0</v>
      </c>
      <c r="S68" s="840">
        <f>SUM(D68:R68)</f>
        <v/>
      </c>
      <c r="T68" s="841" t="n"/>
      <c r="U68" s="841" t="n"/>
      <c r="V68" s="841" t="n"/>
      <c r="W68" s="841" t="n"/>
      <c r="X68" s="841" t="n"/>
      <c r="Y68" s="841" t="n"/>
      <c r="Z68" s="841" t="n"/>
      <c r="AA68" s="841" t="n"/>
      <c r="AB68" s="841" t="n"/>
      <c r="AC68" s="841" t="n"/>
      <c r="AD68" s="841" t="n"/>
      <c r="AE68" s="841" t="n"/>
      <c r="AF68" s="840">
        <f>SUM(T68:AE68)</f>
        <v/>
      </c>
      <c r="AG68" s="841" t="n"/>
      <c r="AH68" s="841" t="n"/>
      <c r="AI68" s="841" t="n"/>
      <c r="AJ68" s="841" t="n"/>
      <c r="AK68" s="841" t="n"/>
      <c r="AL68" s="841" t="n"/>
      <c r="AM68" s="841" t="n"/>
      <c r="AN68" s="841" t="n"/>
      <c r="AO68" s="841" t="n"/>
      <c r="AP68" s="841" t="n"/>
      <c r="AQ68" s="841" t="n"/>
      <c r="AR68" s="841" t="n"/>
      <c r="AS68" s="840">
        <f>SUM(AG68:AR68)</f>
        <v/>
      </c>
      <c r="AT68" s="841" t="n"/>
      <c r="AU68" s="841" t="n"/>
      <c r="AV68" s="841" t="n"/>
      <c r="AW68" s="841" t="n"/>
      <c r="AX68" s="841" t="n"/>
      <c r="AY68" s="841" t="n"/>
      <c r="AZ68" s="841" t="n"/>
      <c r="BA68" s="841" t="n"/>
      <c r="BB68" s="841" t="n"/>
      <c r="BC68" s="841" t="n"/>
      <c r="BD68" s="841" t="n"/>
      <c r="BE68" s="841" t="n"/>
      <c r="BF68" s="840">
        <f>SUM(AT68:BE68)</f>
        <v/>
      </c>
      <c r="BG68" s="840">
        <f>SUM(AS68,AF68,S68,BF68)</f>
        <v/>
      </c>
      <c r="BH68" s="810" t="n"/>
      <c r="BI68" s="810" t="n"/>
    </row>
    <row r="69" ht="13.8" customHeight="1" s="586">
      <c r="B69" s="871" t="inlineStr">
        <is>
          <t>TOTAL</t>
        </is>
      </c>
      <c r="C69" s="872" t="n"/>
      <c r="D69" s="872" t="n"/>
      <c r="E69" s="873">
        <f>SUM(E61:E68)</f>
        <v/>
      </c>
      <c r="F69" s="873">
        <f>SUM(F61:F68)</f>
        <v/>
      </c>
      <c r="G69" s="873">
        <f>SUM(G61:G68)</f>
        <v/>
      </c>
      <c r="H69" s="873">
        <f>SUM(H61:H68)</f>
        <v/>
      </c>
      <c r="I69" s="873">
        <f>SUM(I61:I68)</f>
        <v/>
      </c>
      <c r="J69" s="873">
        <f>SUM(J61:J68)</f>
        <v/>
      </c>
      <c r="K69" s="873">
        <f>SUM(K61:K68)</f>
        <v/>
      </c>
      <c r="L69" s="873">
        <f>SUM(L61:L68)</f>
        <v/>
      </c>
      <c r="M69" s="873">
        <f>SUM(M61:M68)</f>
        <v/>
      </c>
      <c r="N69" s="873">
        <f>SUM(N61:N68)</f>
        <v/>
      </c>
      <c r="O69" s="873">
        <f>SUM(O61:O68)</f>
        <v/>
      </c>
      <c r="P69" s="873">
        <f>SUM(P61:P68)</f>
        <v/>
      </c>
      <c r="Q69" s="873">
        <f>SUM(Q61:Q68)</f>
        <v/>
      </c>
      <c r="R69" s="873">
        <f>SUM(R61:R68)</f>
        <v/>
      </c>
      <c r="S69" s="873">
        <f>SUM(S61:S68)</f>
        <v/>
      </c>
      <c r="T69" s="873">
        <f>SUM(T61:T68)</f>
        <v/>
      </c>
      <c r="U69" s="873">
        <f>SUM(U61:U68)</f>
        <v/>
      </c>
      <c r="V69" s="873">
        <f>SUM(V61:V68)</f>
        <v/>
      </c>
      <c r="W69" s="873">
        <f>SUM(W61:W68)</f>
        <v/>
      </c>
      <c r="X69" s="873">
        <f>SUM(X61:X68)</f>
        <v/>
      </c>
      <c r="Y69" s="873">
        <f>SUM(Y61:Y68)</f>
        <v/>
      </c>
      <c r="Z69" s="873">
        <f>SUM(Z61:Z68)</f>
        <v/>
      </c>
      <c r="AA69" s="873">
        <f>SUM(AA61:AA68)</f>
        <v/>
      </c>
      <c r="AB69" s="873">
        <f>SUM(AB61:AB68)</f>
        <v/>
      </c>
      <c r="AC69" s="873">
        <f>SUM(AC61:AC68)</f>
        <v/>
      </c>
      <c r="AD69" s="873">
        <f>SUM(AD61:AD68)</f>
        <v/>
      </c>
      <c r="AE69" s="873">
        <f>SUM(AE61:AE68)</f>
        <v/>
      </c>
      <c r="AF69" s="873">
        <f>SUM(AF61:AF68)</f>
        <v/>
      </c>
      <c r="AG69" s="873">
        <f>SUM(AG61:AG68)</f>
        <v/>
      </c>
      <c r="AH69" s="873">
        <f>SUM(AH61:AH68)</f>
        <v/>
      </c>
      <c r="AI69" s="873">
        <f>SUM(AI61:AI68)</f>
        <v/>
      </c>
      <c r="AJ69" s="873">
        <f>SUM(AJ61:AJ68)</f>
        <v/>
      </c>
      <c r="AK69" s="873">
        <f>SUM(AK61:AK68)</f>
        <v/>
      </c>
      <c r="AL69" s="873">
        <f>SUM(AL61:AL68)</f>
        <v/>
      </c>
      <c r="AM69" s="873">
        <f>SUM(AM61:AM68)</f>
        <v/>
      </c>
      <c r="AN69" s="873">
        <f>SUM(AN61:AN68)</f>
        <v/>
      </c>
      <c r="AO69" s="873">
        <f>SUM(AO61:AO68)</f>
        <v/>
      </c>
      <c r="AP69" s="873">
        <f>SUM(AP61:AP68)</f>
        <v/>
      </c>
      <c r="AQ69" s="873">
        <f>SUM(AQ61:AQ68)</f>
        <v/>
      </c>
      <c r="AR69" s="873">
        <f>SUM(AR61:AR68)</f>
        <v/>
      </c>
      <c r="AS69" s="873">
        <f>SUM(AS61:AS68)</f>
        <v/>
      </c>
      <c r="AT69" s="873">
        <f>SUM(AT61:AT68)</f>
        <v/>
      </c>
      <c r="AU69" s="873">
        <f>SUM(AU61:AU68)</f>
        <v/>
      </c>
      <c r="AV69" s="873">
        <f>SUM(AV61:AV68)</f>
        <v/>
      </c>
      <c r="AW69" s="873">
        <f>SUM(AW61:AW68)</f>
        <v/>
      </c>
      <c r="AX69" s="873">
        <f>SUM(AX61:AX68)</f>
        <v/>
      </c>
      <c r="AY69" s="873">
        <f>SUM(AY61:AY68)</f>
        <v/>
      </c>
      <c r="AZ69" s="873">
        <f>SUM(AZ61:AZ68)</f>
        <v/>
      </c>
      <c r="BA69" s="873">
        <f>SUM(BA61:BA68)</f>
        <v/>
      </c>
      <c r="BB69" s="873">
        <f>SUM(BB61:BB68)</f>
        <v/>
      </c>
      <c r="BC69" s="873">
        <f>SUM(BC61:BC68)</f>
        <v/>
      </c>
      <c r="BD69" s="873">
        <f>SUM(BD61:BD68)</f>
        <v/>
      </c>
      <c r="BE69" s="873">
        <f>SUM(BE61:BE68)</f>
        <v/>
      </c>
      <c r="BF69" s="873">
        <f>SUM(BF61:BF68)</f>
        <v/>
      </c>
      <c r="BG69" s="874">
        <f>SUM(BG61:BG68)</f>
        <v/>
      </c>
      <c r="BI69" s="810" t="n"/>
    </row>
    <row r="70" ht="13.2" customHeight="1" s="586">
      <c r="B70" s="805" t="n"/>
      <c r="C70" s="854" t="n"/>
      <c r="D70" s="854" t="n"/>
      <c r="E70" s="812" t="n"/>
      <c r="F70" s="812" t="n"/>
      <c r="G70" s="812" t="n"/>
      <c r="H70" s="812" t="n"/>
      <c r="I70" s="812" t="n"/>
      <c r="J70" s="812" t="n"/>
      <c r="K70" s="812" t="n"/>
      <c r="L70" s="812" t="n"/>
      <c r="M70" s="812" t="n"/>
      <c r="N70" s="812" t="n"/>
      <c r="O70" s="812" t="n"/>
      <c r="P70" s="812" t="n"/>
      <c r="Q70" s="812" t="n"/>
      <c r="R70" s="812" t="n"/>
      <c r="T70" s="809" t="n"/>
      <c r="U70" s="809" t="n"/>
      <c r="V70" s="809" t="n"/>
      <c r="W70" s="809" t="n"/>
      <c r="X70" s="809" t="n"/>
      <c r="Y70" s="809" t="n"/>
      <c r="Z70" s="809" t="n"/>
      <c r="AA70" s="809" t="n"/>
      <c r="AB70" s="809" t="n"/>
      <c r="AC70" s="809" t="n"/>
      <c r="AD70" s="809" t="n"/>
      <c r="AE70" s="809" t="n"/>
      <c r="AG70" s="809" t="n"/>
      <c r="AH70" s="809" t="n"/>
      <c r="AI70" s="809" t="n"/>
      <c r="AJ70" s="809" t="n"/>
      <c r="AK70" s="809" t="n"/>
      <c r="AL70" s="809" t="n"/>
      <c r="AM70" s="809" t="n"/>
      <c r="AN70" s="809" t="n"/>
      <c r="AO70" s="809" t="n"/>
      <c r="AP70" s="809" t="n"/>
      <c r="AQ70" s="809" t="n"/>
      <c r="AR70" s="809" t="n"/>
      <c r="AT70" s="809" t="n"/>
      <c r="AU70" s="809" t="n"/>
      <c r="AV70" s="809" t="n"/>
      <c r="AW70" s="809" t="n"/>
      <c r="AX70" s="809" t="n"/>
      <c r="AY70" s="809" t="n"/>
      <c r="AZ70" s="809" t="n"/>
      <c r="BA70" s="809" t="n"/>
      <c r="BB70" s="809" t="n"/>
      <c r="BC70" s="809" t="n"/>
      <c r="BD70" s="809" t="n"/>
      <c r="BE70" s="809" t="n"/>
      <c r="BG70" s="809" t="n"/>
      <c r="BH70" s="810" t="n"/>
      <c r="BI70" s="810" t="n"/>
    </row>
    <row r="71" ht="13.8" customHeight="1" s="586">
      <c r="B71" s="813" t="n"/>
      <c r="E71" s="815" t="inlineStr">
        <is>
          <t>HR prep</t>
        </is>
      </c>
      <c r="F71" s="816" t="inlineStr">
        <is>
          <t>Prep</t>
        </is>
      </c>
      <c r="G71" s="817" t="n"/>
      <c r="H71" s="815" t="inlineStr">
        <is>
          <t>Transition</t>
        </is>
      </c>
      <c r="I71" s="818" t="n"/>
      <c r="J71" s="817" t="n"/>
      <c r="K71" s="817" t="n"/>
      <c r="L71" s="815" t="n"/>
      <c r="M71" s="815" t="n"/>
      <c r="N71" s="817" t="n"/>
      <c r="O71" s="815" t="n"/>
      <c r="BI71" s="810" t="n"/>
    </row>
    <row r="72" ht="13.2" customHeight="1" s="586">
      <c r="B72" s="856" t="inlineStr">
        <is>
          <t>Vendor Gamma</t>
        </is>
      </c>
      <c r="C72" s="857" t="n"/>
      <c r="D72" s="820" t="n"/>
      <c r="E72" s="821" t="inlineStr">
        <is>
          <t>Month -1</t>
        </is>
      </c>
      <c r="F72" s="821" t="inlineStr">
        <is>
          <t>Month 0</t>
        </is>
      </c>
      <c r="G72" s="821" t="inlineStr">
        <is>
          <t>Month 1</t>
        </is>
      </c>
      <c r="H72" s="822" t="inlineStr">
        <is>
          <t>Month 2</t>
        </is>
      </c>
      <c r="I72" s="822" t="inlineStr">
        <is>
          <t>Month 3</t>
        </is>
      </c>
      <c r="J72" s="822" t="inlineStr">
        <is>
          <t>Month 4</t>
        </is>
      </c>
      <c r="K72" s="822" t="inlineStr">
        <is>
          <t>Month 5</t>
        </is>
      </c>
      <c r="L72" s="822" t="inlineStr">
        <is>
          <t>Month 6</t>
        </is>
      </c>
      <c r="M72" s="822" t="inlineStr">
        <is>
          <t>Month 7</t>
        </is>
      </c>
      <c r="N72" s="822" t="inlineStr">
        <is>
          <t>Month 8</t>
        </is>
      </c>
      <c r="O72" s="822" t="inlineStr">
        <is>
          <t>Month 9</t>
        </is>
      </c>
      <c r="P72" s="822" t="inlineStr">
        <is>
          <t>Month 10</t>
        </is>
      </c>
      <c r="Q72" s="822" t="inlineStr">
        <is>
          <t>Month 11</t>
        </is>
      </c>
      <c r="R72" s="822" t="inlineStr">
        <is>
          <t>Month 12</t>
        </is>
      </c>
      <c r="S72" s="821" t="n"/>
      <c r="T72" s="822" t="inlineStr">
        <is>
          <t>Month 13</t>
        </is>
      </c>
      <c r="U72" s="822" t="inlineStr">
        <is>
          <t>Month 14</t>
        </is>
      </c>
      <c r="V72" s="822" t="inlineStr">
        <is>
          <t>Month 15</t>
        </is>
      </c>
      <c r="W72" s="822" t="inlineStr">
        <is>
          <t>Month 16</t>
        </is>
      </c>
      <c r="X72" s="822" t="inlineStr">
        <is>
          <t>Month 17</t>
        </is>
      </c>
      <c r="Y72" s="822" t="inlineStr">
        <is>
          <t>Month 18</t>
        </is>
      </c>
      <c r="Z72" s="822" t="inlineStr">
        <is>
          <t>Month 19</t>
        </is>
      </c>
      <c r="AA72" s="822" t="inlineStr">
        <is>
          <t>Month 20</t>
        </is>
      </c>
      <c r="AB72" s="822" t="inlineStr">
        <is>
          <t>Month 21</t>
        </is>
      </c>
      <c r="AC72" s="822" t="inlineStr">
        <is>
          <t>Month 22</t>
        </is>
      </c>
      <c r="AD72" s="822" t="inlineStr">
        <is>
          <t>Month 23</t>
        </is>
      </c>
      <c r="AE72" s="822" t="inlineStr">
        <is>
          <t>Month 24</t>
        </is>
      </c>
      <c r="AF72" s="822" t="n"/>
      <c r="AG72" s="822" t="inlineStr">
        <is>
          <t>Month 25</t>
        </is>
      </c>
      <c r="AH72" s="822" t="inlineStr">
        <is>
          <t>Month 26</t>
        </is>
      </c>
      <c r="AI72" s="822" t="inlineStr">
        <is>
          <t>Month 27</t>
        </is>
      </c>
      <c r="AJ72" s="822" t="inlineStr">
        <is>
          <t>Month 28</t>
        </is>
      </c>
      <c r="AK72" s="822" t="inlineStr">
        <is>
          <t>Month 29</t>
        </is>
      </c>
      <c r="AL72" s="822" t="inlineStr">
        <is>
          <t>Month 30</t>
        </is>
      </c>
      <c r="AM72" s="822" t="inlineStr">
        <is>
          <t>Month 31</t>
        </is>
      </c>
      <c r="AN72" s="822" t="inlineStr">
        <is>
          <t>Month 32</t>
        </is>
      </c>
      <c r="AO72" s="822" t="inlineStr">
        <is>
          <t>Month 33</t>
        </is>
      </c>
      <c r="AP72" s="822" t="inlineStr">
        <is>
          <t>Month 34</t>
        </is>
      </c>
      <c r="AQ72" s="822" t="inlineStr">
        <is>
          <t>Month 35</t>
        </is>
      </c>
      <c r="AR72" s="822" t="inlineStr">
        <is>
          <t>Month 36</t>
        </is>
      </c>
      <c r="AS72" s="822" t="n"/>
      <c r="AT72" s="822" t="inlineStr">
        <is>
          <t>Month 37</t>
        </is>
      </c>
      <c r="AU72" s="822" t="inlineStr">
        <is>
          <t>Month 38</t>
        </is>
      </c>
      <c r="AV72" s="822" t="inlineStr">
        <is>
          <t>Month 39</t>
        </is>
      </c>
      <c r="AW72" s="822" t="inlineStr">
        <is>
          <t>Month 40</t>
        </is>
      </c>
      <c r="AX72" s="822" t="inlineStr">
        <is>
          <t>Month 41</t>
        </is>
      </c>
      <c r="AY72" s="822" t="inlineStr">
        <is>
          <t>Month 42</t>
        </is>
      </c>
      <c r="AZ72" s="822" t="inlineStr">
        <is>
          <t>Month 43</t>
        </is>
      </c>
      <c r="BA72" s="822" t="inlineStr">
        <is>
          <t>Month 44</t>
        </is>
      </c>
      <c r="BB72" s="822" t="inlineStr">
        <is>
          <t>Month 45</t>
        </is>
      </c>
      <c r="BC72" s="822" t="inlineStr">
        <is>
          <t>Month 46</t>
        </is>
      </c>
      <c r="BD72" s="822" t="inlineStr">
        <is>
          <t>Month 47</t>
        </is>
      </c>
      <c r="BE72" s="822" t="inlineStr">
        <is>
          <t>Month 48</t>
        </is>
      </c>
      <c r="BF72" s="822" t="n"/>
      <c r="BG72" s="822" t="n"/>
    </row>
    <row r="73" ht="14.4" customHeight="1" s="586">
      <c r="B73" s="859" t="n"/>
      <c r="C73" s="860" t="n"/>
      <c r="D73" s="824" t="n"/>
      <c r="E73" s="825" t="inlineStr">
        <is>
          <t>FTE's</t>
        </is>
      </c>
      <c r="F73" s="825" t="inlineStr">
        <is>
          <t>FTE's</t>
        </is>
      </c>
      <c r="G73" s="825" t="inlineStr">
        <is>
          <t>FTE's</t>
        </is>
      </c>
      <c r="H73" s="825" t="inlineStr">
        <is>
          <t>FTE's</t>
        </is>
      </c>
      <c r="I73" s="825" t="inlineStr">
        <is>
          <t>FTE's</t>
        </is>
      </c>
      <c r="J73" s="825" t="inlineStr">
        <is>
          <t>FTE's</t>
        </is>
      </c>
      <c r="K73" s="825" t="inlineStr">
        <is>
          <t>FTE's</t>
        </is>
      </c>
      <c r="L73" s="825" t="inlineStr">
        <is>
          <t>FTE's</t>
        </is>
      </c>
      <c r="M73" s="825" t="inlineStr">
        <is>
          <t>FTE's</t>
        </is>
      </c>
      <c r="N73" s="825" t="inlineStr">
        <is>
          <t>FTE's</t>
        </is>
      </c>
      <c r="O73" s="825" t="inlineStr">
        <is>
          <t>FTE's</t>
        </is>
      </c>
      <c r="P73" s="825" t="inlineStr">
        <is>
          <t>FTE's</t>
        </is>
      </c>
      <c r="Q73" s="825" t="inlineStr">
        <is>
          <t>FTE's</t>
        </is>
      </c>
      <c r="R73" s="825" t="inlineStr">
        <is>
          <t>FTE's</t>
        </is>
      </c>
      <c r="S73" s="825" t="n"/>
      <c r="T73" s="825" t="inlineStr">
        <is>
          <t>FTE's</t>
        </is>
      </c>
      <c r="U73" s="825" t="inlineStr">
        <is>
          <t>FTE's</t>
        </is>
      </c>
      <c r="V73" s="825" t="inlineStr">
        <is>
          <t>FTE's</t>
        </is>
      </c>
      <c r="W73" s="825" t="inlineStr">
        <is>
          <t>FTE's</t>
        </is>
      </c>
      <c r="X73" s="825" t="inlineStr">
        <is>
          <t>FTE's</t>
        </is>
      </c>
      <c r="Y73" s="825" t="inlineStr">
        <is>
          <t>FTE's</t>
        </is>
      </c>
      <c r="Z73" s="825" t="inlineStr">
        <is>
          <t>FTE's</t>
        </is>
      </c>
      <c r="AA73" s="825" t="inlineStr">
        <is>
          <t>FTE's</t>
        </is>
      </c>
      <c r="AB73" s="825" t="inlineStr">
        <is>
          <t>FTE's</t>
        </is>
      </c>
      <c r="AC73" s="825" t="inlineStr">
        <is>
          <t>FTE's</t>
        </is>
      </c>
      <c r="AD73" s="825" t="inlineStr">
        <is>
          <t>FTE's</t>
        </is>
      </c>
      <c r="AE73" s="825" t="inlineStr">
        <is>
          <t>FTE's</t>
        </is>
      </c>
      <c r="AF73" s="825" t="n"/>
      <c r="AG73" s="825" t="inlineStr">
        <is>
          <t>FTE's</t>
        </is>
      </c>
      <c r="AH73" s="825" t="inlineStr">
        <is>
          <t>FTE's</t>
        </is>
      </c>
      <c r="AI73" s="825" t="inlineStr">
        <is>
          <t>FTE's</t>
        </is>
      </c>
      <c r="AJ73" s="825" t="inlineStr">
        <is>
          <t>FTE's</t>
        </is>
      </c>
      <c r="AK73" s="825" t="inlineStr">
        <is>
          <t>FTE's</t>
        </is>
      </c>
      <c r="AL73" s="825" t="inlineStr">
        <is>
          <t>FTE's</t>
        </is>
      </c>
      <c r="AM73" s="825" t="inlineStr">
        <is>
          <t>FTE's</t>
        </is>
      </c>
      <c r="AN73" s="825" t="inlineStr">
        <is>
          <t>FTE's</t>
        </is>
      </c>
      <c r="AO73" s="825" t="inlineStr">
        <is>
          <t>FTE's</t>
        </is>
      </c>
      <c r="AP73" s="825" t="inlineStr">
        <is>
          <t>FTE's</t>
        </is>
      </c>
      <c r="AQ73" s="825" t="inlineStr">
        <is>
          <t>FTE's</t>
        </is>
      </c>
      <c r="AR73" s="825" t="inlineStr">
        <is>
          <t>FTE's</t>
        </is>
      </c>
      <c r="AS73" s="825" t="n"/>
      <c r="AT73" s="825" t="inlineStr">
        <is>
          <t>FTE's</t>
        </is>
      </c>
      <c r="AU73" s="825" t="inlineStr">
        <is>
          <t>FTE's</t>
        </is>
      </c>
      <c r="AV73" s="825" t="inlineStr">
        <is>
          <t>FTE's</t>
        </is>
      </c>
      <c r="AW73" s="825" t="inlineStr">
        <is>
          <t>FTE's</t>
        </is>
      </c>
      <c r="AX73" s="825" t="inlineStr">
        <is>
          <t>FTE's</t>
        </is>
      </c>
      <c r="AY73" s="825" t="inlineStr">
        <is>
          <t>FTE's</t>
        </is>
      </c>
      <c r="AZ73" s="825" t="inlineStr">
        <is>
          <t>FTE's</t>
        </is>
      </c>
      <c r="BA73" s="825" t="inlineStr">
        <is>
          <t>FTE's</t>
        </is>
      </c>
      <c r="BB73" s="825" t="inlineStr">
        <is>
          <t>FTE's</t>
        </is>
      </c>
      <c r="BC73" s="825" t="inlineStr">
        <is>
          <t>FTE's</t>
        </is>
      </c>
      <c r="BD73" s="825" t="inlineStr">
        <is>
          <t>FTE's</t>
        </is>
      </c>
      <c r="BE73" s="825" t="inlineStr">
        <is>
          <t>FTE's</t>
        </is>
      </c>
      <c r="BF73" s="825" t="n"/>
      <c r="BG73" s="825" t="n"/>
    </row>
    <row r="74" ht="13.2" customHeight="1" s="586">
      <c r="B74" s="827" t="n"/>
      <c r="C74" s="861" t="n"/>
      <c r="D74" s="862" t="n"/>
      <c r="E74" s="900" t="n"/>
      <c r="F74" s="900" t="n"/>
      <c r="G74" s="900" t="n"/>
      <c r="H74" s="901" t="n"/>
      <c r="I74" s="901" t="n"/>
      <c r="J74" s="901" t="n"/>
      <c r="K74" s="832" t="n"/>
      <c r="L74" s="832" t="n"/>
      <c r="M74" s="832" t="n"/>
      <c r="N74" s="832" t="n"/>
      <c r="O74" s="832" t="n"/>
      <c r="P74" s="832" t="n"/>
      <c r="Q74" s="832" t="n"/>
      <c r="R74" s="832" t="n"/>
      <c r="S74" s="833" t="n"/>
      <c r="T74" s="832" t="n"/>
      <c r="U74" s="832" t="n"/>
      <c r="V74" s="832" t="n"/>
      <c r="W74" s="832" t="n"/>
      <c r="X74" s="832" t="n"/>
      <c r="Y74" s="832" t="n"/>
      <c r="Z74" s="832" t="n"/>
      <c r="AA74" s="832" t="n"/>
      <c r="AB74" s="832" t="n"/>
      <c r="AC74" s="832" t="n"/>
      <c r="AD74" s="832" t="n"/>
      <c r="AE74" s="832" t="n"/>
      <c r="AF74" s="834" t="n"/>
      <c r="AG74" s="832" t="n"/>
      <c r="AH74" s="832" t="n"/>
      <c r="AI74" s="832" t="n"/>
      <c r="AJ74" s="832" t="n"/>
      <c r="AK74" s="832" t="n"/>
      <c r="AL74" s="832" t="n"/>
      <c r="AM74" s="832" t="n"/>
      <c r="AN74" s="832" t="n"/>
      <c r="AO74" s="832" t="n"/>
      <c r="AP74" s="832" t="n"/>
      <c r="AQ74" s="832" t="n"/>
      <c r="AR74" s="832" t="n"/>
      <c r="AS74" s="834" t="n"/>
      <c r="AT74" s="832" t="n"/>
      <c r="AU74" s="832" t="n"/>
      <c r="AV74" s="832" t="n"/>
      <c r="AW74" s="832" t="n"/>
      <c r="AX74" s="832" t="n"/>
      <c r="AY74" s="832" t="n"/>
      <c r="AZ74" s="832" t="n"/>
      <c r="BA74" s="832" t="n"/>
      <c r="BB74" s="832" t="n"/>
      <c r="BC74" s="832" t="n"/>
      <c r="BD74" s="832" t="n"/>
      <c r="BE74" s="832" t="n"/>
      <c r="BF74" s="834" t="n"/>
      <c r="BG74" s="832" t="n"/>
    </row>
    <row r="75" ht="13.2" customHeight="1" s="586">
      <c r="B75" s="836" t="inlineStr">
        <is>
          <t>1. Transition Program Management Stream</t>
        </is>
      </c>
      <c r="C75" s="863" t="inlineStr">
        <is>
          <t xml:space="preserve"> </t>
        </is>
      </c>
      <c r="D75" s="864" t="n"/>
      <c r="E75" s="890" t="n">
        <v>0</v>
      </c>
      <c r="F75" s="890" t="n">
        <v>6</v>
      </c>
      <c r="G75" s="890" t="n">
        <v>6</v>
      </c>
      <c r="H75" s="890" t="n">
        <v>6</v>
      </c>
      <c r="I75" s="890" t="n">
        <v>5.40909090909091</v>
      </c>
      <c r="J75" s="890" t="n"/>
      <c r="K75" s="865" t="n"/>
      <c r="L75" s="865" t="n"/>
      <c r="M75" s="865" t="n"/>
      <c r="N75" s="865" t="n"/>
      <c r="O75" s="865" t="n"/>
      <c r="P75" s="865" t="n"/>
      <c r="Q75" s="865" t="n"/>
      <c r="R75" s="865" t="n"/>
      <c r="S75" s="840" t="n"/>
      <c r="T75" s="841" t="n"/>
      <c r="U75" s="841" t="n"/>
      <c r="V75" s="841" t="n"/>
      <c r="W75" s="841" t="n"/>
      <c r="X75" s="841" t="n"/>
      <c r="Y75" s="841" t="n"/>
      <c r="Z75" s="841" t="n"/>
      <c r="AA75" s="841" t="n"/>
      <c r="AB75" s="841" t="n"/>
      <c r="AC75" s="841" t="n"/>
      <c r="AD75" s="841" t="n"/>
      <c r="AE75" s="841" t="n"/>
      <c r="AF75" s="866" t="n"/>
      <c r="AG75" s="841" t="n"/>
      <c r="AH75" s="841" t="n"/>
      <c r="AI75" s="841" t="n"/>
      <c r="AJ75" s="841" t="n"/>
      <c r="AK75" s="841" t="n"/>
      <c r="AL75" s="841" t="n"/>
      <c r="AM75" s="841" t="n"/>
      <c r="AN75" s="841" t="n"/>
      <c r="AO75" s="841" t="n"/>
      <c r="AP75" s="841" t="n"/>
      <c r="AQ75" s="841" t="n"/>
      <c r="AR75" s="841" t="n"/>
      <c r="AS75" s="866" t="n"/>
      <c r="AT75" s="841" t="n"/>
      <c r="AU75" s="841" t="n"/>
      <c r="AV75" s="841" t="n"/>
      <c r="AW75" s="841" t="n"/>
      <c r="AX75" s="841" t="n"/>
      <c r="AY75" s="841" t="n"/>
      <c r="AZ75" s="841" t="n"/>
      <c r="BA75" s="841" t="n"/>
      <c r="BB75" s="841" t="n"/>
      <c r="BC75" s="841" t="n"/>
      <c r="BD75" s="841" t="n"/>
      <c r="BE75" s="841" t="n"/>
      <c r="BF75" s="866" t="n"/>
      <c r="BG75" s="841" t="n"/>
    </row>
    <row r="76" ht="13.2" customHeight="1" s="586">
      <c r="B76" s="836" t="inlineStr">
        <is>
          <t>2. Service Management Stream</t>
        </is>
      </c>
      <c r="C76" s="863" t="inlineStr">
        <is>
          <t xml:space="preserve"> </t>
        </is>
      </c>
      <c r="D76" s="864" t="n"/>
      <c r="E76" s="890" t="n">
        <v>0</v>
      </c>
      <c r="F76" s="890" t="n">
        <v>3.27272727272727</v>
      </c>
      <c r="G76" s="890" t="n">
        <v>5.27272727272727</v>
      </c>
      <c r="H76" s="890" t="n">
        <v>2.90909090909091</v>
      </c>
      <c r="I76" s="890" t="n">
        <v>0.9090909090909089</v>
      </c>
      <c r="J76" s="890" t="n"/>
      <c r="K76" s="865" t="n"/>
      <c r="L76" s="865" t="n"/>
      <c r="M76" s="865" t="n"/>
      <c r="N76" s="865" t="n"/>
      <c r="O76" s="865" t="n"/>
      <c r="P76" s="865" t="n"/>
      <c r="Q76" s="865" t="n"/>
      <c r="R76" s="865" t="n"/>
      <c r="S76" s="840" t="n"/>
      <c r="T76" s="841" t="n"/>
      <c r="U76" s="841" t="n"/>
      <c r="V76" s="841" t="n"/>
      <c r="W76" s="841" t="n"/>
      <c r="X76" s="841" t="n"/>
      <c r="Y76" s="841" t="n"/>
      <c r="Z76" s="841" t="n"/>
      <c r="AA76" s="841" t="n"/>
      <c r="AB76" s="841" t="n"/>
      <c r="AC76" s="841" t="n"/>
      <c r="AD76" s="841" t="n"/>
      <c r="AE76" s="841" t="n"/>
      <c r="AF76" s="866" t="n"/>
      <c r="AG76" s="841" t="n"/>
      <c r="AH76" s="841" t="n"/>
      <c r="AI76" s="841" t="n"/>
      <c r="AJ76" s="841" t="n"/>
      <c r="AK76" s="841" t="n"/>
      <c r="AL76" s="841" t="n"/>
      <c r="AM76" s="841" t="n"/>
      <c r="AN76" s="841" t="n"/>
      <c r="AO76" s="841" t="n"/>
      <c r="AP76" s="841" t="n"/>
      <c r="AQ76" s="841" t="n"/>
      <c r="AR76" s="841" t="n"/>
      <c r="AS76" s="866" t="n"/>
      <c r="AT76" s="841" t="n"/>
      <c r="AU76" s="841" t="n"/>
      <c r="AV76" s="841" t="n"/>
      <c r="AW76" s="841" t="n"/>
      <c r="AX76" s="841" t="n"/>
      <c r="AY76" s="841" t="n"/>
      <c r="AZ76" s="841" t="n"/>
      <c r="BA76" s="841" t="n"/>
      <c r="BB76" s="841" t="n"/>
      <c r="BC76" s="841" t="n"/>
      <c r="BD76" s="841" t="n"/>
      <c r="BE76" s="841" t="n"/>
      <c r="BF76" s="866" t="n"/>
      <c r="BG76" s="841" t="n"/>
    </row>
    <row r="77" ht="13.2" customHeight="1" s="586">
      <c r="B77" s="836" t="inlineStr">
        <is>
          <t>3. Unit Operations Stream</t>
        </is>
      </c>
      <c r="C77" s="863" t="inlineStr">
        <is>
          <t xml:space="preserve"> </t>
        </is>
      </c>
      <c r="D77" s="864" t="n"/>
      <c r="E77" s="890" t="n">
        <v>0</v>
      </c>
      <c r="F77" s="890" t="n">
        <v>1.68181818181818</v>
      </c>
      <c r="G77" s="890" t="n">
        <v>12.4545454545455</v>
      </c>
      <c r="H77" s="890" t="n">
        <v>7.5</v>
      </c>
      <c r="I77" s="890" t="n">
        <v>5.68181818181818</v>
      </c>
      <c r="J77" s="890" t="n"/>
      <c r="K77" s="865" t="n"/>
      <c r="L77" s="865" t="n"/>
      <c r="M77" s="865" t="n"/>
      <c r="N77" s="865" t="n"/>
      <c r="O77" s="865" t="n"/>
      <c r="P77" s="865" t="n"/>
      <c r="Q77" s="865" t="n"/>
      <c r="R77" s="865" t="n"/>
      <c r="S77" s="840" t="n"/>
      <c r="T77" s="841" t="n"/>
      <c r="U77" s="841" t="n"/>
      <c r="V77" s="841" t="n"/>
      <c r="W77" s="841" t="n"/>
      <c r="X77" s="841" t="n"/>
      <c r="Y77" s="841" t="n"/>
      <c r="Z77" s="841" t="n"/>
      <c r="AA77" s="841" t="n"/>
      <c r="AB77" s="841" t="n"/>
      <c r="AC77" s="841" t="n"/>
      <c r="AD77" s="841" t="n"/>
      <c r="AE77" s="841" t="n"/>
      <c r="AF77" s="866" t="n"/>
      <c r="AG77" s="841" t="n"/>
      <c r="AH77" s="841" t="n"/>
      <c r="AI77" s="841" t="n"/>
      <c r="AJ77" s="841" t="n"/>
      <c r="AK77" s="841" t="n"/>
      <c r="AL77" s="841" t="n"/>
      <c r="AM77" s="841" t="n"/>
      <c r="AN77" s="841" t="n"/>
      <c r="AO77" s="841" t="n"/>
      <c r="AP77" s="841" t="n"/>
      <c r="AQ77" s="841" t="n"/>
      <c r="AR77" s="841" t="n"/>
      <c r="AS77" s="866" t="n"/>
      <c r="AT77" s="841" t="n"/>
      <c r="AU77" s="841" t="n"/>
      <c r="AV77" s="841" t="n"/>
      <c r="AW77" s="841" t="n"/>
      <c r="AX77" s="841" t="n"/>
      <c r="AY77" s="841" t="n"/>
      <c r="AZ77" s="841" t="n"/>
      <c r="BA77" s="841" t="n"/>
      <c r="BB77" s="841" t="n"/>
      <c r="BC77" s="841" t="n"/>
      <c r="BD77" s="841" t="n"/>
      <c r="BE77" s="841" t="n"/>
      <c r="BF77" s="866" t="n"/>
      <c r="BG77" s="841" t="n"/>
    </row>
    <row r="78" ht="13.2" customHeight="1" s="586">
      <c r="B78" s="836" t="inlineStr">
        <is>
          <t>4. Communications Stream</t>
        </is>
      </c>
      <c r="C78" s="863" t="inlineStr">
        <is>
          <t xml:space="preserve"> </t>
        </is>
      </c>
      <c r="D78" s="864" t="n"/>
      <c r="E78" s="890" t="n">
        <v>1.13636363636364</v>
      </c>
      <c r="F78" s="890" t="n">
        <v>0.454545454545455</v>
      </c>
      <c r="G78" s="890" t="n">
        <v>1</v>
      </c>
      <c r="H78" s="890" t="n">
        <v>1</v>
      </c>
      <c r="I78" s="890" t="n">
        <v>1</v>
      </c>
      <c r="J78" s="890" t="n"/>
      <c r="K78" s="865" t="n"/>
      <c r="L78" s="865" t="n"/>
      <c r="M78" s="865" t="n"/>
      <c r="N78" s="865" t="n"/>
      <c r="O78" s="865" t="n"/>
      <c r="P78" s="865" t="n"/>
      <c r="Q78" s="865" t="n"/>
      <c r="R78" s="865" t="n"/>
      <c r="S78" s="840" t="n"/>
      <c r="T78" s="841" t="n"/>
      <c r="U78" s="841" t="n"/>
      <c r="V78" s="841" t="n"/>
      <c r="W78" s="841" t="n"/>
      <c r="X78" s="841" t="n"/>
      <c r="Y78" s="841" t="n"/>
      <c r="Z78" s="841" t="n"/>
      <c r="AA78" s="841" t="n"/>
      <c r="AB78" s="841" t="n"/>
      <c r="AC78" s="841" t="n"/>
      <c r="AD78" s="841" t="n"/>
      <c r="AE78" s="841" t="n"/>
      <c r="AF78" s="866" t="n"/>
      <c r="AG78" s="841" t="n"/>
      <c r="AH78" s="841" t="n"/>
      <c r="AI78" s="841" t="n"/>
      <c r="AJ78" s="841" t="n"/>
      <c r="AK78" s="841" t="n"/>
      <c r="AL78" s="841" t="n"/>
      <c r="AM78" s="841" t="n"/>
      <c r="AN78" s="841" t="n"/>
      <c r="AO78" s="841" t="n"/>
      <c r="AP78" s="841" t="n"/>
      <c r="AQ78" s="841" t="n"/>
      <c r="AR78" s="841" t="n"/>
      <c r="AS78" s="866" t="n"/>
      <c r="AT78" s="841" t="n"/>
      <c r="AU78" s="841" t="n"/>
      <c r="AV78" s="841" t="n"/>
      <c r="AW78" s="841" t="n"/>
      <c r="AX78" s="841" t="n"/>
      <c r="AY78" s="841" t="n"/>
      <c r="AZ78" s="841" t="n"/>
      <c r="BA78" s="841" t="n"/>
      <c r="BB78" s="841" t="n"/>
      <c r="BC78" s="841" t="n"/>
      <c r="BD78" s="841" t="n"/>
      <c r="BE78" s="841" t="n"/>
      <c r="BF78" s="866" t="n"/>
      <c r="BG78" s="841" t="n"/>
    </row>
    <row r="79" ht="13.2" customHeight="1" s="586">
      <c r="B79" s="836" t="inlineStr">
        <is>
          <t>5. Finance and Contract Management Stream</t>
        </is>
      </c>
      <c r="C79" s="863" t="inlineStr">
        <is>
          <t xml:space="preserve"> </t>
        </is>
      </c>
      <c r="D79" s="864" t="n"/>
      <c r="E79" s="890" t="n">
        <v>0</v>
      </c>
      <c r="F79" s="890" t="n">
        <v>1.13636363636364</v>
      </c>
      <c r="G79" s="890" t="n">
        <v>25.7545454545455</v>
      </c>
      <c r="H79" s="890" t="n">
        <v>25.9818181818182</v>
      </c>
      <c r="I79" s="890" t="n">
        <v>24.2090909090909</v>
      </c>
      <c r="J79" s="890" t="n"/>
      <c r="K79" s="865" t="n"/>
      <c r="L79" s="865" t="n"/>
      <c r="M79" s="865" t="n"/>
      <c r="N79" s="865" t="n"/>
      <c r="O79" s="865" t="n"/>
      <c r="P79" s="865" t="n"/>
      <c r="Q79" s="865" t="n"/>
      <c r="R79" s="865" t="n"/>
      <c r="S79" s="840" t="n"/>
      <c r="T79" s="841" t="n"/>
      <c r="U79" s="841" t="n"/>
      <c r="V79" s="841" t="n"/>
      <c r="W79" s="841" t="n"/>
      <c r="X79" s="841" t="n"/>
      <c r="Y79" s="841" t="n"/>
      <c r="Z79" s="841" t="n"/>
      <c r="AA79" s="841" t="n"/>
      <c r="AB79" s="841" t="n"/>
      <c r="AC79" s="841" t="n"/>
      <c r="AD79" s="841" t="n"/>
      <c r="AE79" s="841" t="n"/>
      <c r="AF79" s="866" t="n"/>
      <c r="AG79" s="841" t="n"/>
      <c r="AH79" s="841" t="n"/>
      <c r="AI79" s="841" t="n"/>
      <c r="AJ79" s="841" t="n"/>
      <c r="AK79" s="841" t="n"/>
      <c r="AL79" s="841" t="n"/>
      <c r="AM79" s="841" t="n"/>
      <c r="AN79" s="841" t="n"/>
      <c r="AO79" s="841" t="n"/>
      <c r="AP79" s="841" t="n"/>
      <c r="AQ79" s="841" t="n"/>
      <c r="AR79" s="841" t="n"/>
      <c r="AS79" s="866" t="n"/>
      <c r="AT79" s="841" t="n"/>
      <c r="AU79" s="841" t="n"/>
      <c r="AV79" s="841" t="n"/>
      <c r="AW79" s="841" t="n"/>
      <c r="AX79" s="841" t="n"/>
      <c r="AY79" s="841" t="n"/>
      <c r="AZ79" s="841" t="n"/>
      <c r="BA79" s="841" t="n"/>
      <c r="BB79" s="841" t="n"/>
      <c r="BC79" s="841" t="n"/>
      <c r="BD79" s="841" t="n"/>
      <c r="BE79" s="841" t="n"/>
      <c r="BF79" s="866" t="n"/>
      <c r="BG79" s="841" t="n"/>
    </row>
    <row r="80" ht="13.2" customHeight="1" s="586">
      <c r="B80" s="836" t="inlineStr">
        <is>
          <t>6. People Transfer Stream</t>
        </is>
      </c>
      <c r="C80" s="863" t="inlineStr">
        <is>
          <t xml:space="preserve"> </t>
        </is>
      </c>
      <c r="D80" s="864" t="n"/>
      <c r="E80" s="890" t="n">
        <v>3.63636363636364</v>
      </c>
      <c r="F80" s="890" t="n">
        <v>2.86363636363636</v>
      </c>
      <c r="G80" s="890" t="n">
        <v>4.09090909090909</v>
      </c>
      <c r="H80" s="890" t="n">
        <v>4.54545454545455</v>
      </c>
      <c r="I80" s="890" t="n">
        <v>3.18181818181818</v>
      </c>
      <c r="J80" s="890" t="n"/>
      <c r="K80" s="865" t="n"/>
      <c r="L80" s="865" t="n"/>
      <c r="M80" s="865" t="n"/>
      <c r="N80" s="865" t="n"/>
      <c r="O80" s="865" t="n"/>
      <c r="P80" s="865" t="n"/>
      <c r="Q80" s="865" t="n"/>
      <c r="R80" s="865" t="n"/>
      <c r="S80" s="840" t="n"/>
      <c r="T80" s="841" t="n"/>
      <c r="U80" s="841" t="n"/>
      <c r="V80" s="841" t="n"/>
      <c r="W80" s="841" t="n"/>
      <c r="X80" s="841" t="n"/>
      <c r="Y80" s="841" t="n"/>
      <c r="Z80" s="841" t="n"/>
      <c r="AA80" s="841" t="n"/>
      <c r="AB80" s="841" t="n"/>
      <c r="AC80" s="841" t="n"/>
      <c r="AD80" s="841" t="n"/>
      <c r="AE80" s="841" t="n"/>
      <c r="AF80" s="866" t="n"/>
      <c r="AG80" s="841" t="n"/>
      <c r="AH80" s="841" t="n"/>
      <c r="AI80" s="841" t="n"/>
      <c r="AJ80" s="841" t="n"/>
      <c r="AK80" s="841" t="n"/>
      <c r="AL80" s="841" t="n"/>
      <c r="AM80" s="841" t="n"/>
      <c r="AN80" s="841" t="n"/>
      <c r="AO80" s="841" t="n"/>
      <c r="AP80" s="841" t="n"/>
      <c r="AQ80" s="841" t="n"/>
      <c r="AR80" s="841" t="n"/>
      <c r="AS80" s="866" t="n"/>
      <c r="AT80" s="841" t="n"/>
      <c r="AU80" s="841" t="n"/>
      <c r="AV80" s="841" t="n"/>
      <c r="AW80" s="841" t="n"/>
      <c r="AX80" s="841" t="n"/>
      <c r="AY80" s="841" t="n"/>
      <c r="AZ80" s="841" t="n"/>
      <c r="BA80" s="841" t="n"/>
      <c r="BB80" s="841" t="n"/>
      <c r="BC80" s="841" t="n"/>
      <c r="BD80" s="841" t="n"/>
      <c r="BE80" s="841" t="n"/>
      <c r="BF80" s="866" t="n"/>
      <c r="BG80" s="841" t="n"/>
    </row>
    <row r="81" ht="13.8" customHeight="1" s="586">
      <c r="B81" s="843" t="inlineStr">
        <is>
          <t>7. Knowledge Transfer Stream</t>
        </is>
      </c>
      <c r="C81" s="867" t="inlineStr">
        <is>
          <t xml:space="preserve"> </t>
        </is>
      </c>
      <c r="D81" s="868" t="n"/>
      <c r="E81" s="891" t="n">
        <v>0</v>
      </c>
      <c r="F81" s="891" t="n">
        <v>0</v>
      </c>
      <c r="G81" s="891" t="n">
        <v>5.15909090909091</v>
      </c>
      <c r="H81" s="891" t="n">
        <v>4.81818181818182</v>
      </c>
      <c r="I81" s="891" t="n">
        <v>1</v>
      </c>
      <c r="J81" s="891" t="n"/>
      <c r="K81" s="869" t="n"/>
      <c r="L81" s="869" t="n"/>
      <c r="M81" s="869" t="n"/>
      <c r="N81" s="869" t="n"/>
      <c r="O81" s="869" t="n"/>
      <c r="P81" s="869" t="n"/>
      <c r="Q81" s="869" t="n"/>
      <c r="R81" s="869" t="n"/>
      <c r="S81" s="847" t="n"/>
      <c r="T81" s="848" t="n"/>
      <c r="U81" s="848" t="n"/>
      <c r="V81" s="848" t="n"/>
      <c r="W81" s="848" t="n"/>
      <c r="X81" s="848" t="n"/>
      <c r="Y81" s="848" t="n"/>
      <c r="Z81" s="848" t="n"/>
      <c r="AA81" s="848" t="n"/>
      <c r="AB81" s="848" t="n"/>
      <c r="AC81" s="848" t="n"/>
      <c r="AD81" s="848" t="n"/>
      <c r="AE81" s="848" t="n"/>
      <c r="AF81" s="870" t="n"/>
      <c r="AG81" s="848" t="n"/>
      <c r="AH81" s="848" t="n"/>
      <c r="AI81" s="848" t="n"/>
      <c r="AJ81" s="848" t="n"/>
      <c r="AK81" s="848" t="n"/>
      <c r="AL81" s="848" t="n"/>
      <c r="AM81" s="848" t="n"/>
      <c r="AN81" s="848" t="n"/>
      <c r="AO81" s="848" t="n"/>
      <c r="AP81" s="848" t="n"/>
      <c r="AQ81" s="848" t="n"/>
      <c r="AR81" s="848" t="n"/>
      <c r="AS81" s="870" t="n"/>
      <c r="AT81" s="848" t="n"/>
      <c r="AU81" s="848" t="n"/>
      <c r="AV81" s="848" t="n"/>
      <c r="AW81" s="848" t="n"/>
      <c r="AX81" s="848" t="n"/>
      <c r="AY81" s="848" t="n"/>
      <c r="AZ81" s="848" t="n"/>
      <c r="BA81" s="848" t="n"/>
      <c r="BB81" s="848" t="n"/>
      <c r="BC81" s="848" t="n"/>
      <c r="BD81" s="848" t="n"/>
      <c r="BE81" s="848" t="n"/>
      <c r="BF81" s="870" t="n"/>
      <c r="BG81" s="848" t="n"/>
    </row>
    <row r="82" ht="13.8" customHeight="1" s="586">
      <c r="B82" s="849" t="inlineStr">
        <is>
          <t>TOTAL</t>
        </is>
      </c>
      <c r="C82" s="850" t="n"/>
      <c r="D82" s="850" t="n"/>
      <c r="E82" s="892" t="n">
        <v>4.77272727272727</v>
      </c>
      <c r="F82" s="892" t="n">
        <v>15.4090909090909</v>
      </c>
      <c r="G82" s="892" t="n">
        <v>59.7318181818182</v>
      </c>
      <c r="H82" s="892" t="n">
        <v>52.7545454545455</v>
      </c>
      <c r="I82" s="892" t="n">
        <v>41.3909090909091</v>
      </c>
      <c r="J82" s="892" t="n">
        <v>0</v>
      </c>
      <c r="K82" s="851" t="n">
        <v>0</v>
      </c>
      <c r="L82" s="851" t="n">
        <v>0</v>
      </c>
      <c r="M82" s="851" t="n">
        <v>0</v>
      </c>
      <c r="N82" s="851" t="n">
        <v>0</v>
      </c>
      <c r="O82" s="851" t="n">
        <v>0</v>
      </c>
      <c r="P82" s="851" t="n">
        <v>0</v>
      </c>
      <c r="Q82" s="851" t="n">
        <v>0</v>
      </c>
      <c r="R82" s="851" t="n">
        <v>0</v>
      </c>
      <c r="S82" s="851" t="n"/>
      <c r="T82" s="851" t="n">
        <v>0</v>
      </c>
      <c r="U82" s="851" t="n">
        <v>0</v>
      </c>
      <c r="V82" s="851" t="n">
        <v>0</v>
      </c>
      <c r="W82" s="851" t="n">
        <v>0</v>
      </c>
      <c r="X82" s="851" t="n">
        <v>0</v>
      </c>
      <c r="Y82" s="851" t="n">
        <v>0</v>
      </c>
      <c r="Z82" s="851" t="n">
        <v>0</v>
      </c>
      <c r="AA82" s="851" t="n">
        <v>0</v>
      </c>
      <c r="AB82" s="851" t="n">
        <v>0</v>
      </c>
      <c r="AC82" s="851" t="n">
        <v>0</v>
      </c>
      <c r="AD82" s="851" t="n">
        <v>0</v>
      </c>
      <c r="AE82" s="851" t="n">
        <v>0</v>
      </c>
      <c r="AF82" s="851" t="n"/>
      <c r="AG82" s="851" t="n">
        <v>0</v>
      </c>
      <c r="AH82" s="851" t="n">
        <v>0</v>
      </c>
      <c r="AI82" s="851" t="n">
        <v>0</v>
      </c>
      <c r="AJ82" s="851" t="n">
        <v>0</v>
      </c>
      <c r="AK82" s="851" t="n">
        <v>0</v>
      </c>
      <c r="AL82" s="851" t="n">
        <v>0</v>
      </c>
      <c r="AM82" s="851" t="n">
        <v>0</v>
      </c>
      <c r="AN82" s="851" t="n">
        <v>0</v>
      </c>
      <c r="AO82" s="851" t="n">
        <v>0</v>
      </c>
      <c r="AP82" s="851" t="n">
        <v>0</v>
      </c>
      <c r="AQ82" s="851" t="n">
        <v>0</v>
      </c>
      <c r="AR82" s="851" t="n">
        <v>0</v>
      </c>
      <c r="AS82" s="851" t="n"/>
      <c r="AT82" s="851" t="n">
        <v>0</v>
      </c>
      <c r="AU82" s="851" t="n">
        <v>0</v>
      </c>
      <c r="AV82" s="851" t="n">
        <v>0</v>
      </c>
      <c r="AW82" s="851" t="n">
        <v>0</v>
      </c>
      <c r="AX82" s="851" t="n">
        <v>0</v>
      </c>
      <c r="AY82" s="851" t="n">
        <v>0</v>
      </c>
      <c r="AZ82" s="851" t="n">
        <v>0</v>
      </c>
      <c r="BA82" s="851" t="n">
        <v>0</v>
      </c>
      <c r="BB82" s="851" t="n">
        <v>0</v>
      </c>
      <c r="BC82" s="851" t="n">
        <v>0</v>
      </c>
      <c r="BD82" s="851" t="n">
        <v>0</v>
      </c>
      <c r="BE82" s="851" t="n">
        <v>0</v>
      </c>
      <c r="BF82" s="851" t="n"/>
      <c r="BG82" s="893" t="n"/>
    </row>
    <row r="83" ht="13.2" customHeight="1" s="586">
      <c r="B83" s="805" t="n"/>
      <c r="C83" s="854" t="n"/>
      <c r="D83" s="854" t="n"/>
      <c r="E83" s="812" t="n"/>
      <c r="F83" s="812" t="n"/>
      <c r="G83" s="812" t="n"/>
      <c r="H83" s="812" t="n"/>
      <c r="I83" s="812" t="n"/>
      <c r="J83" s="812" t="n"/>
      <c r="K83" s="812" t="n"/>
      <c r="L83" s="812" t="n"/>
      <c r="M83" s="812" t="n"/>
      <c r="N83" s="812" t="n"/>
      <c r="O83" s="812" t="n"/>
      <c r="P83" s="812" t="n"/>
      <c r="Q83" s="812" t="n"/>
      <c r="R83" s="812" t="n"/>
      <c r="S83" s="812" t="n"/>
      <c r="T83" s="812" t="n"/>
      <c r="U83" s="812" t="n"/>
      <c r="V83" s="812" t="n"/>
      <c r="W83" s="812" t="n"/>
      <c r="X83" s="812" t="n"/>
      <c r="Y83" s="812" t="n"/>
      <c r="Z83" s="812" t="n"/>
      <c r="AA83" s="812" t="n"/>
      <c r="AB83" s="812" t="n"/>
      <c r="AC83" s="812" t="n"/>
      <c r="AD83" s="812" t="n"/>
      <c r="AE83" s="812" t="n"/>
      <c r="AF83" s="812" t="n"/>
      <c r="AG83" s="812" t="n"/>
      <c r="AH83" s="812" t="n"/>
      <c r="AI83" s="812" t="n"/>
      <c r="AJ83" s="812" t="n"/>
      <c r="AK83" s="812" t="n"/>
      <c r="AL83" s="812" t="n"/>
      <c r="AM83" s="812" t="n"/>
      <c r="AN83" s="812" t="n"/>
      <c r="AO83" s="812" t="n"/>
      <c r="AP83" s="812" t="n"/>
      <c r="AQ83" s="812" t="n"/>
      <c r="AR83" s="812" t="n"/>
      <c r="AS83" s="812" t="n"/>
      <c r="AT83" s="812" t="n"/>
      <c r="AU83" s="812" t="n"/>
      <c r="AV83" s="812" t="n"/>
      <c r="AW83" s="812" t="n"/>
      <c r="AX83" s="812" t="n"/>
      <c r="AY83" s="812" t="n"/>
      <c r="AZ83" s="812" t="n"/>
      <c r="BA83" s="812" t="n"/>
      <c r="BB83" s="812" t="n"/>
      <c r="BC83" s="812" t="n"/>
      <c r="BD83" s="812" t="n"/>
      <c r="BE83" s="812" t="n"/>
      <c r="BF83" s="812" t="n"/>
      <c r="BG83" s="812" t="n"/>
    </row>
    <row r="84" ht="13.2" customHeight="1" s="586">
      <c r="B84" s="805" t="n"/>
      <c r="C84" s="814" t="n"/>
      <c r="D84" s="814" t="n"/>
      <c r="E84" s="812" t="n"/>
      <c r="F84" s="812" t="n"/>
      <c r="G84" s="812" t="n"/>
      <c r="I84" s="812" t="n"/>
      <c r="J84" s="812" t="n"/>
      <c r="K84" s="812" t="n"/>
      <c r="L84" s="812" t="n"/>
      <c r="M84" s="812" t="n"/>
      <c r="N84" s="812" t="n"/>
      <c r="O84" s="812" t="n"/>
      <c r="P84" s="812" t="n"/>
      <c r="Q84" s="812" t="n"/>
      <c r="R84" s="812" t="n"/>
      <c r="T84" s="809" t="n"/>
      <c r="U84" s="809" t="n"/>
      <c r="V84" s="809" t="n"/>
      <c r="W84" s="809" t="n"/>
      <c r="X84" s="809" t="n"/>
      <c r="Y84" s="809" t="n"/>
      <c r="Z84" s="809" t="n"/>
      <c r="AA84" s="809" t="n"/>
      <c r="AB84" s="809" t="n"/>
      <c r="AC84" s="809" t="n"/>
      <c r="AD84" s="809" t="n"/>
      <c r="AE84" s="809" t="n"/>
      <c r="AG84" s="809" t="n"/>
      <c r="AH84" s="809" t="n"/>
      <c r="AI84" s="809" t="n"/>
      <c r="AJ84" s="809" t="n"/>
      <c r="AK84" s="809" t="n"/>
      <c r="AL84" s="809" t="n"/>
      <c r="AM84" s="809" t="n"/>
      <c r="AN84" s="809" t="n"/>
      <c r="AO84" s="809" t="n"/>
      <c r="AP84" s="809" t="n"/>
      <c r="AQ84" s="809" t="n"/>
      <c r="AR84" s="809" t="n"/>
      <c r="AT84" s="809" t="n"/>
      <c r="AU84" s="809" t="n"/>
      <c r="AV84" s="809" t="n"/>
      <c r="AW84" s="809" t="n"/>
      <c r="AX84" s="809" t="n"/>
      <c r="AY84" s="809" t="n"/>
      <c r="AZ84" s="809" t="n"/>
      <c r="BA84" s="809" t="n"/>
      <c r="BB84" s="809" t="n"/>
      <c r="BC84" s="809" t="n"/>
      <c r="BD84" s="809" t="n"/>
      <c r="BE84" s="809" t="n"/>
      <c r="BG84" s="809" t="n"/>
    </row>
    <row r="85" ht="13.8" customHeight="1" s="586">
      <c r="B85" s="813" t="n"/>
      <c r="E85" s="815" t="inlineStr">
        <is>
          <t>HR prep</t>
        </is>
      </c>
      <c r="F85" s="816" t="inlineStr">
        <is>
          <t>Prep</t>
        </is>
      </c>
      <c r="G85" s="817" t="n"/>
      <c r="H85" s="815" t="inlineStr">
        <is>
          <t>Transition</t>
        </is>
      </c>
      <c r="I85" s="818" t="n"/>
      <c r="J85" s="817" t="n"/>
      <c r="K85" s="817" t="n"/>
      <c r="L85" s="815" t="n"/>
      <c r="M85" s="815" t="n"/>
      <c r="N85" s="817" t="n"/>
      <c r="O85" s="815" t="n"/>
    </row>
    <row r="86" ht="13.2" customHeight="1" s="586">
      <c r="B86" s="819" t="inlineStr">
        <is>
          <t>TelCo</t>
        </is>
      </c>
      <c r="C86" s="820" t="n"/>
      <c r="D86" s="820" t="inlineStr">
        <is>
          <t>Month -2</t>
        </is>
      </c>
      <c r="E86" s="821" t="inlineStr">
        <is>
          <t>Month -1</t>
        </is>
      </c>
      <c r="F86" s="821" t="inlineStr">
        <is>
          <t>Month 0</t>
        </is>
      </c>
      <c r="G86" s="821" t="inlineStr">
        <is>
          <t>Month 1</t>
        </is>
      </c>
      <c r="H86" s="822" t="inlineStr">
        <is>
          <t>Month 2</t>
        </is>
      </c>
      <c r="I86" s="822" t="inlineStr">
        <is>
          <t>Month 3</t>
        </is>
      </c>
      <c r="J86" s="822" t="inlineStr">
        <is>
          <t>Month 4</t>
        </is>
      </c>
      <c r="K86" s="822" t="inlineStr">
        <is>
          <t>Month 5</t>
        </is>
      </c>
      <c r="L86" s="822" t="inlineStr">
        <is>
          <t>Month 6</t>
        </is>
      </c>
      <c r="M86" s="822" t="inlineStr">
        <is>
          <t>Month 7</t>
        </is>
      </c>
      <c r="N86" s="822" t="inlineStr">
        <is>
          <t>Month 8</t>
        </is>
      </c>
      <c r="O86" s="822" t="inlineStr">
        <is>
          <t>Month 9</t>
        </is>
      </c>
      <c r="P86" s="822" t="inlineStr">
        <is>
          <t>Month 10</t>
        </is>
      </c>
      <c r="Q86" s="822" t="inlineStr">
        <is>
          <t>Month 11</t>
        </is>
      </c>
      <c r="R86" s="822" t="inlineStr">
        <is>
          <t>Month 12</t>
        </is>
      </c>
      <c r="S86" s="821" t="inlineStr">
        <is>
          <t>Year 1</t>
        </is>
      </c>
      <c r="T86" s="822" t="inlineStr">
        <is>
          <t>Month 13</t>
        </is>
      </c>
      <c r="U86" s="822" t="inlineStr">
        <is>
          <t>Month 14</t>
        </is>
      </c>
      <c r="V86" s="822" t="inlineStr">
        <is>
          <t>Month 15</t>
        </is>
      </c>
      <c r="W86" s="822" t="inlineStr">
        <is>
          <t>Month 16</t>
        </is>
      </c>
      <c r="X86" s="822" t="inlineStr">
        <is>
          <t>Month 17</t>
        </is>
      </c>
      <c r="Y86" s="822" t="inlineStr">
        <is>
          <t>Month 18</t>
        </is>
      </c>
      <c r="Z86" s="822" t="inlineStr">
        <is>
          <t>Month 19</t>
        </is>
      </c>
      <c r="AA86" s="822" t="inlineStr">
        <is>
          <t>Month 20</t>
        </is>
      </c>
      <c r="AB86" s="822" t="inlineStr">
        <is>
          <t>Month 21</t>
        </is>
      </c>
      <c r="AC86" s="822" t="inlineStr">
        <is>
          <t>Month 22</t>
        </is>
      </c>
      <c r="AD86" s="822" t="inlineStr">
        <is>
          <t>Month 23</t>
        </is>
      </c>
      <c r="AE86" s="822" t="inlineStr">
        <is>
          <t>Month 24</t>
        </is>
      </c>
      <c r="AF86" s="822" t="inlineStr">
        <is>
          <t>Year 2</t>
        </is>
      </c>
      <c r="AG86" s="822" t="inlineStr">
        <is>
          <t>Month 25</t>
        </is>
      </c>
      <c r="AH86" s="822" t="inlineStr">
        <is>
          <t>Month 26</t>
        </is>
      </c>
      <c r="AI86" s="822" t="inlineStr">
        <is>
          <t>Month 27</t>
        </is>
      </c>
      <c r="AJ86" s="822" t="inlineStr">
        <is>
          <t>Month 28</t>
        </is>
      </c>
      <c r="AK86" s="822" t="inlineStr">
        <is>
          <t>Month 29</t>
        </is>
      </c>
      <c r="AL86" s="822" t="inlineStr">
        <is>
          <t>Month 30</t>
        </is>
      </c>
      <c r="AM86" s="822" t="inlineStr">
        <is>
          <t>Month 31</t>
        </is>
      </c>
      <c r="AN86" s="822" t="inlineStr">
        <is>
          <t>Month 32</t>
        </is>
      </c>
      <c r="AO86" s="822" t="inlineStr">
        <is>
          <t>Month 33</t>
        </is>
      </c>
      <c r="AP86" s="822" t="inlineStr">
        <is>
          <t>Month 34</t>
        </is>
      </c>
      <c r="AQ86" s="822" t="inlineStr">
        <is>
          <t>Month 35</t>
        </is>
      </c>
      <c r="AR86" s="822" t="inlineStr">
        <is>
          <t>Month 36</t>
        </is>
      </c>
      <c r="AS86" s="822" t="inlineStr">
        <is>
          <t>Year 3</t>
        </is>
      </c>
      <c r="AT86" s="822" t="inlineStr">
        <is>
          <t>Month 37</t>
        </is>
      </c>
      <c r="AU86" s="822" t="inlineStr">
        <is>
          <t>Month 38</t>
        </is>
      </c>
      <c r="AV86" s="822" t="inlineStr">
        <is>
          <t>Month 39</t>
        </is>
      </c>
      <c r="AW86" s="822" t="inlineStr">
        <is>
          <t>Month 40</t>
        </is>
      </c>
      <c r="AX86" s="822" t="inlineStr">
        <is>
          <t>Month 41</t>
        </is>
      </c>
      <c r="AY86" s="822" t="inlineStr">
        <is>
          <t>Month 42</t>
        </is>
      </c>
      <c r="AZ86" s="822" t="inlineStr">
        <is>
          <t>Month 43</t>
        </is>
      </c>
      <c r="BA86" s="822" t="inlineStr">
        <is>
          <t>Month 44</t>
        </is>
      </c>
      <c r="BB86" s="822" t="inlineStr">
        <is>
          <t>Month 45</t>
        </is>
      </c>
      <c r="BC86" s="822" t="inlineStr">
        <is>
          <t>Month 46</t>
        </is>
      </c>
      <c r="BD86" s="822" t="inlineStr">
        <is>
          <t>Month 47</t>
        </is>
      </c>
      <c r="BE86" s="822" t="inlineStr">
        <is>
          <t>Month 48</t>
        </is>
      </c>
      <c r="BF86" s="822" t="inlineStr">
        <is>
          <t>Year 4</t>
        </is>
      </c>
      <c r="BG86" s="821" t="inlineStr">
        <is>
          <t>Total</t>
        </is>
      </c>
    </row>
    <row r="87" ht="14.4" customHeight="1" s="586">
      <c r="B87" s="823" t="n"/>
      <c r="C87" s="824" t="n"/>
      <c r="D87" s="824" t="inlineStr">
        <is>
          <t>(Euro)</t>
        </is>
      </c>
      <c r="E87" s="825" t="inlineStr">
        <is>
          <t>(Euro)</t>
        </is>
      </c>
      <c r="F87" s="825" t="inlineStr">
        <is>
          <t>(Euro)</t>
        </is>
      </c>
      <c r="G87" s="825" t="inlineStr">
        <is>
          <t>(Euro)</t>
        </is>
      </c>
      <c r="H87" s="826" t="inlineStr">
        <is>
          <t>(Euro)</t>
        </is>
      </c>
      <c r="I87" s="826" t="inlineStr">
        <is>
          <t>(Euro)</t>
        </is>
      </c>
      <c r="J87" s="826" t="inlineStr">
        <is>
          <t>(Euro)</t>
        </is>
      </c>
      <c r="K87" s="826" t="inlineStr">
        <is>
          <t>(Euro)</t>
        </is>
      </c>
      <c r="L87" s="826" t="inlineStr">
        <is>
          <t>(Euro)</t>
        </is>
      </c>
      <c r="M87" s="826" t="inlineStr">
        <is>
          <t>(Euro)</t>
        </is>
      </c>
      <c r="N87" s="826" t="inlineStr">
        <is>
          <t>(Euro)</t>
        </is>
      </c>
      <c r="O87" s="826" t="inlineStr">
        <is>
          <t>(Euro)</t>
        </is>
      </c>
      <c r="P87" s="826" t="inlineStr">
        <is>
          <t>(Euro)</t>
        </is>
      </c>
      <c r="Q87" s="826" t="inlineStr">
        <is>
          <t>(Euro)</t>
        </is>
      </c>
      <c r="R87" s="826" t="inlineStr">
        <is>
          <t>(Euro)</t>
        </is>
      </c>
      <c r="S87" s="825" t="inlineStr">
        <is>
          <t>(Euro)</t>
        </is>
      </c>
      <c r="T87" s="826" t="inlineStr">
        <is>
          <t>(Euro)</t>
        </is>
      </c>
      <c r="U87" s="826" t="inlineStr">
        <is>
          <t>(Euro)</t>
        </is>
      </c>
      <c r="V87" s="826" t="inlineStr">
        <is>
          <t>(Euro)</t>
        </is>
      </c>
      <c r="W87" s="826" t="inlineStr">
        <is>
          <t>(Euro)</t>
        </is>
      </c>
      <c r="X87" s="826" t="inlineStr">
        <is>
          <t>(Euro)</t>
        </is>
      </c>
      <c r="Y87" s="826" t="inlineStr">
        <is>
          <t>(Euro)</t>
        </is>
      </c>
      <c r="Z87" s="826" t="inlineStr">
        <is>
          <t>(Euro)</t>
        </is>
      </c>
      <c r="AA87" s="826" t="inlineStr">
        <is>
          <t>(Euro)</t>
        </is>
      </c>
      <c r="AB87" s="826" t="inlineStr">
        <is>
          <t>(Euro)</t>
        </is>
      </c>
      <c r="AC87" s="826" t="inlineStr">
        <is>
          <t>(Euro)</t>
        </is>
      </c>
      <c r="AD87" s="826" t="inlineStr">
        <is>
          <t>(Euro)</t>
        </is>
      </c>
      <c r="AE87" s="826" t="inlineStr">
        <is>
          <t>(Euro)</t>
        </is>
      </c>
      <c r="AF87" s="826" t="inlineStr">
        <is>
          <t>(Euro)</t>
        </is>
      </c>
      <c r="AG87" s="826" t="inlineStr">
        <is>
          <t>(Euro)</t>
        </is>
      </c>
      <c r="AH87" s="826" t="inlineStr">
        <is>
          <t>(Euro)</t>
        </is>
      </c>
      <c r="AI87" s="826" t="inlineStr">
        <is>
          <t>(Euro)</t>
        </is>
      </c>
      <c r="AJ87" s="826" t="inlineStr">
        <is>
          <t>(Euro)</t>
        </is>
      </c>
      <c r="AK87" s="826" t="inlineStr">
        <is>
          <t>(Euro)</t>
        </is>
      </c>
      <c r="AL87" s="826" t="inlineStr">
        <is>
          <t>(Euro)</t>
        </is>
      </c>
      <c r="AM87" s="826" t="inlineStr">
        <is>
          <t>(Euro)</t>
        </is>
      </c>
      <c r="AN87" s="826" t="inlineStr">
        <is>
          <t>(Euro)</t>
        </is>
      </c>
      <c r="AO87" s="826" t="inlineStr">
        <is>
          <t>(Euro)</t>
        </is>
      </c>
      <c r="AP87" s="826" t="inlineStr">
        <is>
          <t>(Euro)</t>
        </is>
      </c>
      <c r="AQ87" s="826" t="inlineStr">
        <is>
          <t>(Euro)</t>
        </is>
      </c>
      <c r="AR87" s="826" t="inlineStr">
        <is>
          <t>(Euro)</t>
        </is>
      </c>
      <c r="AS87" s="826" t="inlineStr">
        <is>
          <t>(Euro)</t>
        </is>
      </c>
      <c r="AT87" s="826" t="inlineStr">
        <is>
          <t>(Euro)</t>
        </is>
      </c>
      <c r="AU87" s="826" t="inlineStr">
        <is>
          <t>(Euro)</t>
        </is>
      </c>
      <c r="AV87" s="826" t="inlineStr">
        <is>
          <t>(Euro)</t>
        </is>
      </c>
      <c r="AW87" s="826" t="inlineStr">
        <is>
          <t>(Euro)</t>
        </is>
      </c>
      <c r="AX87" s="826" t="inlineStr">
        <is>
          <t>(Euro)</t>
        </is>
      </c>
      <c r="AY87" s="826" t="inlineStr">
        <is>
          <t>(Euro)</t>
        </is>
      </c>
      <c r="AZ87" s="826" t="inlineStr">
        <is>
          <t>(Euro)</t>
        </is>
      </c>
      <c r="BA87" s="826" t="inlineStr">
        <is>
          <t>(Euro)</t>
        </is>
      </c>
      <c r="BB87" s="826" t="inlineStr">
        <is>
          <t>(Euro)</t>
        </is>
      </c>
      <c r="BC87" s="826" t="inlineStr">
        <is>
          <t>(Euro)</t>
        </is>
      </c>
      <c r="BD87" s="826" t="inlineStr">
        <is>
          <t>(Euro)</t>
        </is>
      </c>
      <c r="BE87" s="826" t="inlineStr">
        <is>
          <t>(Euro)</t>
        </is>
      </c>
      <c r="BF87" s="826" t="inlineStr">
        <is>
          <t>(Euro)</t>
        </is>
      </c>
      <c r="BG87" s="825" t="inlineStr">
        <is>
          <t>(Euro)</t>
        </is>
      </c>
    </row>
    <row r="88" ht="13.2" customHeight="1" s="586">
      <c r="B88" s="858" t="n"/>
      <c r="C88" s="837" t="n"/>
      <c r="D88" s="829" t="n"/>
      <c r="E88" s="830" t="n"/>
      <c r="F88" s="902" t="n"/>
      <c r="G88" s="903" t="n"/>
      <c r="H88" s="841" t="n"/>
      <c r="I88" s="841" t="n"/>
      <c r="J88" s="841" t="n"/>
      <c r="K88" s="841" t="n"/>
      <c r="L88" s="841" t="n"/>
      <c r="M88" s="841" t="n"/>
      <c r="N88" s="841" t="n"/>
      <c r="O88" s="841" t="n"/>
      <c r="P88" s="841" t="n"/>
      <c r="Q88" s="841" t="n"/>
      <c r="R88" s="841" t="n"/>
      <c r="S88" s="840" t="n"/>
      <c r="T88" s="841" t="n"/>
      <c r="U88" s="841" t="n"/>
      <c r="V88" s="841" t="n"/>
      <c r="W88" s="841" t="n"/>
      <c r="X88" s="841" t="n"/>
      <c r="Y88" s="841" t="n"/>
      <c r="Z88" s="841" t="n"/>
      <c r="AA88" s="841" t="n"/>
      <c r="AB88" s="841" t="n"/>
      <c r="AC88" s="841" t="n"/>
      <c r="AD88" s="841" t="n"/>
      <c r="AE88" s="841" t="n"/>
      <c r="AF88" s="866" t="n"/>
      <c r="AG88" s="841" t="n"/>
      <c r="AH88" s="841" t="n"/>
      <c r="AI88" s="841" t="n"/>
      <c r="AJ88" s="841" t="n"/>
      <c r="AK88" s="841" t="n"/>
      <c r="AL88" s="841" t="n"/>
      <c r="AM88" s="841" t="n"/>
      <c r="AN88" s="841" t="n"/>
      <c r="AO88" s="841" t="n"/>
      <c r="AP88" s="841" t="n"/>
      <c r="AQ88" s="841" t="n"/>
      <c r="AR88" s="841" t="n"/>
      <c r="AS88" s="866" t="n"/>
      <c r="AT88" s="841" t="n"/>
      <c r="AU88" s="841" t="n"/>
      <c r="AV88" s="841" t="n"/>
      <c r="AW88" s="841" t="n"/>
      <c r="AX88" s="841" t="n"/>
      <c r="AY88" s="841" t="n"/>
      <c r="AZ88" s="841" t="n"/>
      <c r="BA88" s="841" t="n"/>
      <c r="BB88" s="841" t="n"/>
      <c r="BC88" s="841" t="n"/>
      <c r="BD88" s="841" t="n"/>
      <c r="BE88" s="841" t="n"/>
      <c r="BF88" s="866" t="n"/>
      <c r="BG88" s="884" t="n"/>
    </row>
    <row r="89" ht="13.2" customHeight="1" s="586">
      <c r="B89" s="882" t="inlineStr">
        <is>
          <t>1. Transition Program Management Stream</t>
        </is>
      </c>
      <c r="C89" s="837" t="n"/>
      <c r="D89" s="898" t="n"/>
      <c r="E89" s="839" t="n">
        <v>0</v>
      </c>
      <c r="F89" s="839" t="n">
        <v>22500</v>
      </c>
      <c r="G89" s="839" t="n">
        <v>0</v>
      </c>
      <c r="H89" s="839" t="n">
        <v>0</v>
      </c>
      <c r="I89" s="839" t="n">
        <v>0</v>
      </c>
      <c r="J89" s="839" t="n">
        <v>0</v>
      </c>
      <c r="K89" s="839" t="n">
        <v>0</v>
      </c>
      <c r="L89" s="839" t="n">
        <v>0</v>
      </c>
      <c r="M89" s="839" t="n">
        <v>0</v>
      </c>
      <c r="N89" s="839" t="n">
        <v>0</v>
      </c>
      <c r="O89" s="839" t="n">
        <v>0</v>
      </c>
      <c r="P89" s="839" t="n">
        <v>0</v>
      </c>
      <c r="Q89" s="839" t="n">
        <v>0</v>
      </c>
      <c r="R89" s="839" t="n">
        <v>0</v>
      </c>
      <c r="S89" s="840">
        <f>SUM(E89:R89)</f>
        <v/>
      </c>
      <c r="T89" s="841" t="n"/>
      <c r="U89" s="841" t="n"/>
      <c r="V89" s="841" t="n"/>
      <c r="W89" s="841" t="n"/>
      <c r="X89" s="841" t="n"/>
      <c r="Y89" s="841" t="n"/>
      <c r="Z89" s="841" t="n"/>
      <c r="AA89" s="841" t="n"/>
      <c r="AB89" s="841" t="n"/>
      <c r="AC89" s="841" t="n"/>
      <c r="AD89" s="841" t="n"/>
      <c r="AE89" s="841" t="n"/>
      <c r="AF89" s="840">
        <f>SUM(T89:AE89)</f>
        <v/>
      </c>
      <c r="AG89" s="841" t="n"/>
      <c r="AH89" s="841" t="n"/>
      <c r="AI89" s="841" t="n"/>
      <c r="AJ89" s="841" t="n"/>
      <c r="AK89" s="841" t="n"/>
      <c r="AL89" s="841" t="n"/>
      <c r="AM89" s="841" t="n"/>
      <c r="AN89" s="841" t="n"/>
      <c r="AO89" s="841" t="n"/>
      <c r="AP89" s="841" t="n"/>
      <c r="AQ89" s="841" t="n"/>
      <c r="AR89" s="841" t="n"/>
      <c r="AS89" s="840">
        <f>SUM(AG89:AR89)</f>
        <v/>
      </c>
      <c r="AT89" s="841" t="n"/>
      <c r="AU89" s="841" t="n"/>
      <c r="AV89" s="841" t="n"/>
      <c r="AW89" s="841" t="n"/>
      <c r="AX89" s="841" t="n"/>
      <c r="AY89" s="841" t="n"/>
      <c r="AZ89" s="841" t="n"/>
      <c r="BA89" s="841" t="n"/>
      <c r="BB89" s="841" t="n"/>
      <c r="BC89" s="841" t="n"/>
      <c r="BD89" s="841" t="n"/>
      <c r="BE89" s="841" t="n"/>
      <c r="BF89" s="840">
        <f>SUM(AT89:BE89)</f>
        <v/>
      </c>
      <c r="BG89" s="840">
        <f>SUM(AS89,AF89,S89,BF89)</f>
        <v/>
      </c>
      <c r="BI89" s="810" t="n"/>
    </row>
    <row r="90" ht="13.2" customHeight="1" s="586">
      <c r="B90" s="882" t="inlineStr">
        <is>
          <t>2. Service Management Stream</t>
        </is>
      </c>
      <c r="C90" s="842" t="n"/>
      <c r="D90" s="898" t="n"/>
      <c r="E90" s="839" t="n">
        <v>0</v>
      </c>
      <c r="F90" s="839" t="n">
        <v>9000</v>
      </c>
      <c r="G90" s="839" t="n">
        <v>71130</v>
      </c>
      <c r="H90" s="839" t="n">
        <v>33130</v>
      </c>
      <c r="I90" s="839" t="n">
        <v>10000</v>
      </c>
      <c r="J90" s="839" t="n">
        <v>0</v>
      </c>
      <c r="K90" s="839" t="n">
        <v>0</v>
      </c>
      <c r="L90" s="839" t="n">
        <v>0</v>
      </c>
      <c r="M90" s="839" t="n">
        <v>0</v>
      </c>
      <c r="N90" s="839" t="n">
        <v>0</v>
      </c>
      <c r="O90" s="839" t="n">
        <v>0</v>
      </c>
      <c r="P90" s="839" t="n">
        <v>0</v>
      </c>
      <c r="Q90" s="839" t="n">
        <v>0</v>
      </c>
      <c r="R90" s="839" t="n">
        <v>0</v>
      </c>
      <c r="S90" s="840">
        <f>SUM(E90:R90)</f>
        <v/>
      </c>
      <c r="T90" s="841" t="n"/>
      <c r="U90" s="841" t="n"/>
      <c r="V90" s="841" t="n"/>
      <c r="W90" s="841" t="n"/>
      <c r="X90" s="841" t="n"/>
      <c r="Y90" s="841" t="n"/>
      <c r="Z90" s="841" t="n"/>
      <c r="AA90" s="841" t="n"/>
      <c r="AB90" s="841" t="n"/>
      <c r="AC90" s="841" t="n"/>
      <c r="AD90" s="841" t="n"/>
      <c r="AE90" s="841" t="n"/>
      <c r="AF90" s="840">
        <f>SUM(T90:AE90)</f>
        <v/>
      </c>
      <c r="AG90" s="841" t="n"/>
      <c r="AH90" s="841" t="n"/>
      <c r="AI90" s="841" t="n"/>
      <c r="AJ90" s="841" t="n"/>
      <c r="AK90" s="841" t="n"/>
      <c r="AL90" s="841" t="n"/>
      <c r="AM90" s="841" t="n"/>
      <c r="AN90" s="841" t="n"/>
      <c r="AO90" s="841" t="n"/>
      <c r="AP90" s="841" t="n"/>
      <c r="AQ90" s="841" t="n"/>
      <c r="AR90" s="841" t="n"/>
      <c r="AS90" s="840">
        <f>SUM(AG90:AR90)</f>
        <v/>
      </c>
      <c r="AT90" s="841" t="n"/>
      <c r="AU90" s="841" t="n"/>
      <c r="AV90" s="841" t="n"/>
      <c r="AW90" s="841" t="n"/>
      <c r="AX90" s="841" t="n"/>
      <c r="AY90" s="841" t="n"/>
      <c r="AZ90" s="841" t="n"/>
      <c r="BA90" s="841" t="n"/>
      <c r="BB90" s="841" t="n"/>
      <c r="BC90" s="841" t="n"/>
      <c r="BD90" s="841" t="n"/>
      <c r="BE90" s="841" t="n"/>
      <c r="BF90" s="840">
        <f>SUM(AT90:BE90)</f>
        <v/>
      </c>
      <c r="BG90" s="840">
        <f>SUM(AS90,AF90,S90,BF90)</f>
        <v/>
      </c>
      <c r="BH90" s="810" t="n"/>
      <c r="BI90" s="810" t="n"/>
    </row>
    <row r="91" ht="13.2" customHeight="1" s="586">
      <c r="B91" s="882" t="inlineStr">
        <is>
          <t>3. Unit Operations Stream</t>
        </is>
      </c>
      <c r="C91" s="842" t="n"/>
      <c r="D91" s="898" t="n"/>
      <c r="E91" s="839" t="n">
        <v>0</v>
      </c>
      <c r="F91" s="839" t="n">
        <v>13500</v>
      </c>
      <c r="G91" s="839" t="n">
        <v>109260</v>
      </c>
      <c r="H91" s="839" t="n">
        <v>71760</v>
      </c>
      <c r="I91" s="839" t="n">
        <v>0</v>
      </c>
      <c r="J91" s="839" t="n">
        <v>0</v>
      </c>
      <c r="K91" s="839" t="n">
        <v>0</v>
      </c>
      <c r="L91" s="839" t="n">
        <v>0</v>
      </c>
      <c r="M91" s="839" t="n">
        <v>0</v>
      </c>
      <c r="N91" s="839" t="n">
        <v>0</v>
      </c>
      <c r="O91" s="839" t="n">
        <v>0</v>
      </c>
      <c r="P91" s="839" t="n">
        <v>0</v>
      </c>
      <c r="Q91" s="839" t="n">
        <v>0</v>
      </c>
      <c r="R91" s="839" t="n">
        <v>0</v>
      </c>
      <c r="S91" s="840">
        <f>SUM(E91:R91)</f>
        <v/>
      </c>
      <c r="T91" s="841" t="n"/>
      <c r="U91" s="841" t="n"/>
      <c r="V91" s="841" t="n"/>
      <c r="W91" s="841" t="n"/>
      <c r="X91" s="841" t="n"/>
      <c r="Y91" s="841" t="n"/>
      <c r="Z91" s="841" t="n"/>
      <c r="AA91" s="841" t="n"/>
      <c r="AB91" s="841" t="n"/>
      <c r="AC91" s="841" t="n"/>
      <c r="AD91" s="841" t="n"/>
      <c r="AE91" s="841" t="n"/>
      <c r="AF91" s="840">
        <f>SUM(T91:AE91)</f>
        <v/>
      </c>
      <c r="AG91" s="841" t="n"/>
      <c r="AH91" s="841" t="n"/>
      <c r="AI91" s="841" t="n"/>
      <c r="AJ91" s="841" t="n"/>
      <c r="AK91" s="841" t="n"/>
      <c r="AL91" s="841" t="n"/>
      <c r="AM91" s="841" t="n"/>
      <c r="AN91" s="841" t="n"/>
      <c r="AO91" s="841" t="n"/>
      <c r="AP91" s="841" t="n"/>
      <c r="AQ91" s="841" t="n"/>
      <c r="AR91" s="841" t="n"/>
      <c r="AS91" s="840">
        <f>SUM(AG91:AR91)</f>
        <v/>
      </c>
      <c r="AT91" s="841" t="n"/>
      <c r="AU91" s="841" t="n"/>
      <c r="AV91" s="841" t="n"/>
      <c r="AW91" s="841" t="n"/>
      <c r="AX91" s="841" t="n"/>
      <c r="AY91" s="841" t="n"/>
      <c r="AZ91" s="841" t="n"/>
      <c r="BA91" s="841" t="n"/>
      <c r="BB91" s="841" t="n"/>
      <c r="BC91" s="841" t="n"/>
      <c r="BD91" s="841" t="n"/>
      <c r="BE91" s="841" t="n"/>
      <c r="BF91" s="840">
        <f>SUM(AT91:BE91)</f>
        <v/>
      </c>
      <c r="BG91" s="840">
        <f>SUM(AS91,AF91,S91,BF91)</f>
        <v/>
      </c>
      <c r="BH91" s="810" t="n"/>
      <c r="BI91" s="810" t="n"/>
    </row>
    <row r="92" ht="13.2" customHeight="1" s="586">
      <c r="B92" s="882" t="inlineStr">
        <is>
          <t>4. Communications Stream</t>
        </is>
      </c>
      <c r="C92" s="842" t="n"/>
      <c r="D92" s="898" t="n"/>
      <c r="E92" s="839" t="n">
        <v>0</v>
      </c>
      <c r="F92" s="839" t="n">
        <v>8010</v>
      </c>
      <c r="G92" s="839" t="n">
        <v>6390</v>
      </c>
      <c r="H92" s="839" t="n">
        <v>12870</v>
      </c>
      <c r="I92" s="839" t="n">
        <v>0</v>
      </c>
      <c r="J92" s="839" t="n">
        <v>0</v>
      </c>
      <c r="K92" s="839" t="n">
        <v>0</v>
      </c>
      <c r="L92" s="839" t="n">
        <v>0</v>
      </c>
      <c r="M92" s="839" t="n">
        <v>0</v>
      </c>
      <c r="N92" s="839" t="n">
        <v>0</v>
      </c>
      <c r="O92" s="839" t="n">
        <v>0</v>
      </c>
      <c r="P92" s="839" t="n">
        <v>0</v>
      </c>
      <c r="Q92" s="839" t="n">
        <v>0</v>
      </c>
      <c r="R92" s="839" t="n">
        <v>0</v>
      </c>
      <c r="S92" s="840">
        <f>SUM(E92:R92)</f>
        <v/>
      </c>
      <c r="T92" s="841" t="n"/>
      <c r="U92" s="841" t="n"/>
      <c r="V92" s="841" t="n"/>
      <c r="W92" s="841" t="n"/>
      <c r="X92" s="841" t="n"/>
      <c r="Y92" s="841" t="n"/>
      <c r="Z92" s="841" t="n"/>
      <c r="AA92" s="841" t="n"/>
      <c r="AB92" s="841" t="n"/>
      <c r="AC92" s="841" t="n"/>
      <c r="AD92" s="841" t="n"/>
      <c r="AE92" s="841" t="n"/>
      <c r="AF92" s="840">
        <f>SUM(T92:AE92)</f>
        <v/>
      </c>
      <c r="AG92" s="841" t="n"/>
      <c r="AH92" s="841" t="n"/>
      <c r="AI92" s="841" t="n"/>
      <c r="AJ92" s="841" t="n"/>
      <c r="AK92" s="841" t="n"/>
      <c r="AL92" s="841" t="n"/>
      <c r="AM92" s="841" t="n"/>
      <c r="AN92" s="841" t="n"/>
      <c r="AO92" s="841" t="n"/>
      <c r="AP92" s="841" t="n"/>
      <c r="AQ92" s="841" t="n"/>
      <c r="AR92" s="841" t="n"/>
      <c r="AS92" s="840">
        <f>SUM(AG92:AR92)</f>
        <v/>
      </c>
      <c r="AT92" s="841" t="n"/>
      <c r="AU92" s="841" t="n"/>
      <c r="AV92" s="841" t="n"/>
      <c r="AW92" s="841" t="n"/>
      <c r="AX92" s="841" t="n"/>
      <c r="AY92" s="841" t="n"/>
      <c r="AZ92" s="841" t="n"/>
      <c r="BA92" s="841" t="n"/>
      <c r="BB92" s="841" t="n"/>
      <c r="BC92" s="841" t="n"/>
      <c r="BD92" s="841" t="n"/>
      <c r="BE92" s="841" t="n"/>
      <c r="BF92" s="840">
        <f>SUM(AT92:BE92)</f>
        <v/>
      </c>
      <c r="BG92" s="840">
        <f>SUM(AS92,AF92,S92,BF92)</f>
        <v/>
      </c>
      <c r="BH92" s="810" t="n"/>
      <c r="BI92" s="810" t="n"/>
    </row>
    <row r="93" ht="13.2" customHeight="1" s="586">
      <c r="B93" s="882" t="inlineStr">
        <is>
          <t>5. Finance and Contract Management Stream</t>
        </is>
      </c>
      <c r="C93" s="842" t="n"/>
      <c r="D93" s="898" t="n"/>
      <c r="E93" s="839" t="n">
        <v>0</v>
      </c>
      <c r="F93" s="839" t="n">
        <v>12600</v>
      </c>
      <c r="G93" s="839" t="n">
        <v>30520</v>
      </c>
      <c r="H93" s="839" t="n">
        <v>31060</v>
      </c>
      <c r="I93" s="839" t="n">
        <v>8600</v>
      </c>
      <c r="J93" s="839" t="n">
        <v>0</v>
      </c>
      <c r="K93" s="839" t="n">
        <v>0</v>
      </c>
      <c r="L93" s="839" t="n">
        <v>0</v>
      </c>
      <c r="M93" s="839" t="n">
        <v>0</v>
      </c>
      <c r="N93" s="839" t="n">
        <v>0</v>
      </c>
      <c r="O93" s="839" t="n">
        <v>0</v>
      </c>
      <c r="P93" s="839" t="n">
        <v>0</v>
      </c>
      <c r="Q93" s="839" t="n">
        <v>0</v>
      </c>
      <c r="R93" s="839" t="n">
        <v>0</v>
      </c>
      <c r="S93" s="840">
        <f>SUM(E93:R93)</f>
        <v/>
      </c>
      <c r="T93" s="841" t="n"/>
      <c r="U93" s="841" t="n"/>
      <c r="V93" s="841" t="n"/>
      <c r="W93" s="841" t="n"/>
      <c r="X93" s="841" t="n"/>
      <c r="Y93" s="841" t="n"/>
      <c r="Z93" s="841" t="n"/>
      <c r="AA93" s="841" t="n"/>
      <c r="AB93" s="841" t="n"/>
      <c r="AC93" s="841" t="n"/>
      <c r="AD93" s="841" t="n"/>
      <c r="AE93" s="841" t="n"/>
      <c r="AF93" s="840">
        <f>SUM(T93:AE93)</f>
        <v/>
      </c>
      <c r="AG93" s="841" t="n"/>
      <c r="AH93" s="841" t="n"/>
      <c r="AI93" s="841" t="n"/>
      <c r="AJ93" s="841" t="n"/>
      <c r="AK93" s="841" t="n"/>
      <c r="AL93" s="841" t="n"/>
      <c r="AM93" s="841" t="n"/>
      <c r="AN93" s="841" t="n"/>
      <c r="AO93" s="841" t="n"/>
      <c r="AP93" s="841" t="n"/>
      <c r="AQ93" s="841" t="n"/>
      <c r="AR93" s="841" t="n"/>
      <c r="AS93" s="840">
        <f>SUM(AG93:AR93)</f>
        <v/>
      </c>
      <c r="AT93" s="841" t="n"/>
      <c r="AU93" s="841" t="n"/>
      <c r="AV93" s="841" t="n"/>
      <c r="AW93" s="841" t="n"/>
      <c r="AX93" s="841" t="n"/>
      <c r="AY93" s="841" t="n"/>
      <c r="AZ93" s="841" t="n"/>
      <c r="BA93" s="841" t="n"/>
      <c r="BB93" s="841" t="n"/>
      <c r="BC93" s="841" t="n"/>
      <c r="BD93" s="841" t="n"/>
      <c r="BE93" s="841" t="n"/>
      <c r="BF93" s="840">
        <f>SUM(AT93:BE93)</f>
        <v/>
      </c>
      <c r="BG93" s="840">
        <f>SUM(AS93,AF93,S93,BF93)</f>
        <v/>
      </c>
      <c r="BH93" s="810" t="n"/>
      <c r="BI93" s="810" t="n"/>
    </row>
    <row r="94" ht="13.2" customHeight="1" s="586">
      <c r="B94" s="882" t="inlineStr">
        <is>
          <t>6. People Transfer Stream</t>
        </is>
      </c>
      <c r="C94" s="842" t="n"/>
      <c r="D94" s="898" t="n"/>
      <c r="E94" s="839" t="n">
        <v>0</v>
      </c>
      <c r="F94" s="839" t="n">
        <v>9540</v>
      </c>
      <c r="G94" s="839" t="n">
        <v>27000</v>
      </c>
      <c r="H94" s="839" t="n">
        <v>50220</v>
      </c>
      <c r="I94" s="839" t="n">
        <v>0</v>
      </c>
      <c r="J94" s="839" t="n">
        <v>0</v>
      </c>
      <c r="K94" s="839" t="n">
        <v>0</v>
      </c>
      <c r="L94" s="839" t="n">
        <v>0</v>
      </c>
      <c r="M94" s="839" t="n">
        <v>0</v>
      </c>
      <c r="N94" s="839" t="n">
        <v>0</v>
      </c>
      <c r="O94" s="839" t="n">
        <v>0</v>
      </c>
      <c r="P94" s="839" t="n">
        <v>0</v>
      </c>
      <c r="Q94" s="839" t="n">
        <v>0</v>
      </c>
      <c r="R94" s="839" t="n">
        <v>0</v>
      </c>
      <c r="S94" s="840">
        <f>SUM(E94:R94)</f>
        <v/>
      </c>
      <c r="T94" s="841" t="n"/>
      <c r="U94" s="841" t="n"/>
      <c r="V94" s="841" t="n"/>
      <c r="W94" s="841" t="n"/>
      <c r="X94" s="841" t="n"/>
      <c r="Y94" s="841" t="n"/>
      <c r="Z94" s="841" t="n"/>
      <c r="AA94" s="841" t="n"/>
      <c r="AB94" s="841" t="n"/>
      <c r="AC94" s="841" t="n"/>
      <c r="AD94" s="841" t="n"/>
      <c r="AE94" s="841" t="n"/>
      <c r="AF94" s="840">
        <f>SUM(T94:AE94)</f>
        <v/>
      </c>
      <c r="AG94" s="841" t="n"/>
      <c r="AH94" s="841" t="n"/>
      <c r="AI94" s="841" t="n"/>
      <c r="AJ94" s="841" t="n"/>
      <c r="AK94" s="841" t="n"/>
      <c r="AL94" s="841" t="n"/>
      <c r="AM94" s="841" t="n"/>
      <c r="AN94" s="841" t="n"/>
      <c r="AO94" s="841" t="n"/>
      <c r="AP94" s="841" t="n"/>
      <c r="AQ94" s="841" t="n"/>
      <c r="AR94" s="841" t="n"/>
      <c r="AS94" s="840">
        <f>SUM(AG94:AR94)</f>
        <v/>
      </c>
      <c r="AT94" s="841" t="n"/>
      <c r="AU94" s="841" t="n"/>
      <c r="AV94" s="841" t="n"/>
      <c r="AW94" s="841" t="n"/>
      <c r="AX94" s="841" t="n"/>
      <c r="AY94" s="841" t="n"/>
      <c r="AZ94" s="841" t="n"/>
      <c r="BA94" s="841" t="n"/>
      <c r="BB94" s="841" t="n"/>
      <c r="BC94" s="841" t="n"/>
      <c r="BD94" s="841" t="n"/>
      <c r="BE94" s="841" t="n"/>
      <c r="BF94" s="840">
        <f>SUM(AT94:BE94)</f>
        <v/>
      </c>
      <c r="BG94" s="840">
        <f>SUM(AS94,AF94,S94,BF94)</f>
        <v/>
      </c>
      <c r="BH94" s="810" t="n"/>
      <c r="BI94" s="810" t="n"/>
    </row>
    <row r="95" ht="13.8" customHeight="1" s="586">
      <c r="B95" s="882" t="inlineStr">
        <is>
          <t>7. Knowledge Transfer Stream</t>
        </is>
      </c>
      <c r="C95" s="842" t="n"/>
      <c r="D95" s="898" t="n"/>
      <c r="E95" s="839" t="n">
        <v>0</v>
      </c>
      <c r="F95" s="839" t="n">
        <v>0</v>
      </c>
      <c r="G95" s="839" t="n">
        <v>25650</v>
      </c>
      <c r="H95" s="839" t="n">
        <v>8460</v>
      </c>
      <c r="I95" s="839" t="n">
        <v>4500</v>
      </c>
      <c r="J95" s="839" t="n">
        <v>0</v>
      </c>
      <c r="K95" s="839" t="n">
        <v>0</v>
      </c>
      <c r="L95" s="839" t="n">
        <v>0</v>
      </c>
      <c r="M95" s="839" t="n">
        <v>0</v>
      </c>
      <c r="N95" s="839" t="n">
        <v>0</v>
      </c>
      <c r="O95" s="839" t="n">
        <v>0</v>
      </c>
      <c r="P95" s="839" t="n">
        <v>0</v>
      </c>
      <c r="Q95" s="839" t="n">
        <v>0</v>
      </c>
      <c r="R95" s="839" t="n">
        <v>0</v>
      </c>
      <c r="S95" s="840">
        <f>SUM(E95:R95)</f>
        <v/>
      </c>
      <c r="T95" s="841" t="n"/>
      <c r="U95" s="841" t="n"/>
      <c r="V95" s="841" t="n"/>
      <c r="W95" s="841" t="n"/>
      <c r="X95" s="841" t="n"/>
      <c r="Y95" s="841" t="n"/>
      <c r="Z95" s="841" t="n"/>
      <c r="AA95" s="841" t="n"/>
      <c r="AB95" s="841" t="n"/>
      <c r="AC95" s="841" t="n"/>
      <c r="AD95" s="841" t="n"/>
      <c r="AE95" s="841" t="n"/>
      <c r="AF95" s="840">
        <f>SUM(T95:AE95)</f>
        <v/>
      </c>
      <c r="AG95" s="841" t="n"/>
      <c r="AH95" s="841" t="n"/>
      <c r="AI95" s="841" t="n"/>
      <c r="AJ95" s="841" t="n"/>
      <c r="AK95" s="841" t="n"/>
      <c r="AL95" s="841" t="n"/>
      <c r="AM95" s="841" t="n"/>
      <c r="AN95" s="841" t="n"/>
      <c r="AO95" s="841" t="n"/>
      <c r="AP95" s="841" t="n"/>
      <c r="AQ95" s="841" t="n"/>
      <c r="AR95" s="841" t="n"/>
      <c r="AS95" s="840">
        <f>SUM(AG95:AR95)</f>
        <v/>
      </c>
      <c r="AT95" s="841" t="n"/>
      <c r="AU95" s="841" t="n"/>
      <c r="AV95" s="841" t="n"/>
      <c r="AW95" s="841" t="n"/>
      <c r="AX95" s="841" t="n"/>
      <c r="AY95" s="841" t="n"/>
      <c r="AZ95" s="841" t="n"/>
      <c r="BA95" s="841" t="n"/>
      <c r="BB95" s="841" t="n"/>
      <c r="BC95" s="841" t="n"/>
      <c r="BD95" s="841" t="n"/>
      <c r="BE95" s="841" t="n"/>
      <c r="BF95" s="840">
        <f>SUM(AT95:BE95)</f>
        <v/>
      </c>
      <c r="BG95" s="840">
        <f>SUM(AS95,AF95,S95,BF95)</f>
        <v/>
      </c>
      <c r="BH95" s="810" t="n"/>
      <c r="BI95" s="810" t="n"/>
    </row>
    <row r="96" ht="13.8" customHeight="1" s="586">
      <c r="B96" s="871" t="inlineStr">
        <is>
          <t>TOTAL</t>
        </is>
      </c>
      <c r="C96" s="872" t="n"/>
      <c r="D96" s="872" t="n"/>
      <c r="E96" s="873">
        <f>SUM(E89:E95)</f>
        <v/>
      </c>
      <c r="F96" s="873">
        <f>SUM(F89:F95)</f>
        <v/>
      </c>
      <c r="G96" s="873">
        <f>SUM(G89:G95)</f>
        <v/>
      </c>
      <c r="H96" s="873">
        <f>SUM(H89:H95)</f>
        <v/>
      </c>
      <c r="I96" s="873">
        <f>SUM(I89:I95)</f>
        <v/>
      </c>
      <c r="J96" s="873">
        <f>SUM(J89:J95)</f>
        <v/>
      </c>
      <c r="K96" s="873">
        <f>SUM(K89:K95)</f>
        <v/>
      </c>
      <c r="L96" s="873">
        <f>SUM(L89:L95)</f>
        <v/>
      </c>
      <c r="M96" s="873">
        <f>SUM(M89:M95)</f>
        <v/>
      </c>
      <c r="N96" s="873">
        <f>SUM(N89:N95)</f>
        <v/>
      </c>
      <c r="O96" s="873">
        <f>SUM(O89:O95)</f>
        <v/>
      </c>
      <c r="P96" s="873">
        <f>SUM(P89:P95)</f>
        <v/>
      </c>
      <c r="Q96" s="873">
        <f>SUM(Q89:Q95)</f>
        <v/>
      </c>
      <c r="R96" s="873">
        <f>SUM(R89:R95)</f>
        <v/>
      </c>
      <c r="S96" s="873">
        <f>SUM(S89:S95)</f>
        <v/>
      </c>
      <c r="T96" s="873">
        <f>SUM(T89:T95)</f>
        <v/>
      </c>
      <c r="U96" s="873">
        <f>SUM(U89:U95)</f>
        <v/>
      </c>
      <c r="V96" s="873">
        <f>SUM(V89:V95)</f>
        <v/>
      </c>
      <c r="W96" s="873">
        <f>SUM(W89:W95)</f>
        <v/>
      </c>
      <c r="X96" s="873">
        <f>SUM(X89:X95)</f>
        <v/>
      </c>
      <c r="Y96" s="873">
        <f>SUM(Y89:Y95)</f>
        <v/>
      </c>
      <c r="Z96" s="873">
        <f>SUM(Z89:Z95)</f>
        <v/>
      </c>
      <c r="AA96" s="873">
        <f>SUM(AA89:AA95)</f>
        <v/>
      </c>
      <c r="AB96" s="873">
        <f>SUM(AB89:AB95)</f>
        <v/>
      </c>
      <c r="AC96" s="873">
        <f>SUM(AC89:AC95)</f>
        <v/>
      </c>
      <c r="AD96" s="873">
        <f>SUM(AD89:AD95)</f>
        <v/>
      </c>
      <c r="AE96" s="873">
        <f>SUM(AE89:AE95)</f>
        <v/>
      </c>
      <c r="AF96" s="873">
        <f>SUM(AF89:AF95)</f>
        <v/>
      </c>
      <c r="AG96" s="873">
        <f>SUM(AG89:AG95)</f>
        <v/>
      </c>
      <c r="AH96" s="873">
        <f>SUM(AH89:AH95)</f>
        <v/>
      </c>
      <c r="AI96" s="873">
        <f>SUM(AI89:AI95)</f>
        <v/>
      </c>
      <c r="AJ96" s="873">
        <f>SUM(AJ89:AJ95)</f>
        <v/>
      </c>
      <c r="AK96" s="873">
        <f>SUM(AK89:AK95)</f>
        <v/>
      </c>
      <c r="AL96" s="873">
        <f>SUM(AL89:AL95)</f>
        <v/>
      </c>
      <c r="AM96" s="873">
        <f>SUM(AM89:AM95)</f>
        <v/>
      </c>
      <c r="AN96" s="873">
        <f>SUM(AN89:AN95)</f>
        <v/>
      </c>
      <c r="AO96" s="873">
        <f>SUM(AO89:AO95)</f>
        <v/>
      </c>
      <c r="AP96" s="873">
        <f>SUM(AP89:AP95)</f>
        <v/>
      </c>
      <c r="AQ96" s="873">
        <f>SUM(AQ89:AQ95)</f>
        <v/>
      </c>
      <c r="AR96" s="873">
        <f>SUM(AR89:AR95)</f>
        <v/>
      </c>
      <c r="AS96" s="873">
        <f>SUM(AS89:AS95)</f>
        <v/>
      </c>
      <c r="AT96" s="873">
        <f>SUM(AT89:AT95)</f>
        <v/>
      </c>
      <c r="AU96" s="873">
        <f>SUM(AU89:AU95)</f>
        <v/>
      </c>
      <c r="AV96" s="873">
        <f>SUM(AV89:AV95)</f>
        <v/>
      </c>
      <c r="AW96" s="873">
        <f>SUM(AW89:AW95)</f>
        <v/>
      </c>
      <c r="AX96" s="873">
        <f>SUM(AX89:AX95)</f>
        <v/>
      </c>
      <c r="AY96" s="873">
        <f>SUM(AY89:AY95)</f>
        <v/>
      </c>
      <c r="AZ96" s="873">
        <f>SUM(AZ89:AZ95)</f>
        <v/>
      </c>
      <c r="BA96" s="873">
        <f>SUM(BA89:BA95)</f>
        <v/>
      </c>
      <c r="BB96" s="873">
        <f>SUM(BB89:BB95)</f>
        <v/>
      </c>
      <c r="BC96" s="873">
        <f>SUM(BC89:BC95)</f>
        <v/>
      </c>
      <c r="BD96" s="873">
        <f>SUM(BD89:BD95)</f>
        <v/>
      </c>
      <c r="BE96" s="873">
        <f>SUM(BE89:BE95)</f>
        <v/>
      </c>
      <c r="BF96" s="873">
        <f>SUM(BF89:BF95)</f>
        <v/>
      </c>
      <c r="BG96" s="874">
        <f>SUM(BG89:BG95)</f>
        <v/>
      </c>
      <c r="BI96" s="810" t="n"/>
    </row>
    <row r="97" ht="13.2" customHeight="1" s="586">
      <c r="B97" s="805" t="n"/>
      <c r="C97" s="854" t="n"/>
      <c r="D97" s="854" t="n"/>
      <c r="E97" s="812" t="n"/>
      <c r="F97" s="812" t="n"/>
      <c r="G97" s="812" t="n"/>
      <c r="H97" s="812" t="n"/>
      <c r="I97" s="812" t="n"/>
      <c r="J97" s="812" t="n"/>
      <c r="K97" s="812" t="n"/>
      <c r="L97" s="812" t="n"/>
      <c r="M97" s="812" t="n"/>
      <c r="N97" s="812" t="n"/>
      <c r="O97" s="812" t="n"/>
      <c r="P97" s="812" t="n"/>
      <c r="Q97" s="812" t="n"/>
      <c r="R97" s="812" t="n"/>
      <c r="T97" s="809" t="n"/>
      <c r="U97" s="809" t="n"/>
      <c r="V97" s="809" t="n"/>
      <c r="W97" s="809" t="n"/>
      <c r="X97" s="809" t="n"/>
      <c r="Y97" s="809" t="n"/>
      <c r="Z97" s="809" t="n"/>
      <c r="AA97" s="809" t="n"/>
      <c r="AB97" s="809" t="n"/>
      <c r="AC97" s="809" t="n"/>
      <c r="AD97" s="809" t="n"/>
      <c r="AE97" s="809" t="n"/>
      <c r="AG97" s="809" t="n"/>
      <c r="AH97" s="809" t="n"/>
      <c r="AI97" s="809" t="n"/>
      <c r="AJ97" s="809" t="n"/>
      <c r="AK97" s="809" t="n"/>
      <c r="AL97" s="809" t="n"/>
      <c r="AM97" s="809" t="n"/>
      <c r="AN97" s="809" t="n"/>
      <c r="AO97" s="809" t="n"/>
      <c r="AP97" s="809" t="n"/>
      <c r="AQ97" s="809" t="n"/>
      <c r="AR97" s="809" t="n"/>
      <c r="AT97" s="809" t="n"/>
      <c r="AU97" s="809" t="n"/>
      <c r="AV97" s="809" t="n"/>
      <c r="AW97" s="809" t="n"/>
      <c r="AX97" s="809" t="n"/>
      <c r="AY97" s="809" t="n"/>
      <c r="AZ97" s="809" t="n"/>
      <c r="BA97" s="809" t="n"/>
      <c r="BB97" s="809" t="n"/>
      <c r="BC97" s="809" t="n"/>
      <c r="BD97" s="809" t="n"/>
      <c r="BE97" s="809" t="n"/>
      <c r="BG97" s="809" t="n"/>
      <c r="BH97" s="810" t="n"/>
      <c r="BI97" s="810" t="n"/>
    </row>
    <row r="98" ht="13.8" customHeight="1" s="586">
      <c r="B98" s="813" t="n"/>
      <c r="E98" s="815" t="inlineStr">
        <is>
          <t>HR prep</t>
        </is>
      </c>
      <c r="F98" s="816" t="inlineStr">
        <is>
          <t>Prep</t>
        </is>
      </c>
      <c r="G98" s="817" t="n"/>
      <c r="H98" s="815" t="inlineStr">
        <is>
          <t>Transition</t>
        </is>
      </c>
      <c r="I98" s="818" t="n"/>
      <c r="J98" s="817" t="n"/>
      <c r="K98" s="817" t="n"/>
      <c r="L98" s="815" t="n"/>
      <c r="M98" s="815" t="n"/>
      <c r="N98" s="817" t="n"/>
      <c r="O98" s="815" t="n"/>
      <c r="BI98" s="810" t="n"/>
    </row>
    <row r="99" ht="13.2" customHeight="1" s="586">
      <c r="B99" s="856" t="inlineStr">
        <is>
          <t>TelCo</t>
        </is>
      </c>
      <c r="C99" s="857" t="n"/>
      <c r="D99" s="820" t="n"/>
      <c r="E99" s="821" t="inlineStr">
        <is>
          <t>Month -1</t>
        </is>
      </c>
      <c r="F99" s="821" t="inlineStr">
        <is>
          <t>Month 0</t>
        </is>
      </c>
      <c r="G99" s="821" t="inlineStr">
        <is>
          <t>Month 1</t>
        </is>
      </c>
      <c r="H99" s="822" t="inlineStr">
        <is>
          <t>Month 2</t>
        </is>
      </c>
      <c r="I99" s="822" t="inlineStr">
        <is>
          <t>Month 3</t>
        </is>
      </c>
      <c r="J99" s="822" t="inlineStr">
        <is>
          <t>Month 4</t>
        </is>
      </c>
      <c r="K99" s="822" t="inlineStr">
        <is>
          <t>Month 5</t>
        </is>
      </c>
      <c r="L99" s="822" t="inlineStr">
        <is>
          <t>Month 6</t>
        </is>
      </c>
      <c r="M99" s="822" t="inlineStr">
        <is>
          <t>Month 7</t>
        </is>
      </c>
      <c r="N99" s="822" t="inlineStr">
        <is>
          <t>Month 8</t>
        </is>
      </c>
      <c r="O99" s="822" t="inlineStr">
        <is>
          <t>Month 9</t>
        </is>
      </c>
      <c r="P99" s="822" t="inlineStr">
        <is>
          <t>Month 10</t>
        </is>
      </c>
      <c r="Q99" s="822" t="inlineStr">
        <is>
          <t>Month 11</t>
        </is>
      </c>
      <c r="R99" s="822" t="inlineStr">
        <is>
          <t>Month 12</t>
        </is>
      </c>
      <c r="S99" s="821" t="n"/>
      <c r="T99" s="822" t="inlineStr">
        <is>
          <t>Month 13</t>
        </is>
      </c>
      <c r="U99" s="822" t="inlineStr">
        <is>
          <t>Month 14</t>
        </is>
      </c>
      <c r="V99" s="822" t="inlineStr">
        <is>
          <t>Month 15</t>
        </is>
      </c>
      <c r="W99" s="822" t="inlineStr">
        <is>
          <t>Month 16</t>
        </is>
      </c>
      <c r="X99" s="822" t="inlineStr">
        <is>
          <t>Month 17</t>
        </is>
      </c>
      <c r="Y99" s="822" t="inlineStr">
        <is>
          <t>Month 18</t>
        </is>
      </c>
      <c r="Z99" s="822" t="inlineStr">
        <is>
          <t>Month 19</t>
        </is>
      </c>
      <c r="AA99" s="822" t="inlineStr">
        <is>
          <t>Month 20</t>
        </is>
      </c>
      <c r="AB99" s="822" t="inlineStr">
        <is>
          <t>Month 21</t>
        </is>
      </c>
      <c r="AC99" s="822" t="inlineStr">
        <is>
          <t>Month 22</t>
        </is>
      </c>
      <c r="AD99" s="822" t="inlineStr">
        <is>
          <t>Month 23</t>
        </is>
      </c>
      <c r="AE99" s="822" t="inlineStr">
        <is>
          <t>Month 24</t>
        </is>
      </c>
      <c r="AF99" s="822" t="n"/>
      <c r="AG99" s="822" t="inlineStr">
        <is>
          <t>Month 25</t>
        </is>
      </c>
      <c r="AH99" s="822" t="inlineStr">
        <is>
          <t>Month 26</t>
        </is>
      </c>
      <c r="AI99" s="822" t="inlineStr">
        <is>
          <t>Month 27</t>
        </is>
      </c>
      <c r="AJ99" s="822" t="inlineStr">
        <is>
          <t>Month 28</t>
        </is>
      </c>
      <c r="AK99" s="822" t="inlineStr">
        <is>
          <t>Month 29</t>
        </is>
      </c>
      <c r="AL99" s="822" t="inlineStr">
        <is>
          <t>Month 30</t>
        </is>
      </c>
      <c r="AM99" s="822" t="inlineStr">
        <is>
          <t>Month 31</t>
        </is>
      </c>
      <c r="AN99" s="822" t="inlineStr">
        <is>
          <t>Month 32</t>
        </is>
      </c>
      <c r="AO99" s="822" t="inlineStr">
        <is>
          <t>Month 33</t>
        </is>
      </c>
      <c r="AP99" s="822" t="inlineStr">
        <is>
          <t>Month 34</t>
        </is>
      </c>
      <c r="AQ99" s="822" t="inlineStr">
        <is>
          <t>Month 35</t>
        </is>
      </c>
      <c r="AR99" s="822" t="inlineStr">
        <is>
          <t>Month 36</t>
        </is>
      </c>
      <c r="AS99" s="822" t="n"/>
      <c r="AT99" s="822" t="inlineStr">
        <is>
          <t>Month 37</t>
        </is>
      </c>
      <c r="AU99" s="822" t="inlineStr">
        <is>
          <t>Month 38</t>
        </is>
      </c>
      <c r="AV99" s="822" t="inlineStr">
        <is>
          <t>Month 39</t>
        </is>
      </c>
      <c r="AW99" s="822" t="inlineStr">
        <is>
          <t>Month 40</t>
        </is>
      </c>
      <c r="AX99" s="822" t="inlineStr">
        <is>
          <t>Month 41</t>
        </is>
      </c>
      <c r="AY99" s="822" t="inlineStr">
        <is>
          <t>Month 42</t>
        </is>
      </c>
      <c r="AZ99" s="822" t="inlineStr">
        <is>
          <t>Month 43</t>
        </is>
      </c>
      <c r="BA99" s="822" t="inlineStr">
        <is>
          <t>Month 44</t>
        </is>
      </c>
      <c r="BB99" s="822" t="inlineStr">
        <is>
          <t>Month 45</t>
        </is>
      </c>
      <c r="BC99" s="822" t="inlineStr">
        <is>
          <t>Month 46</t>
        </is>
      </c>
      <c r="BD99" s="822" t="inlineStr">
        <is>
          <t>Month 47</t>
        </is>
      </c>
      <c r="BE99" s="822" t="inlineStr">
        <is>
          <t>Month 48</t>
        </is>
      </c>
      <c r="BF99" s="822" t="n"/>
      <c r="BG99" s="822" t="n"/>
    </row>
    <row r="100" ht="14.4" customHeight="1" s="586">
      <c r="B100" s="859" t="n"/>
      <c r="C100" s="860" t="n"/>
      <c r="D100" s="824" t="n"/>
      <c r="E100" s="825" t="inlineStr">
        <is>
          <t>FTE's</t>
        </is>
      </c>
      <c r="F100" s="825" t="inlineStr">
        <is>
          <t>FTE's</t>
        </is>
      </c>
      <c r="G100" s="825" t="inlineStr">
        <is>
          <t>FTE's</t>
        </is>
      </c>
      <c r="H100" s="825" t="inlineStr">
        <is>
          <t>FTE's</t>
        </is>
      </c>
      <c r="I100" s="825" t="inlineStr">
        <is>
          <t>FTE's</t>
        </is>
      </c>
      <c r="J100" s="825" t="inlineStr">
        <is>
          <t>FTE's</t>
        </is>
      </c>
      <c r="K100" s="825" t="inlineStr">
        <is>
          <t>FTE's</t>
        </is>
      </c>
      <c r="L100" s="825" t="inlineStr">
        <is>
          <t>FTE's</t>
        </is>
      </c>
      <c r="M100" s="825" t="inlineStr">
        <is>
          <t>FTE's</t>
        </is>
      </c>
      <c r="N100" s="825" t="inlineStr">
        <is>
          <t>FTE's</t>
        </is>
      </c>
      <c r="O100" s="825" t="inlineStr">
        <is>
          <t>FTE's</t>
        </is>
      </c>
      <c r="P100" s="825" t="inlineStr">
        <is>
          <t>FTE's</t>
        </is>
      </c>
      <c r="Q100" s="825" t="inlineStr">
        <is>
          <t>FTE's</t>
        </is>
      </c>
      <c r="R100" s="825" t="inlineStr">
        <is>
          <t>FTE's</t>
        </is>
      </c>
      <c r="S100" s="825" t="n"/>
      <c r="T100" s="825" t="inlineStr">
        <is>
          <t>FTE's</t>
        </is>
      </c>
      <c r="U100" s="825" t="inlineStr">
        <is>
          <t>FTE's</t>
        </is>
      </c>
      <c r="V100" s="825" t="inlineStr">
        <is>
          <t>FTE's</t>
        </is>
      </c>
      <c r="W100" s="825" t="inlineStr">
        <is>
          <t>FTE's</t>
        </is>
      </c>
      <c r="X100" s="825" t="inlineStr">
        <is>
          <t>FTE's</t>
        </is>
      </c>
      <c r="Y100" s="825" t="inlineStr">
        <is>
          <t>FTE's</t>
        </is>
      </c>
      <c r="Z100" s="825" t="inlineStr">
        <is>
          <t>FTE's</t>
        </is>
      </c>
      <c r="AA100" s="825" t="inlineStr">
        <is>
          <t>FTE's</t>
        </is>
      </c>
      <c r="AB100" s="825" t="inlineStr">
        <is>
          <t>FTE's</t>
        </is>
      </c>
      <c r="AC100" s="825" t="inlineStr">
        <is>
          <t>FTE's</t>
        </is>
      </c>
      <c r="AD100" s="825" t="inlineStr">
        <is>
          <t>FTE's</t>
        </is>
      </c>
      <c r="AE100" s="825" t="inlineStr">
        <is>
          <t>FTE's</t>
        </is>
      </c>
      <c r="AF100" s="825" t="n"/>
      <c r="AG100" s="825" t="inlineStr">
        <is>
          <t>FTE's</t>
        </is>
      </c>
      <c r="AH100" s="825" t="inlineStr">
        <is>
          <t>FTE's</t>
        </is>
      </c>
      <c r="AI100" s="825" t="inlineStr">
        <is>
          <t>FTE's</t>
        </is>
      </c>
      <c r="AJ100" s="825" t="inlineStr">
        <is>
          <t>FTE's</t>
        </is>
      </c>
      <c r="AK100" s="825" t="inlineStr">
        <is>
          <t>FTE's</t>
        </is>
      </c>
      <c r="AL100" s="825" t="inlineStr">
        <is>
          <t>FTE's</t>
        </is>
      </c>
      <c r="AM100" s="825" t="inlineStr">
        <is>
          <t>FTE's</t>
        </is>
      </c>
      <c r="AN100" s="825" t="inlineStr">
        <is>
          <t>FTE's</t>
        </is>
      </c>
      <c r="AO100" s="825" t="inlineStr">
        <is>
          <t>FTE's</t>
        </is>
      </c>
      <c r="AP100" s="825" t="inlineStr">
        <is>
          <t>FTE's</t>
        </is>
      </c>
      <c r="AQ100" s="825" t="inlineStr">
        <is>
          <t>FTE's</t>
        </is>
      </c>
      <c r="AR100" s="825" t="inlineStr">
        <is>
          <t>FTE's</t>
        </is>
      </c>
      <c r="AS100" s="825" t="n"/>
      <c r="AT100" s="825" t="inlineStr">
        <is>
          <t>FTE's</t>
        </is>
      </c>
      <c r="AU100" s="825" t="inlineStr">
        <is>
          <t>FTE's</t>
        </is>
      </c>
      <c r="AV100" s="825" t="inlineStr">
        <is>
          <t>FTE's</t>
        </is>
      </c>
      <c r="AW100" s="825" t="inlineStr">
        <is>
          <t>FTE's</t>
        </is>
      </c>
      <c r="AX100" s="825" t="inlineStr">
        <is>
          <t>FTE's</t>
        </is>
      </c>
      <c r="AY100" s="825" t="inlineStr">
        <is>
          <t>FTE's</t>
        </is>
      </c>
      <c r="AZ100" s="825" t="inlineStr">
        <is>
          <t>FTE's</t>
        </is>
      </c>
      <c r="BA100" s="825" t="inlineStr">
        <is>
          <t>FTE's</t>
        </is>
      </c>
      <c r="BB100" s="825" t="inlineStr">
        <is>
          <t>FTE's</t>
        </is>
      </c>
      <c r="BC100" s="825" t="inlineStr">
        <is>
          <t>FTE's</t>
        </is>
      </c>
      <c r="BD100" s="825" t="inlineStr">
        <is>
          <t>FTE's</t>
        </is>
      </c>
      <c r="BE100" s="825" t="inlineStr">
        <is>
          <t>FTE's</t>
        </is>
      </c>
      <c r="BF100" s="825" t="n"/>
      <c r="BG100" s="825" t="n"/>
    </row>
    <row r="101" ht="13.2" customHeight="1" s="586">
      <c r="B101" s="827" t="n"/>
      <c r="C101" s="861" t="n"/>
      <c r="D101" s="862" t="n"/>
      <c r="E101" s="830" t="n"/>
      <c r="F101" s="830" t="n"/>
      <c r="G101" s="830" t="n"/>
      <c r="H101" s="832" t="n"/>
      <c r="I101" s="832" t="n"/>
      <c r="J101" s="832" t="n"/>
      <c r="K101" s="832" t="n"/>
      <c r="L101" s="832" t="n"/>
      <c r="M101" s="832" t="n"/>
      <c r="N101" s="832" t="n"/>
      <c r="O101" s="832" t="n"/>
      <c r="P101" s="832" t="n"/>
      <c r="Q101" s="832" t="n"/>
      <c r="R101" s="832" t="n"/>
      <c r="S101" s="833" t="n"/>
      <c r="T101" s="832" t="n"/>
      <c r="U101" s="832" t="n"/>
      <c r="V101" s="832" t="n"/>
      <c r="W101" s="832" t="n"/>
      <c r="X101" s="832" t="n"/>
      <c r="Y101" s="832" t="n"/>
      <c r="Z101" s="832" t="n"/>
      <c r="AA101" s="832" t="n"/>
      <c r="AB101" s="832" t="n"/>
      <c r="AC101" s="832" t="n"/>
      <c r="AD101" s="832" t="n"/>
      <c r="AE101" s="832" t="n"/>
      <c r="AF101" s="834" t="n"/>
      <c r="AG101" s="832" t="n"/>
      <c r="AH101" s="832" t="n"/>
      <c r="AI101" s="832" t="n"/>
      <c r="AJ101" s="832" t="n"/>
      <c r="AK101" s="832" t="n"/>
      <c r="AL101" s="832" t="n"/>
      <c r="AM101" s="832" t="n"/>
      <c r="AN101" s="832" t="n"/>
      <c r="AO101" s="832" t="n"/>
      <c r="AP101" s="832" t="n"/>
      <c r="AQ101" s="832" t="n"/>
      <c r="AR101" s="832" t="n"/>
      <c r="AS101" s="834" t="n"/>
      <c r="AT101" s="832" t="n"/>
      <c r="AU101" s="832" t="n"/>
      <c r="AV101" s="832" t="n"/>
      <c r="AW101" s="832" t="n"/>
      <c r="AX101" s="832" t="n"/>
      <c r="AY101" s="832" t="n"/>
      <c r="AZ101" s="832" t="n"/>
      <c r="BA101" s="832" t="n"/>
      <c r="BB101" s="832" t="n"/>
      <c r="BC101" s="832" t="n"/>
      <c r="BD101" s="832" t="n"/>
      <c r="BE101" s="832" t="n"/>
      <c r="BF101" s="834" t="n"/>
      <c r="BG101" s="832" t="n"/>
    </row>
    <row r="102" ht="13.2" customHeight="1" s="586">
      <c r="B102" s="836" t="inlineStr">
        <is>
          <t>1. Transition Program Management Stream</t>
        </is>
      </c>
      <c r="C102" s="863" t="inlineStr">
        <is>
          <t xml:space="preserve"> </t>
        </is>
      </c>
      <c r="D102" s="864" t="n"/>
      <c r="E102" s="890" t="n">
        <v>0</v>
      </c>
      <c r="F102" s="890" t="n">
        <v>1.875</v>
      </c>
      <c r="G102" s="890" t="n">
        <v>0</v>
      </c>
      <c r="H102" s="890" t="n">
        <v>0</v>
      </c>
      <c r="I102" s="890" t="n">
        <v>0</v>
      </c>
      <c r="J102" s="890" t="n"/>
      <c r="K102" s="865" t="n"/>
      <c r="L102" s="865" t="n"/>
      <c r="M102" s="865" t="n"/>
      <c r="N102" s="865" t="n"/>
      <c r="O102" s="865" t="n"/>
      <c r="P102" s="865" t="n"/>
      <c r="Q102" s="865" t="n"/>
      <c r="R102" s="865" t="n"/>
      <c r="S102" s="840" t="n"/>
      <c r="T102" s="841" t="n"/>
      <c r="U102" s="841" t="n"/>
      <c r="V102" s="841" t="n"/>
      <c r="W102" s="841" t="n"/>
      <c r="X102" s="841" t="n"/>
      <c r="Y102" s="841" t="n"/>
      <c r="Z102" s="841" t="n"/>
      <c r="AA102" s="841" t="n"/>
      <c r="AB102" s="841" t="n"/>
      <c r="AC102" s="841" t="n"/>
      <c r="AD102" s="841" t="n"/>
      <c r="AE102" s="841" t="n"/>
      <c r="AF102" s="866" t="n"/>
      <c r="AG102" s="841" t="n"/>
      <c r="AH102" s="841" t="n"/>
      <c r="AI102" s="841" t="n"/>
      <c r="AJ102" s="841" t="n"/>
      <c r="AK102" s="841" t="n"/>
      <c r="AL102" s="841" t="n"/>
      <c r="AM102" s="841" t="n"/>
      <c r="AN102" s="841" t="n"/>
      <c r="AO102" s="841" t="n"/>
      <c r="AP102" s="841" t="n"/>
      <c r="AQ102" s="841" t="n"/>
      <c r="AR102" s="841" t="n"/>
      <c r="AS102" s="866" t="n"/>
      <c r="AT102" s="841" t="n"/>
      <c r="AU102" s="841" t="n"/>
      <c r="AV102" s="841" t="n"/>
      <c r="AW102" s="841" t="n"/>
      <c r="AX102" s="841" t="n"/>
      <c r="AY102" s="841" t="n"/>
      <c r="AZ102" s="841" t="n"/>
      <c r="BA102" s="841" t="n"/>
      <c r="BB102" s="841" t="n"/>
      <c r="BC102" s="841" t="n"/>
      <c r="BD102" s="841" t="n"/>
      <c r="BE102" s="841" t="n"/>
      <c r="BF102" s="866" t="n"/>
      <c r="BG102" s="841" t="n"/>
    </row>
    <row r="103" ht="13.2" customHeight="1" s="586">
      <c r="B103" s="836" t="inlineStr">
        <is>
          <t>2. Service Management Stream</t>
        </is>
      </c>
      <c r="C103" s="863" t="inlineStr">
        <is>
          <t xml:space="preserve"> </t>
        </is>
      </c>
      <c r="D103" s="864" t="n"/>
      <c r="E103" s="890" t="n">
        <v>0</v>
      </c>
      <c r="F103" s="890" t="n">
        <v>0.75</v>
      </c>
      <c r="G103" s="890" t="n">
        <v>5.9275</v>
      </c>
      <c r="H103" s="890" t="n">
        <v>2.76083333333333</v>
      </c>
      <c r="I103" s="890" t="n">
        <v>0.833333333333333</v>
      </c>
      <c r="J103" s="890" t="n"/>
      <c r="K103" s="865" t="n"/>
      <c r="L103" s="865" t="n"/>
      <c r="M103" s="865" t="n"/>
      <c r="N103" s="865" t="n"/>
      <c r="O103" s="865" t="n"/>
      <c r="P103" s="865" t="n"/>
      <c r="Q103" s="865" t="n"/>
      <c r="R103" s="865" t="n"/>
      <c r="S103" s="840" t="n"/>
      <c r="T103" s="841" t="n"/>
      <c r="U103" s="841" t="n"/>
      <c r="V103" s="841" t="n"/>
      <c r="W103" s="841" t="n"/>
      <c r="X103" s="841" t="n"/>
      <c r="Y103" s="841" t="n"/>
      <c r="Z103" s="841" t="n"/>
      <c r="AA103" s="841" t="n"/>
      <c r="AB103" s="841" t="n"/>
      <c r="AC103" s="841" t="n"/>
      <c r="AD103" s="841" t="n"/>
      <c r="AE103" s="841" t="n"/>
      <c r="AF103" s="866" t="n"/>
      <c r="AG103" s="841" t="n"/>
      <c r="AH103" s="841" t="n"/>
      <c r="AI103" s="841" t="n"/>
      <c r="AJ103" s="841" t="n"/>
      <c r="AK103" s="841" t="n"/>
      <c r="AL103" s="841" t="n"/>
      <c r="AM103" s="841" t="n"/>
      <c r="AN103" s="841" t="n"/>
      <c r="AO103" s="841" t="n"/>
      <c r="AP103" s="841" t="n"/>
      <c r="AQ103" s="841" t="n"/>
      <c r="AR103" s="841" t="n"/>
      <c r="AS103" s="866" t="n"/>
      <c r="AT103" s="841" t="n"/>
      <c r="AU103" s="841" t="n"/>
      <c r="AV103" s="841" t="n"/>
      <c r="AW103" s="841" t="n"/>
      <c r="AX103" s="841" t="n"/>
      <c r="AY103" s="841" t="n"/>
      <c r="AZ103" s="841" t="n"/>
      <c r="BA103" s="841" t="n"/>
      <c r="BB103" s="841" t="n"/>
      <c r="BC103" s="841" t="n"/>
      <c r="BD103" s="841" t="n"/>
      <c r="BE103" s="841" t="n"/>
      <c r="BF103" s="866" t="n"/>
      <c r="BG103" s="841" t="n"/>
    </row>
    <row r="104" ht="13.2" customHeight="1" s="586">
      <c r="B104" s="836" t="inlineStr">
        <is>
          <t>3. Unit Operations Stream</t>
        </is>
      </c>
      <c r="C104" s="863" t="inlineStr">
        <is>
          <t xml:space="preserve"> </t>
        </is>
      </c>
      <c r="D104" s="864" t="n"/>
      <c r="E104" s="890" t="n">
        <v>0</v>
      </c>
      <c r="F104" s="890" t="n">
        <v>1.125</v>
      </c>
      <c r="G104" s="890" t="n">
        <v>9.105</v>
      </c>
      <c r="H104" s="890" t="n">
        <v>5.98</v>
      </c>
      <c r="I104" s="890" t="n">
        <v>0</v>
      </c>
      <c r="J104" s="890" t="n"/>
      <c r="K104" s="865" t="n"/>
      <c r="L104" s="865" t="n"/>
      <c r="M104" s="865" t="n"/>
      <c r="N104" s="865" t="n"/>
      <c r="O104" s="865" t="n"/>
      <c r="P104" s="865" t="n"/>
      <c r="Q104" s="865" t="n"/>
      <c r="R104" s="865" t="n"/>
      <c r="S104" s="840" t="n"/>
      <c r="T104" s="841" t="n"/>
      <c r="U104" s="841" t="n"/>
      <c r="V104" s="841" t="n"/>
      <c r="W104" s="841" t="n"/>
      <c r="X104" s="841" t="n"/>
      <c r="Y104" s="841" t="n"/>
      <c r="Z104" s="841" t="n"/>
      <c r="AA104" s="841" t="n"/>
      <c r="AB104" s="841" t="n"/>
      <c r="AC104" s="841" t="n"/>
      <c r="AD104" s="841" t="n"/>
      <c r="AE104" s="841" t="n"/>
      <c r="AF104" s="866" t="n"/>
      <c r="AG104" s="841" t="n"/>
      <c r="AH104" s="841" t="n"/>
      <c r="AI104" s="841" t="n"/>
      <c r="AJ104" s="841" t="n"/>
      <c r="AK104" s="841" t="n"/>
      <c r="AL104" s="841" t="n"/>
      <c r="AM104" s="841" t="n"/>
      <c r="AN104" s="841" t="n"/>
      <c r="AO104" s="841" t="n"/>
      <c r="AP104" s="841" t="n"/>
      <c r="AQ104" s="841" t="n"/>
      <c r="AR104" s="841" t="n"/>
      <c r="AS104" s="866" t="n"/>
      <c r="AT104" s="841" t="n"/>
      <c r="AU104" s="841" t="n"/>
      <c r="AV104" s="841" t="n"/>
      <c r="AW104" s="841" t="n"/>
      <c r="AX104" s="841" t="n"/>
      <c r="AY104" s="841" t="n"/>
      <c r="AZ104" s="841" t="n"/>
      <c r="BA104" s="841" t="n"/>
      <c r="BB104" s="841" t="n"/>
      <c r="BC104" s="841" t="n"/>
      <c r="BD104" s="841" t="n"/>
      <c r="BE104" s="841" t="n"/>
      <c r="BF104" s="866" t="n"/>
      <c r="BG104" s="841" t="n"/>
    </row>
    <row r="105" ht="13.2" customHeight="1" s="586">
      <c r="B105" s="836" t="inlineStr">
        <is>
          <t>4. Communications Stream</t>
        </is>
      </c>
      <c r="C105" s="863" t="inlineStr">
        <is>
          <t xml:space="preserve"> </t>
        </is>
      </c>
      <c r="D105" s="864" t="n"/>
      <c r="E105" s="890" t="n">
        <v>0</v>
      </c>
      <c r="F105" s="890" t="n">
        <v>0.6675</v>
      </c>
      <c r="G105" s="890" t="n">
        <v>0.5325</v>
      </c>
      <c r="H105" s="890" t="n">
        <v>1.0725</v>
      </c>
      <c r="I105" s="890" t="n">
        <v>0</v>
      </c>
      <c r="J105" s="890" t="n"/>
      <c r="K105" s="865" t="n"/>
      <c r="L105" s="865" t="n"/>
      <c r="M105" s="865" t="n"/>
      <c r="N105" s="865" t="n"/>
      <c r="O105" s="865" t="n"/>
      <c r="P105" s="865" t="n"/>
      <c r="Q105" s="865" t="n"/>
      <c r="R105" s="865" t="n"/>
      <c r="S105" s="840" t="n"/>
      <c r="T105" s="841" t="n"/>
      <c r="U105" s="841" t="n"/>
      <c r="V105" s="841" t="n"/>
      <c r="W105" s="841" t="n"/>
      <c r="X105" s="841" t="n"/>
      <c r="Y105" s="841" t="n"/>
      <c r="Z105" s="841" t="n"/>
      <c r="AA105" s="841" t="n"/>
      <c r="AB105" s="841" t="n"/>
      <c r="AC105" s="841" t="n"/>
      <c r="AD105" s="841" t="n"/>
      <c r="AE105" s="841" t="n"/>
      <c r="AF105" s="866" t="n"/>
      <c r="AG105" s="841" t="n"/>
      <c r="AH105" s="841" t="n"/>
      <c r="AI105" s="841" t="n"/>
      <c r="AJ105" s="841" t="n"/>
      <c r="AK105" s="841" t="n"/>
      <c r="AL105" s="841" t="n"/>
      <c r="AM105" s="841" t="n"/>
      <c r="AN105" s="841" t="n"/>
      <c r="AO105" s="841" t="n"/>
      <c r="AP105" s="841" t="n"/>
      <c r="AQ105" s="841" t="n"/>
      <c r="AR105" s="841" t="n"/>
      <c r="AS105" s="866" t="n"/>
      <c r="AT105" s="841" t="n"/>
      <c r="AU105" s="841" t="n"/>
      <c r="AV105" s="841" t="n"/>
      <c r="AW105" s="841" t="n"/>
      <c r="AX105" s="841" t="n"/>
      <c r="AY105" s="841" t="n"/>
      <c r="AZ105" s="841" t="n"/>
      <c r="BA105" s="841" t="n"/>
      <c r="BB105" s="841" t="n"/>
      <c r="BC105" s="841" t="n"/>
      <c r="BD105" s="841" t="n"/>
      <c r="BE105" s="841" t="n"/>
      <c r="BF105" s="866" t="n"/>
      <c r="BG105" s="841" t="n"/>
    </row>
    <row r="106" ht="13.2" customHeight="1" s="586">
      <c r="B106" s="836" t="inlineStr">
        <is>
          <t>5. Finance and Contract Management Stream</t>
        </is>
      </c>
      <c r="C106" s="863" t="inlineStr">
        <is>
          <t xml:space="preserve"> </t>
        </is>
      </c>
      <c r="D106" s="864" t="n"/>
      <c r="E106" s="890" t="n">
        <v>0</v>
      </c>
      <c r="F106" s="890" t="n">
        <v>1.05</v>
      </c>
      <c r="G106" s="890" t="n">
        <v>2.54333333333333</v>
      </c>
      <c r="H106" s="890" t="n">
        <v>2.58833333333333</v>
      </c>
      <c r="I106" s="890" t="n">
        <v>0.716666666666667</v>
      </c>
      <c r="J106" s="890" t="n"/>
      <c r="K106" s="865" t="n"/>
      <c r="L106" s="865" t="n"/>
      <c r="M106" s="865" t="n"/>
      <c r="N106" s="865" t="n"/>
      <c r="O106" s="865" t="n"/>
      <c r="P106" s="865" t="n"/>
      <c r="Q106" s="865" t="n"/>
      <c r="R106" s="865" t="n"/>
      <c r="S106" s="840" t="n"/>
      <c r="T106" s="841" t="n"/>
      <c r="U106" s="841" t="n"/>
      <c r="V106" s="841" t="n"/>
      <c r="W106" s="841" t="n"/>
      <c r="X106" s="841" t="n"/>
      <c r="Y106" s="841" t="n"/>
      <c r="Z106" s="841" t="n"/>
      <c r="AA106" s="841" t="n"/>
      <c r="AB106" s="841" t="n"/>
      <c r="AC106" s="841" t="n"/>
      <c r="AD106" s="841" t="n"/>
      <c r="AE106" s="841" t="n"/>
      <c r="AF106" s="866" t="n"/>
      <c r="AG106" s="841" t="n"/>
      <c r="AH106" s="841" t="n"/>
      <c r="AI106" s="841" t="n"/>
      <c r="AJ106" s="841" t="n"/>
      <c r="AK106" s="841" t="n"/>
      <c r="AL106" s="841" t="n"/>
      <c r="AM106" s="841" t="n"/>
      <c r="AN106" s="841" t="n"/>
      <c r="AO106" s="841" t="n"/>
      <c r="AP106" s="841" t="n"/>
      <c r="AQ106" s="841" t="n"/>
      <c r="AR106" s="841" t="n"/>
      <c r="AS106" s="866" t="n"/>
      <c r="AT106" s="841" t="n"/>
      <c r="AU106" s="841" t="n"/>
      <c r="AV106" s="841" t="n"/>
      <c r="AW106" s="841" t="n"/>
      <c r="AX106" s="841" t="n"/>
      <c r="AY106" s="841" t="n"/>
      <c r="AZ106" s="841" t="n"/>
      <c r="BA106" s="841" t="n"/>
      <c r="BB106" s="841" t="n"/>
      <c r="BC106" s="841" t="n"/>
      <c r="BD106" s="841" t="n"/>
      <c r="BE106" s="841" t="n"/>
      <c r="BF106" s="866" t="n"/>
      <c r="BG106" s="841" t="n"/>
    </row>
    <row r="107" ht="13.2" customHeight="1" s="586">
      <c r="B107" s="836" t="inlineStr">
        <is>
          <t>6. People Transfer Stream</t>
        </is>
      </c>
      <c r="C107" s="863" t="inlineStr">
        <is>
          <t xml:space="preserve"> </t>
        </is>
      </c>
      <c r="D107" s="864" t="n"/>
      <c r="E107" s="890" t="n">
        <v>0</v>
      </c>
      <c r="F107" s="890" t="n">
        <v>0.795</v>
      </c>
      <c r="G107" s="890" t="n">
        <v>2.25</v>
      </c>
      <c r="H107" s="890" t="n">
        <v>4.185</v>
      </c>
      <c r="I107" s="890" t="n">
        <v>0</v>
      </c>
      <c r="J107" s="890" t="n"/>
      <c r="K107" s="865" t="n"/>
      <c r="L107" s="865" t="n"/>
      <c r="M107" s="865" t="n"/>
      <c r="N107" s="865" t="n"/>
      <c r="O107" s="865" t="n"/>
      <c r="P107" s="865" t="n"/>
      <c r="Q107" s="865" t="n"/>
      <c r="R107" s="865" t="n"/>
      <c r="S107" s="840" t="n"/>
      <c r="T107" s="841" t="n"/>
      <c r="U107" s="841" t="n"/>
      <c r="V107" s="841" t="n"/>
      <c r="W107" s="841" t="n"/>
      <c r="X107" s="841" t="n"/>
      <c r="Y107" s="841" t="n"/>
      <c r="Z107" s="841" t="n"/>
      <c r="AA107" s="841" t="n"/>
      <c r="AB107" s="841" t="n"/>
      <c r="AC107" s="841" t="n"/>
      <c r="AD107" s="841" t="n"/>
      <c r="AE107" s="841" t="n"/>
      <c r="AF107" s="866" t="n"/>
      <c r="AG107" s="841" t="n"/>
      <c r="AH107" s="841" t="n"/>
      <c r="AI107" s="841" t="n"/>
      <c r="AJ107" s="841" t="n"/>
      <c r="AK107" s="841" t="n"/>
      <c r="AL107" s="841" t="n"/>
      <c r="AM107" s="841" t="n"/>
      <c r="AN107" s="841" t="n"/>
      <c r="AO107" s="841" t="n"/>
      <c r="AP107" s="841" t="n"/>
      <c r="AQ107" s="841" t="n"/>
      <c r="AR107" s="841" t="n"/>
      <c r="AS107" s="866" t="n"/>
      <c r="AT107" s="841" t="n"/>
      <c r="AU107" s="841" t="n"/>
      <c r="AV107" s="841" t="n"/>
      <c r="AW107" s="841" t="n"/>
      <c r="AX107" s="841" t="n"/>
      <c r="AY107" s="841" t="n"/>
      <c r="AZ107" s="841" t="n"/>
      <c r="BA107" s="841" t="n"/>
      <c r="BB107" s="841" t="n"/>
      <c r="BC107" s="841" t="n"/>
      <c r="BD107" s="841" t="n"/>
      <c r="BE107" s="841" t="n"/>
      <c r="BF107" s="866" t="n"/>
      <c r="BG107" s="841" t="n"/>
    </row>
    <row r="108" ht="13.8" customHeight="1" s="586">
      <c r="B108" s="836" t="inlineStr">
        <is>
          <t>7. Knowledge Transfer Stream</t>
        </is>
      </c>
      <c r="C108" s="863" t="inlineStr">
        <is>
          <t xml:space="preserve"> </t>
        </is>
      </c>
      <c r="D108" s="864" t="n"/>
      <c r="E108" s="890" t="n">
        <v>0</v>
      </c>
      <c r="F108" s="890" t="n">
        <v>0</v>
      </c>
      <c r="G108" s="890" t="n">
        <v>2.1375</v>
      </c>
      <c r="H108" s="890" t="n">
        <v>0.705</v>
      </c>
      <c r="I108" s="890" t="n">
        <v>0.375</v>
      </c>
      <c r="J108" s="890" t="n"/>
      <c r="K108" s="865" t="n"/>
      <c r="L108" s="865" t="n"/>
      <c r="M108" s="865" t="n"/>
      <c r="N108" s="865" t="n"/>
      <c r="O108" s="865" t="n"/>
      <c r="P108" s="865" t="n"/>
      <c r="Q108" s="865" t="n"/>
      <c r="R108" s="865" t="n"/>
      <c r="S108" s="840" t="n"/>
      <c r="T108" s="841" t="n"/>
      <c r="U108" s="841" t="n"/>
      <c r="V108" s="841" t="n"/>
      <c r="W108" s="841" t="n"/>
      <c r="X108" s="841" t="n"/>
      <c r="Y108" s="841" t="n"/>
      <c r="Z108" s="841" t="n"/>
      <c r="AA108" s="841" t="n"/>
      <c r="AB108" s="841" t="n"/>
      <c r="AC108" s="841" t="n"/>
      <c r="AD108" s="841" t="n"/>
      <c r="AE108" s="841" t="n"/>
      <c r="AF108" s="866" t="n"/>
      <c r="AG108" s="841" t="n"/>
      <c r="AH108" s="841" t="n"/>
      <c r="AI108" s="841" t="n"/>
      <c r="AJ108" s="841" t="n"/>
      <c r="AK108" s="841" t="n"/>
      <c r="AL108" s="841" t="n"/>
      <c r="AM108" s="841" t="n"/>
      <c r="AN108" s="841" t="n"/>
      <c r="AO108" s="841" t="n"/>
      <c r="AP108" s="841" t="n"/>
      <c r="AQ108" s="841" t="n"/>
      <c r="AR108" s="841" t="n"/>
      <c r="AS108" s="866" t="n"/>
      <c r="AT108" s="841" t="n"/>
      <c r="AU108" s="841" t="n"/>
      <c r="AV108" s="841" t="n"/>
      <c r="AW108" s="841" t="n"/>
      <c r="AX108" s="841" t="n"/>
      <c r="AY108" s="841" t="n"/>
      <c r="AZ108" s="841" t="n"/>
      <c r="BA108" s="841" t="n"/>
      <c r="BB108" s="841" t="n"/>
      <c r="BC108" s="841" t="n"/>
      <c r="BD108" s="841" t="n"/>
      <c r="BE108" s="841" t="n"/>
      <c r="BF108" s="866" t="n"/>
      <c r="BG108" s="841" t="n"/>
    </row>
    <row r="109" ht="13.8" customHeight="1" s="586">
      <c r="B109" s="871" t="inlineStr">
        <is>
          <t>TOTAL</t>
        </is>
      </c>
      <c r="C109" s="872" t="n"/>
      <c r="D109" s="872" t="n"/>
      <c r="E109" s="904" t="n">
        <v>0</v>
      </c>
      <c r="F109" s="904">
        <f>SUM(F102:F108)</f>
        <v/>
      </c>
      <c r="G109" s="904">
        <f>SUM(G102:G108)</f>
        <v/>
      </c>
      <c r="H109" s="904">
        <f>SUM(H102:H108)</f>
        <v/>
      </c>
      <c r="I109" s="904">
        <f>SUM(I102:I108)</f>
        <v/>
      </c>
      <c r="J109" s="873" t="n">
        <v>0</v>
      </c>
      <c r="K109" s="873" t="n">
        <v>0</v>
      </c>
      <c r="L109" s="873" t="n">
        <v>0</v>
      </c>
      <c r="M109" s="873" t="n">
        <v>0</v>
      </c>
      <c r="N109" s="873" t="n">
        <v>0</v>
      </c>
      <c r="O109" s="873" t="n">
        <v>0</v>
      </c>
      <c r="P109" s="873" t="n">
        <v>0</v>
      </c>
      <c r="Q109" s="873" t="n">
        <v>0</v>
      </c>
      <c r="R109" s="873" t="n">
        <v>0</v>
      </c>
      <c r="S109" s="873" t="n">
        <v>0</v>
      </c>
      <c r="T109" s="873" t="n">
        <v>0</v>
      </c>
      <c r="U109" s="873" t="n">
        <v>0</v>
      </c>
      <c r="V109" s="873" t="n">
        <v>0</v>
      </c>
      <c r="W109" s="873" t="n">
        <v>0</v>
      </c>
      <c r="X109" s="873" t="n">
        <v>0</v>
      </c>
      <c r="Y109" s="873" t="n">
        <v>0</v>
      </c>
      <c r="Z109" s="873" t="n">
        <v>0</v>
      </c>
      <c r="AA109" s="873" t="n">
        <v>0</v>
      </c>
      <c r="AB109" s="873" t="n">
        <v>0</v>
      </c>
      <c r="AC109" s="873" t="n">
        <v>0</v>
      </c>
      <c r="AD109" s="873" t="n">
        <v>0</v>
      </c>
      <c r="AE109" s="873" t="n">
        <v>0</v>
      </c>
      <c r="AF109" s="873" t="n">
        <v>0</v>
      </c>
      <c r="AG109" s="873" t="n">
        <v>0</v>
      </c>
      <c r="AH109" s="873" t="n">
        <v>0</v>
      </c>
      <c r="AI109" s="873" t="n">
        <v>0</v>
      </c>
      <c r="AJ109" s="873" t="n">
        <v>0</v>
      </c>
      <c r="AK109" s="873" t="n">
        <v>0</v>
      </c>
      <c r="AL109" s="873" t="n">
        <v>0</v>
      </c>
      <c r="AM109" s="873" t="n">
        <v>0</v>
      </c>
      <c r="AN109" s="873" t="n">
        <v>0</v>
      </c>
      <c r="AO109" s="873" t="n">
        <v>0</v>
      </c>
      <c r="AP109" s="873" t="n">
        <v>0</v>
      </c>
      <c r="AQ109" s="873" t="n">
        <v>0</v>
      </c>
      <c r="AR109" s="873" t="n">
        <v>0</v>
      </c>
      <c r="AS109" s="873" t="n">
        <v>0</v>
      </c>
      <c r="AT109" s="873" t="n">
        <v>0</v>
      </c>
      <c r="AU109" s="873" t="n">
        <v>0</v>
      </c>
      <c r="AV109" s="873" t="n">
        <v>0</v>
      </c>
      <c r="AW109" s="873" t="n">
        <v>0</v>
      </c>
      <c r="AX109" s="873" t="n">
        <v>0</v>
      </c>
      <c r="AY109" s="873" t="n">
        <v>0</v>
      </c>
      <c r="AZ109" s="873" t="n">
        <v>0</v>
      </c>
      <c r="BA109" s="873" t="n">
        <v>0</v>
      </c>
      <c r="BB109" s="873" t="n">
        <v>0</v>
      </c>
      <c r="BC109" s="873" t="n">
        <v>0</v>
      </c>
      <c r="BD109" s="873" t="n">
        <v>0</v>
      </c>
      <c r="BE109" s="873" t="n">
        <v>0</v>
      </c>
      <c r="BF109" s="873" t="n">
        <v>0</v>
      </c>
      <c r="BG109" s="874" t="n">
        <v>0</v>
      </c>
    </row>
    <row r="110" ht="13.2" customHeight="1" s="586">
      <c r="B110" s="805" t="n"/>
      <c r="C110" s="854" t="n"/>
      <c r="D110" s="854" t="n"/>
      <c r="E110" s="812" t="n"/>
      <c r="F110" s="812" t="n"/>
      <c r="G110" s="812" t="n"/>
      <c r="H110" s="812" t="n"/>
      <c r="I110" s="812" t="n"/>
      <c r="J110" s="812" t="n"/>
      <c r="K110" s="812" t="n"/>
      <c r="L110" s="812" t="n"/>
      <c r="M110" s="812" t="n"/>
      <c r="N110" s="812" t="n"/>
      <c r="O110" s="812" t="n"/>
      <c r="P110" s="812" t="n"/>
      <c r="Q110" s="812" t="n"/>
      <c r="R110" s="812" t="n"/>
      <c r="S110" s="812" t="n"/>
      <c r="T110" s="812" t="n"/>
      <c r="U110" s="812" t="n"/>
      <c r="V110" s="812" t="n"/>
      <c r="W110" s="812" t="n"/>
      <c r="X110" s="812" t="n"/>
      <c r="Y110" s="812" t="n"/>
      <c r="Z110" s="812" t="n"/>
      <c r="AA110" s="812" t="n"/>
      <c r="AB110" s="812" t="n"/>
      <c r="AC110" s="812" t="n"/>
      <c r="AD110" s="812" t="n"/>
      <c r="AE110" s="812" t="n"/>
      <c r="AF110" s="812" t="n"/>
      <c r="AG110" s="812" t="n"/>
      <c r="AH110" s="812" t="n"/>
      <c r="AI110" s="812" t="n"/>
      <c r="AJ110" s="812" t="n"/>
      <c r="AK110" s="812" t="n"/>
      <c r="AL110" s="812" t="n"/>
      <c r="AM110" s="812" t="n"/>
      <c r="AN110" s="812" t="n"/>
      <c r="AO110" s="812" t="n"/>
      <c r="AP110" s="812" t="n"/>
      <c r="AQ110" s="812" t="n"/>
      <c r="AR110" s="812" t="n"/>
      <c r="AS110" s="812" t="n"/>
      <c r="AT110" s="812" t="n"/>
      <c r="AU110" s="812" t="n"/>
      <c r="AV110" s="812" t="n"/>
      <c r="AW110" s="812" t="n"/>
      <c r="AX110" s="812" t="n"/>
      <c r="AY110" s="812" t="n"/>
      <c r="AZ110" s="812" t="n"/>
      <c r="BA110" s="812" t="n"/>
      <c r="BB110" s="812" t="n"/>
      <c r="BC110" s="812" t="n"/>
      <c r="BD110" s="812" t="n"/>
      <c r="BE110" s="812" t="n"/>
      <c r="BF110" s="812" t="n"/>
      <c r="BG110" s="812" t="n"/>
    </row>
    <row r="111" ht="13.2" customHeight="1" s="586">
      <c r="B111" s="813" t="inlineStr">
        <is>
          <t>Total Transformation phase</t>
        </is>
      </c>
      <c r="C111" s="854" t="n"/>
      <c r="D111" s="854" t="n"/>
      <c r="E111" s="812" t="n"/>
      <c r="F111" s="812" t="n"/>
      <c r="G111" s="812" t="n"/>
      <c r="H111" s="812" t="n"/>
      <c r="I111" s="812" t="n"/>
      <c r="J111" s="812" t="n"/>
      <c r="K111" s="812" t="n"/>
      <c r="L111" s="812" t="n"/>
      <c r="M111" s="812" t="n"/>
      <c r="N111" s="812" t="n"/>
      <c r="O111" s="812" t="n"/>
      <c r="P111" s="812" t="n"/>
      <c r="Q111" s="812" t="n"/>
      <c r="R111" s="812" t="n"/>
      <c r="S111" s="812" t="n"/>
      <c r="T111" s="812" t="n"/>
      <c r="U111" s="812" t="n"/>
      <c r="V111" s="812" t="n"/>
      <c r="W111" s="812" t="n"/>
      <c r="X111" s="812" t="n"/>
      <c r="Y111" s="812" t="n"/>
      <c r="Z111" s="812" t="n"/>
      <c r="AA111" s="812" t="n"/>
      <c r="AB111" s="812" t="n"/>
      <c r="AC111" s="812" t="n"/>
      <c r="AD111" s="812" t="n"/>
      <c r="AE111" s="812" t="n"/>
      <c r="AF111" s="812" t="n"/>
      <c r="AG111" s="812" t="n"/>
      <c r="AH111" s="812" t="n"/>
      <c r="AI111" s="812" t="n"/>
      <c r="AJ111" s="812" t="n"/>
      <c r="AK111" s="812" t="n"/>
      <c r="AL111" s="812" t="n"/>
      <c r="AM111" s="812" t="n"/>
      <c r="AN111" s="812" t="n"/>
      <c r="AO111" s="812" t="n"/>
      <c r="AP111" s="812" t="n"/>
      <c r="AQ111" s="812" t="n"/>
      <c r="AR111" s="812" t="n"/>
      <c r="AS111" s="812" t="n"/>
      <c r="AT111" s="812" t="n"/>
      <c r="AU111" s="812" t="n"/>
      <c r="AV111" s="812" t="n"/>
      <c r="AW111" s="812" t="n"/>
      <c r="AX111" s="812" t="n"/>
      <c r="AY111" s="812" t="n"/>
      <c r="AZ111" s="812" t="n"/>
      <c r="BA111" s="812" t="n"/>
      <c r="BB111" s="812" t="n"/>
      <c r="BC111" s="812" t="n"/>
      <c r="BD111" s="812" t="n"/>
      <c r="BE111" s="812" t="n"/>
      <c r="BF111" s="812" t="n"/>
      <c r="BG111" s="812" t="n"/>
    </row>
    <row r="112" ht="13.8" customHeight="1" s="586">
      <c r="B112" s="813" t="n"/>
      <c r="D112" s="905" t="n"/>
      <c r="E112" s="906" t="n"/>
      <c r="F112" s="906" t="n"/>
      <c r="G112" s="907" t="n"/>
      <c r="H112" s="906" t="n"/>
      <c r="I112" s="815" t="inlineStr">
        <is>
          <t>Transformation</t>
        </is>
      </c>
      <c r="J112" s="907" t="n"/>
      <c r="K112" s="817" t="n"/>
      <c r="L112" s="815" t="n"/>
      <c r="M112" s="815" t="n"/>
      <c r="N112" s="817" t="n"/>
      <c r="O112" s="815" t="n"/>
    </row>
    <row r="113" ht="13.2" customHeight="1" s="586">
      <c r="B113" s="819" t="inlineStr">
        <is>
          <t>2IM</t>
        </is>
      </c>
      <c r="C113" s="820" t="n"/>
      <c r="D113" s="820" t="inlineStr">
        <is>
          <t>Month -2</t>
        </is>
      </c>
      <c r="E113" s="908" t="inlineStr">
        <is>
          <t>Month -1</t>
        </is>
      </c>
      <c r="F113" s="908" t="inlineStr">
        <is>
          <t>Month 0</t>
        </is>
      </c>
      <c r="G113" s="908" t="inlineStr">
        <is>
          <t>Month 1</t>
        </is>
      </c>
      <c r="H113" s="909" t="inlineStr">
        <is>
          <t>Month 2</t>
        </is>
      </c>
      <c r="I113" s="822" t="inlineStr">
        <is>
          <t>Month 3</t>
        </is>
      </c>
      <c r="J113" s="909" t="inlineStr">
        <is>
          <t>Month 4</t>
        </is>
      </c>
      <c r="K113" s="822" t="inlineStr">
        <is>
          <t>Month 5</t>
        </is>
      </c>
      <c r="L113" s="822" t="inlineStr">
        <is>
          <t>Month 6</t>
        </is>
      </c>
      <c r="M113" s="822" t="inlineStr">
        <is>
          <t>Month 7</t>
        </is>
      </c>
      <c r="N113" s="822" t="inlineStr">
        <is>
          <t>Month 8</t>
        </is>
      </c>
      <c r="O113" s="822" t="inlineStr">
        <is>
          <t>Month 9</t>
        </is>
      </c>
      <c r="P113" s="822" t="inlineStr">
        <is>
          <t>Month 10</t>
        </is>
      </c>
      <c r="Q113" s="822" t="inlineStr">
        <is>
          <t>Month 11</t>
        </is>
      </c>
      <c r="R113" s="822" t="inlineStr">
        <is>
          <t>Month 12</t>
        </is>
      </c>
      <c r="S113" s="821" t="inlineStr">
        <is>
          <t>Year 1</t>
        </is>
      </c>
      <c r="T113" s="822" t="inlineStr">
        <is>
          <t>Month 13</t>
        </is>
      </c>
      <c r="U113" s="822" t="inlineStr">
        <is>
          <t>Month 14</t>
        </is>
      </c>
      <c r="V113" s="822" t="inlineStr">
        <is>
          <t>Month 15</t>
        </is>
      </c>
      <c r="W113" s="822" t="inlineStr">
        <is>
          <t>Month 16</t>
        </is>
      </c>
      <c r="X113" s="822" t="inlineStr">
        <is>
          <t>Month 17</t>
        </is>
      </c>
      <c r="Y113" s="822" t="inlineStr">
        <is>
          <t>Month 18</t>
        </is>
      </c>
      <c r="Z113" s="822" t="inlineStr">
        <is>
          <t>Month 19</t>
        </is>
      </c>
      <c r="AA113" s="822" t="inlineStr">
        <is>
          <t>Month 20</t>
        </is>
      </c>
      <c r="AB113" s="822" t="inlineStr">
        <is>
          <t>Month 21</t>
        </is>
      </c>
      <c r="AC113" s="822" t="inlineStr">
        <is>
          <t>Month 22</t>
        </is>
      </c>
      <c r="AD113" s="822" t="inlineStr">
        <is>
          <t>Month 23</t>
        </is>
      </c>
      <c r="AE113" s="822" t="inlineStr">
        <is>
          <t>Month 24</t>
        </is>
      </c>
      <c r="AF113" s="822" t="inlineStr">
        <is>
          <t>Year 2</t>
        </is>
      </c>
      <c r="AG113" s="822" t="inlineStr">
        <is>
          <t>Month 25</t>
        </is>
      </c>
      <c r="AH113" s="822" t="inlineStr">
        <is>
          <t>Month 26</t>
        </is>
      </c>
      <c r="AI113" s="822" t="inlineStr">
        <is>
          <t>Month 27</t>
        </is>
      </c>
      <c r="AJ113" s="822" t="inlineStr">
        <is>
          <t>Month 28</t>
        </is>
      </c>
      <c r="AK113" s="822" t="inlineStr">
        <is>
          <t>Month 29</t>
        </is>
      </c>
      <c r="AL113" s="822" t="inlineStr">
        <is>
          <t>Month 30</t>
        </is>
      </c>
      <c r="AM113" s="822" t="inlineStr">
        <is>
          <t>Month 31</t>
        </is>
      </c>
      <c r="AN113" s="822" t="inlineStr">
        <is>
          <t>Month 32</t>
        </is>
      </c>
      <c r="AO113" s="822" t="inlineStr">
        <is>
          <t>Month 33</t>
        </is>
      </c>
      <c r="AP113" s="822" t="inlineStr">
        <is>
          <t>Month 34</t>
        </is>
      </c>
      <c r="AQ113" s="822" t="inlineStr">
        <is>
          <t>Month 35</t>
        </is>
      </c>
      <c r="AR113" s="822" t="inlineStr">
        <is>
          <t>Month 36</t>
        </is>
      </c>
      <c r="AS113" s="822" t="inlineStr">
        <is>
          <t>Year 3</t>
        </is>
      </c>
      <c r="AT113" s="822" t="inlineStr">
        <is>
          <t>Month 37</t>
        </is>
      </c>
      <c r="AU113" s="822" t="inlineStr">
        <is>
          <t>Month 38</t>
        </is>
      </c>
      <c r="AV113" s="822" t="inlineStr">
        <is>
          <t>Month 39</t>
        </is>
      </c>
      <c r="AW113" s="822" t="inlineStr">
        <is>
          <t>Month 40</t>
        </is>
      </c>
      <c r="AX113" s="822" t="inlineStr">
        <is>
          <t>Month 41</t>
        </is>
      </c>
      <c r="AY113" s="822" t="inlineStr">
        <is>
          <t>Month 42</t>
        </is>
      </c>
      <c r="AZ113" s="822" t="inlineStr">
        <is>
          <t>Month 43</t>
        </is>
      </c>
      <c r="BA113" s="822" t="inlineStr">
        <is>
          <t>Month 44</t>
        </is>
      </c>
      <c r="BB113" s="822" t="inlineStr">
        <is>
          <t>Month 45</t>
        </is>
      </c>
      <c r="BC113" s="822" t="inlineStr">
        <is>
          <t>Month 46</t>
        </is>
      </c>
      <c r="BD113" s="822" t="inlineStr">
        <is>
          <t>Month 47</t>
        </is>
      </c>
      <c r="BE113" s="822" t="inlineStr">
        <is>
          <t>Month 48</t>
        </is>
      </c>
      <c r="BF113" s="822" t="inlineStr">
        <is>
          <t>Year 4</t>
        </is>
      </c>
      <c r="BG113" s="821" t="inlineStr">
        <is>
          <t>Total</t>
        </is>
      </c>
    </row>
    <row r="114" ht="14.4" customHeight="1" s="586">
      <c r="B114" s="823" t="n"/>
      <c r="C114" s="824" t="n"/>
      <c r="D114" s="824" t="inlineStr">
        <is>
          <t>(Euro)</t>
        </is>
      </c>
      <c r="E114" s="825" t="inlineStr">
        <is>
          <t>(Euro)</t>
        </is>
      </c>
      <c r="F114" s="825" t="inlineStr">
        <is>
          <t>(Euro)</t>
        </is>
      </c>
      <c r="G114" s="825" t="inlineStr">
        <is>
          <t>(Euro)</t>
        </is>
      </c>
      <c r="H114" s="826" t="inlineStr">
        <is>
          <t>(Euro)</t>
        </is>
      </c>
      <c r="I114" s="826" t="inlineStr">
        <is>
          <t>(Euro)</t>
        </is>
      </c>
      <c r="J114" s="826" t="inlineStr">
        <is>
          <t>(Euro)</t>
        </is>
      </c>
      <c r="K114" s="826" t="inlineStr">
        <is>
          <t>(Euro)</t>
        </is>
      </c>
      <c r="L114" s="826" t="inlineStr">
        <is>
          <t>(Euro)</t>
        </is>
      </c>
      <c r="M114" s="826" t="inlineStr">
        <is>
          <t>(Euro)</t>
        </is>
      </c>
      <c r="N114" s="826" t="inlineStr">
        <is>
          <t>(Euro)</t>
        </is>
      </c>
      <c r="O114" s="826" t="inlineStr">
        <is>
          <t>(Euro)</t>
        </is>
      </c>
      <c r="P114" s="826" t="inlineStr">
        <is>
          <t>(Euro)</t>
        </is>
      </c>
      <c r="Q114" s="826" t="inlineStr">
        <is>
          <t>(Euro)</t>
        </is>
      </c>
      <c r="R114" s="826" t="inlineStr">
        <is>
          <t>(Euro)</t>
        </is>
      </c>
      <c r="S114" s="825" t="inlineStr">
        <is>
          <t>(Euro)</t>
        </is>
      </c>
      <c r="T114" s="826" t="inlineStr">
        <is>
          <t>(Euro)</t>
        </is>
      </c>
      <c r="U114" s="826" t="inlineStr">
        <is>
          <t>(Euro)</t>
        </is>
      </c>
      <c r="V114" s="826" t="inlineStr">
        <is>
          <t>(Euro)</t>
        </is>
      </c>
      <c r="W114" s="826" t="inlineStr">
        <is>
          <t>(Euro)</t>
        </is>
      </c>
      <c r="X114" s="826" t="inlineStr">
        <is>
          <t>(Euro)</t>
        </is>
      </c>
      <c r="Y114" s="826" t="inlineStr">
        <is>
          <t>(Euro)</t>
        </is>
      </c>
      <c r="Z114" s="826" t="inlineStr">
        <is>
          <t>(Euro)</t>
        </is>
      </c>
      <c r="AA114" s="826" t="inlineStr">
        <is>
          <t>(Euro)</t>
        </is>
      </c>
      <c r="AB114" s="826" t="inlineStr">
        <is>
          <t>(Euro)</t>
        </is>
      </c>
      <c r="AC114" s="826" t="inlineStr">
        <is>
          <t>(Euro)</t>
        </is>
      </c>
      <c r="AD114" s="826" t="inlineStr">
        <is>
          <t>(Euro)</t>
        </is>
      </c>
      <c r="AE114" s="826" t="inlineStr">
        <is>
          <t>(Euro)</t>
        </is>
      </c>
      <c r="AF114" s="826" t="inlineStr">
        <is>
          <t>(Euro)</t>
        </is>
      </c>
      <c r="AG114" s="826" t="inlineStr">
        <is>
          <t>(Euro)</t>
        </is>
      </c>
      <c r="AH114" s="826" t="inlineStr">
        <is>
          <t>(Euro)</t>
        </is>
      </c>
      <c r="AI114" s="826" t="inlineStr">
        <is>
          <t>(Euro)</t>
        </is>
      </c>
      <c r="AJ114" s="826" t="inlineStr">
        <is>
          <t>(Euro)</t>
        </is>
      </c>
      <c r="AK114" s="826" t="inlineStr">
        <is>
          <t>(Euro)</t>
        </is>
      </c>
      <c r="AL114" s="826" t="inlineStr">
        <is>
          <t>(Euro)</t>
        </is>
      </c>
      <c r="AM114" s="826" t="inlineStr">
        <is>
          <t>(Euro)</t>
        </is>
      </c>
      <c r="AN114" s="826" t="inlineStr">
        <is>
          <t>(Euro)</t>
        </is>
      </c>
      <c r="AO114" s="826" t="inlineStr">
        <is>
          <t>(Euro)</t>
        </is>
      </c>
      <c r="AP114" s="826" t="inlineStr">
        <is>
          <t>(Euro)</t>
        </is>
      </c>
      <c r="AQ114" s="826" t="inlineStr">
        <is>
          <t>(Euro)</t>
        </is>
      </c>
      <c r="AR114" s="826" t="inlineStr">
        <is>
          <t>(Euro)</t>
        </is>
      </c>
      <c r="AS114" s="826" t="inlineStr">
        <is>
          <t>(Euro)</t>
        </is>
      </c>
      <c r="AT114" s="826" t="inlineStr">
        <is>
          <t>(Euro)</t>
        </is>
      </c>
      <c r="AU114" s="826" t="inlineStr">
        <is>
          <t>(Euro)</t>
        </is>
      </c>
      <c r="AV114" s="826" t="inlineStr">
        <is>
          <t>(Euro)</t>
        </is>
      </c>
      <c r="AW114" s="826" t="inlineStr">
        <is>
          <t>(Euro)</t>
        </is>
      </c>
      <c r="AX114" s="826" t="inlineStr">
        <is>
          <t>(Euro)</t>
        </is>
      </c>
      <c r="AY114" s="826" t="inlineStr">
        <is>
          <t>(Euro)</t>
        </is>
      </c>
      <c r="AZ114" s="826" t="inlineStr">
        <is>
          <t>(Euro)</t>
        </is>
      </c>
      <c r="BA114" s="826" t="inlineStr">
        <is>
          <t>(Euro)</t>
        </is>
      </c>
      <c r="BB114" s="826" t="inlineStr">
        <is>
          <t>(Euro)</t>
        </is>
      </c>
      <c r="BC114" s="826" t="inlineStr">
        <is>
          <t>(Euro)</t>
        </is>
      </c>
      <c r="BD114" s="826" t="inlineStr">
        <is>
          <t>(Euro)</t>
        </is>
      </c>
      <c r="BE114" s="826" t="inlineStr">
        <is>
          <t>(Euro)</t>
        </is>
      </c>
      <c r="BF114" s="826" t="inlineStr">
        <is>
          <t>(Euro)</t>
        </is>
      </c>
      <c r="BG114" s="825" t="inlineStr">
        <is>
          <t>(Euro)</t>
        </is>
      </c>
    </row>
    <row r="115" ht="13.2" customHeight="1" s="586">
      <c r="B115" s="855" t="n"/>
      <c r="C115" s="828" t="n"/>
      <c r="D115" s="829" t="n"/>
      <c r="E115" s="839" t="n">
        <v>0</v>
      </c>
      <c r="F115" s="910" t="n">
        <v>0</v>
      </c>
      <c r="G115" s="839" t="n">
        <v>0</v>
      </c>
      <c r="H115" s="839" t="n">
        <v>0</v>
      </c>
      <c r="I115" s="839" t="n">
        <v>0</v>
      </c>
      <c r="J115" s="839" t="n">
        <v>0</v>
      </c>
      <c r="K115" s="839" t="n">
        <v>0</v>
      </c>
      <c r="L115" s="839" t="n">
        <v>0</v>
      </c>
      <c r="M115" s="839" t="n">
        <v>0</v>
      </c>
      <c r="N115" s="839" t="n">
        <v>0</v>
      </c>
      <c r="O115" s="839" t="n">
        <v>0</v>
      </c>
      <c r="P115" s="839" t="n">
        <v>0</v>
      </c>
      <c r="Q115" s="839" t="n">
        <v>0</v>
      </c>
      <c r="R115" s="839" t="n">
        <v>0</v>
      </c>
      <c r="S115" s="833" t="n"/>
      <c r="T115" s="832" t="n"/>
      <c r="U115" s="832" t="n"/>
      <c r="V115" s="832" t="n"/>
      <c r="W115" s="832" t="n"/>
      <c r="X115" s="832" t="n"/>
      <c r="Y115" s="832" t="n"/>
      <c r="Z115" s="832" t="n"/>
      <c r="AA115" s="832" t="n"/>
      <c r="AB115" s="832" t="n"/>
      <c r="AC115" s="832" t="n"/>
      <c r="AD115" s="832" t="n"/>
      <c r="AE115" s="832" t="n"/>
      <c r="AF115" s="834" t="n"/>
      <c r="AG115" s="832" t="n"/>
      <c r="AH115" s="832" t="n"/>
      <c r="AI115" s="832" t="n"/>
      <c r="AJ115" s="832" t="n"/>
      <c r="AK115" s="832" t="n"/>
      <c r="AL115" s="832" t="n"/>
      <c r="AM115" s="832" t="n"/>
      <c r="AN115" s="832" t="n"/>
      <c r="AO115" s="832" t="n"/>
      <c r="AP115" s="832" t="n"/>
      <c r="AQ115" s="832" t="n"/>
      <c r="AR115" s="832" t="n"/>
      <c r="AS115" s="834" t="n"/>
      <c r="AT115" s="832" t="n"/>
      <c r="AU115" s="832" t="n"/>
      <c r="AV115" s="832" t="n"/>
      <c r="AW115" s="832" t="n"/>
      <c r="AX115" s="832" t="n"/>
      <c r="AY115" s="832" t="n"/>
      <c r="AZ115" s="832" t="n"/>
      <c r="BA115" s="832" t="n"/>
      <c r="BB115" s="832" t="n"/>
      <c r="BC115" s="832" t="n"/>
      <c r="BD115" s="832" t="n"/>
      <c r="BE115" s="832" t="n"/>
      <c r="BF115" s="834" t="n"/>
      <c r="BG115" s="835" t="n"/>
    </row>
    <row r="116" ht="13.2" customHeight="1" s="586">
      <c r="B116" s="882" t="inlineStr">
        <is>
          <t>1. From As to Be</t>
        </is>
      </c>
      <c r="C116" s="837" t="n"/>
      <c r="D116" s="898" t="n"/>
      <c r="E116" s="839" t="n">
        <v>0</v>
      </c>
      <c r="F116" s="910" t="n">
        <v>0</v>
      </c>
      <c r="G116" s="910" t="n">
        <v>0</v>
      </c>
      <c r="H116" s="910" t="n">
        <v>0</v>
      </c>
      <c r="I116" s="910" t="n">
        <v>0</v>
      </c>
      <c r="J116" s="910" t="n">
        <v>386618.640457873</v>
      </c>
      <c r="K116" s="910" t="n">
        <v>373456.997059087</v>
      </c>
      <c r="L116" s="910" t="n">
        <v>256262.758232146</v>
      </c>
      <c r="M116" s="910" t="n">
        <v>95097.5079377105</v>
      </c>
      <c r="N116" s="910" t="n">
        <v>70071.8479541024</v>
      </c>
      <c r="O116" s="910" t="n">
        <v>58949.3324058322</v>
      </c>
      <c r="P116" s="910" t="n">
        <v>0</v>
      </c>
      <c r="Q116" s="910" t="n">
        <v>0</v>
      </c>
      <c r="R116" s="910" t="n">
        <v>0</v>
      </c>
      <c r="S116" s="839">
        <f>SUM(E116:R116)</f>
        <v/>
      </c>
      <c r="T116" s="839" t="n">
        <v>0</v>
      </c>
      <c r="U116" s="839" t="n">
        <v>0</v>
      </c>
      <c r="V116" s="839" t="n">
        <v>0</v>
      </c>
      <c r="W116" s="839" t="n">
        <v>0</v>
      </c>
      <c r="X116" s="839" t="n">
        <v>0</v>
      </c>
      <c r="Y116" s="839" t="n">
        <v>0</v>
      </c>
      <c r="Z116" s="839" t="n">
        <v>0</v>
      </c>
      <c r="AA116" s="839" t="n">
        <v>0</v>
      </c>
      <c r="AB116" s="839" t="n">
        <v>0</v>
      </c>
      <c r="AC116" s="839" t="n">
        <v>0</v>
      </c>
      <c r="AD116" s="839" t="n">
        <v>0</v>
      </c>
      <c r="AE116" s="839" t="n">
        <v>0</v>
      </c>
      <c r="AF116" s="839">
        <f>SUM(T116:AE116)</f>
        <v/>
      </c>
      <c r="AG116" s="841" t="n"/>
      <c r="AH116" s="841" t="n"/>
      <c r="AI116" s="841" t="n"/>
      <c r="AJ116" s="841" t="n"/>
      <c r="AK116" s="841" t="n"/>
      <c r="AL116" s="841" t="n"/>
      <c r="AM116" s="841" t="n"/>
      <c r="AN116" s="841" t="n"/>
      <c r="AO116" s="841" t="n"/>
      <c r="AP116" s="841" t="n"/>
      <c r="AQ116" s="841" t="n"/>
      <c r="AR116" s="841" t="n"/>
      <c r="AS116" s="839">
        <f>SUM(AG116:AR116)</f>
        <v/>
      </c>
      <c r="AT116" s="841" t="n"/>
      <c r="AU116" s="841" t="n"/>
      <c r="AV116" s="841" t="n"/>
      <c r="AW116" s="841" t="n"/>
      <c r="AX116" s="841" t="n"/>
      <c r="AY116" s="841" t="n"/>
      <c r="AZ116" s="841" t="n"/>
      <c r="BA116" s="841" t="n"/>
      <c r="BB116" s="841" t="n"/>
      <c r="BC116" s="841" t="n"/>
      <c r="BD116" s="841" t="n"/>
      <c r="BE116" s="841" t="n"/>
      <c r="BF116" s="839">
        <f>SUM(AT116:BE116)</f>
        <v/>
      </c>
      <c r="BG116" s="840">
        <f>SUM(AS116,AF116,S116,BF116)</f>
        <v/>
      </c>
      <c r="BI116" s="810" t="n"/>
    </row>
    <row r="117" ht="13.2" customHeight="1" s="586">
      <c r="B117" s="882" t="inlineStr">
        <is>
          <t>2. Business Continuity Planning (BCP) / Disaster Recovery (DR)  (CAP €789.000)</t>
        </is>
      </c>
      <c r="C117" s="842" t="n"/>
      <c r="D117" s="898" t="n"/>
      <c r="E117" s="839" t="n">
        <v>0</v>
      </c>
      <c r="F117" s="910" t="n">
        <v>0</v>
      </c>
      <c r="G117" s="910" t="n">
        <v>0</v>
      </c>
      <c r="H117" s="910" t="n">
        <v>0</v>
      </c>
      <c r="I117" s="910" t="n">
        <v>0</v>
      </c>
      <c r="J117" s="910" t="n">
        <v>0</v>
      </c>
      <c r="K117" s="910" t="n">
        <v>0</v>
      </c>
      <c r="L117" s="910" t="n">
        <v>80000</v>
      </c>
      <c r="M117" s="910" t="n">
        <v>80000</v>
      </c>
      <c r="N117" s="910" t="n">
        <v>40000</v>
      </c>
      <c r="O117" s="910" t="n">
        <v>0</v>
      </c>
      <c r="P117" s="910" t="n">
        <v>0</v>
      </c>
      <c r="Q117" s="910" t="n">
        <v>0</v>
      </c>
      <c r="R117" s="910" t="n">
        <v>0</v>
      </c>
      <c r="S117" s="839">
        <f>SUM(E117:R117)</f>
        <v/>
      </c>
      <c r="T117" s="910" t="n"/>
      <c r="U117" s="910" t="n"/>
      <c r="V117" s="910" t="n"/>
      <c r="W117" s="910" t="n">
        <v>0</v>
      </c>
      <c r="X117" s="910" t="n">
        <v>0</v>
      </c>
      <c r="Y117" s="910" t="n">
        <v>0</v>
      </c>
      <c r="Z117" s="910" t="n">
        <v>0</v>
      </c>
      <c r="AA117" s="910" t="n">
        <v>0</v>
      </c>
      <c r="AB117" s="910" t="n">
        <v>0</v>
      </c>
      <c r="AC117" s="910" t="n">
        <v>0</v>
      </c>
      <c r="AD117" s="910" t="n">
        <v>0</v>
      </c>
      <c r="AE117" s="910" t="n">
        <v>0</v>
      </c>
      <c r="AF117" s="839">
        <f>SUM(T117:AE117)</f>
        <v/>
      </c>
      <c r="AG117" s="841" t="n"/>
      <c r="AH117" s="841" t="n"/>
      <c r="AI117" s="841" t="n"/>
      <c r="AJ117" s="841" t="n"/>
      <c r="AK117" s="841" t="n"/>
      <c r="AL117" s="841" t="n"/>
      <c r="AM117" s="841" t="n"/>
      <c r="AN117" s="841" t="n"/>
      <c r="AO117" s="841" t="n"/>
      <c r="AP117" s="841" t="n"/>
      <c r="AQ117" s="841" t="n"/>
      <c r="AR117" s="841" t="n"/>
      <c r="AS117" s="839">
        <f>SUM(AG117:AR117)</f>
        <v/>
      </c>
      <c r="AT117" s="841" t="n"/>
      <c r="AU117" s="841" t="n"/>
      <c r="AV117" s="841" t="n"/>
      <c r="AW117" s="841" t="n"/>
      <c r="AX117" s="841" t="n"/>
      <c r="AY117" s="841" t="n"/>
      <c r="AZ117" s="841" t="n"/>
      <c r="BA117" s="841" t="n"/>
      <c r="BB117" s="841" t="n"/>
      <c r="BC117" s="841" t="n"/>
      <c r="BD117" s="841" t="n"/>
      <c r="BE117" s="841" t="n"/>
      <c r="BF117" s="839">
        <f>SUM(AT117:BE117)</f>
        <v/>
      </c>
      <c r="BG117" s="840">
        <f>SUM(AS117,AF117,S117,BF117)</f>
        <v/>
      </c>
      <c r="BH117" s="810" t="n"/>
      <c r="BI117" s="810" t="n"/>
    </row>
    <row r="118" ht="13.2" customHeight="1" s="586">
      <c r="B118" s="882" t="inlineStr">
        <is>
          <t>3. ITIL  (CAP €996.000)</t>
        </is>
      </c>
      <c r="C118" s="842" t="n"/>
      <c r="D118" s="898" t="n"/>
      <c r="E118" s="839" t="n">
        <v>0</v>
      </c>
      <c r="F118" s="910" t="n">
        <v>0</v>
      </c>
      <c r="G118" s="910" t="n">
        <v>0</v>
      </c>
      <c r="H118" s="910" t="n">
        <v>0</v>
      </c>
      <c r="I118" s="910" t="n">
        <v>0</v>
      </c>
      <c r="J118" s="910" t="n">
        <v>0</v>
      </c>
      <c r="K118" s="910" t="n">
        <v>0</v>
      </c>
      <c r="L118" s="910" t="n">
        <v>80000</v>
      </c>
      <c r="M118" s="910" t="n">
        <v>80000</v>
      </c>
      <c r="N118" s="910" t="n">
        <v>40000</v>
      </c>
      <c r="O118" s="910" t="n">
        <v>0</v>
      </c>
      <c r="P118" s="839" t="n">
        <v>0</v>
      </c>
      <c r="Q118" s="839" t="n">
        <v>0</v>
      </c>
      <c r="R118" s="839" t="n">
        <v>0</v>
      </c>
      <c r="S118" s="839">
        <f>SUM(E118:R118)</f>
        <v/>
      </c>
      <c r="T118" s="911" t="n"/>
      <c r="U118" s="911" t="n"/>
      <c r="V118" s="911" t="n"/>
      <c r="W118" s="911" t="n"/>
      <c r="X118" s="911" t="n"/>
      <c r="Y118" s="841" t="n"/>
      <c r="Z118" s="841" t="n"/>
      <c r="AA118" s="841" t="n"/>
      <c r="AB118" s="841" t="n"/>
      <c r="AC118" s="841" t="n"/>
      <c r="AD118" s="841" t="n"/>
      <c r="AE118" s="841" t="n"/>
      <c r="AF118" s="839">
        <f>SUM(T118:AE118)</f>
        <v/>
      </c>
      <c r="AG118" s="841" t="n"/>
      <c r="AH118" s="841" t="n"/>
      <c r="AI118" s="841" t="n"/>
      <c r="AJ118" s="841" t="n"/>
      <c r="AK118" s="841" t="n"/>
      <c r="AL118" s="841" t="n"/>
      <c r="AM118" s="841" t="n"/>
      <c r="AN118" s="841" t="n"/>
      <c r="AO118" s="841" t="n"/>
      <c r="AP118" s="841" t="n"/>
      <c r="AQ118" s="841" t="n"/>
      <c r="AR118" s="841" t="n"/>
      <c r="AS118" s="839">
        <f>SUM(AG118:AR118)</f>
        <v/>
      </c>
      <c r="AT118" s="841" t="n"/>
      <c r="AU118" s="841" t="n"/>
      <c r="AV118" s="841" t="n"/>
      <c r="AW118" s="841" t="n"/>
      <c r="AX118" s="841" t="n"/>
      <c r="AY118" s="841" t="n"/>
      <c r="AZ118" s="841" t="n"/>
      <c r="BA118" s="841" t="n"/>
      <c r="BB118" s="841" t="n"/>
      <c r="BC118" s="841" t="n"/>
      <c r="BD118" s="841" t="n"/>
      <c r="BE118" s="841" t="n"/>
      <c r="BF118" s="839">
        <f>SUM(AT118:BE118)</f>
        <v/>
      </c>
      <c r="BG118" s="840">
        <f>SUM(AS118,AF118,S118,BF118)</f>
        <v/>
      </c>
      <c r="BH118" s="810" t="n"/>
      <c r="BI118" s="810" t="n"/>
    </row>
    <row r="119" ht="13.2" customHeight="1" s="586">
      <c r="B119" s="882" t="inlineStr">
        <is>
          <t>4. Security/SAS70  (CAP €1.000.000)</t>
        </is>
      </c>
      <c r="C119" s="842" t="n"/>
      <c r="D119" s="898" t="n"/>
      <c r="E119" s="839" t="n">
        <v>0</v>
      </c>
      <c r="F119" s="910" t="n">
        <v>0</v>
      </c>
      <c r="G119" s="910" t="n">
        <v>0</v>
      </c>
      <c r="H119" s="910" t="n">
        <v>0</v>
      </c>
      <c r="I119" s="910" t="n">
        <v>0</v>
      </c>
      <c r="J119" s="910" t="n">
        <v>0</v>
      </c>
      <c r="K119" s="910" t="n">
        <v>0</v>
      </c>
      <c r="L119" s="910" t="n">
        <v>0</v>
      </c>
      <c r="M119" s="910" t="n">
        <v>80000</v>
      </c>
      <c r="N119" s="910" t="n">
        <v>80000</v>
      </c>
      <c r="O119" s="910" t="n">
        <v>40000</v>
      </c>
      <c r="P119" s="910" t="n">
        <v>0</v>
      </c>
      <c r="Q119" s="910" t="n">
        <v>0</v>
      </c>
      <c r="R119" s="910" t="n">
        <v>0</v>
      </c>
      <c r="S119" s="839">
        <f>SUM(E119:R119)</f>
        <v/>
      </c>
      <c r="T119" s="911" t="n"/>
      <c r="U119" s="911" t="n"/>
      <c r="V119" s="911" t="n"/>
      <c r="W119" s="911" t="n"/>
      <c r="X119" s="911" t="n"/>
      <c r="Y119" s="911" t="n"/>
      <c r="Z119" s="841" t="n"/>
      <c r="AA119" s="841" t="n"/>
      <c r="AB119" s="841" t="n"/>
      <c r="AC119" s="841" t="n"/>
      <c r="AD119" s="841" t="n"/>
      <c r="AE119" s="841" t="n"/>
      <c r="AF119" s="839">
        <f>SUM(T119:AE119)</f>
        <v/>
      </c>
      <c r="AG119" s="841" t="n"/>
      <c r="AH119" s="841" t="n"/>
      <c r="AI119" s="841" t="n"/>
      <c r="AJ119" s="841" t="n"/>
      <c r="AK119" s="841" t="n"/>
      <c r="AL119" s="841" t="n"/>
      <c r="AM119" s="841" t="n"/>
      <c r="AN119" s="841" t="n"/>
      <c r="AO119" s="841" t="n"/>
      <c r="AP119" s="841" t="n"/>
      <c r="AQ119" s="841" t="n"/>
      <c r="AR119" s="841" t="n"/>
      <c r="AS119" s="839">
        <f>SUM(AG119:AR119)</f>
        <v/>
      </c>
      <c r="AT119" s="841" t="n"/>
      <c r="AU119" s="841" t="n"/>
      <c r="AV119" s="841" t="n"/>
      <c r="AW119" s="841" t="n"/>
      <c r="AX119" s="841" t="n"/>
      <c r="AY119" s="841" t="n"/>
      <c r="AZ119" s="841" t="n"/>
      <c r="BA119" s="841" t="n"/>
      <c r="BB119" s="841" t="n"/>
      <c r="BC119" s="841" t="n"/>
      <c r="BD119" s="841" t="n"/>
      <c r="BE119" s="841" t="n"/>
      <c r="BF119" s="839">
        <f>SUM(AT119:BE119)</f>
        <v/>
      </c>
      <c r="BG119" s="840">
        <f>SUM(AS119,AF119,S119,BF119)</f>
        <v/>
      </c>
      <c r="BH119" s="810" t="n"/>
      <c r="BI119" s="810" t="n"/>
    </row>
    <row r="120" ht="13.2" customHeight="1" s="586">
      <c r="B120" s="882" t="n"/>
      <c r="C120" s="842" t="n"/>
      <c r="D120" s="898" t="n"/>
      <c r="E120" s="839" t="n"/>
      <c r="F120" s="910" t="n"/>
      <c r="G120" s="910" t="n"/>
      <c r="H120" s="910" t="n"/>
      <c r="I120" s="910" t="n"/>
      <c r="J120" s="910" t="n"/>
      <c r="K120" s="910" t="n"/>
      <c r="L120" s="910" t="n"/>
      <c r="M120" s="910" t="n"/>
      <c r="N120" s="910" t="n"/>
      <c r="O120" s="910" t="n"/>
      <c r="P120" s="910" t="n"/>
      <c r="Q120" s="910" t="n"/>
      <c r="R120" s="910" t="n"/>
      <c r="S120" s="839">
        <f>SUM(E120:R120)</f>
        <v/>
      </c>
      <c r="T120" s="841" t="n"/>
      <c r="U120" s="841" t="n"/>
      <c r="V120" s="841" t="n"/>
      <c r="W120" s="841" t="n"/>
      <c r="X120" s="841" t="n"/>
      <c r="Y120" s="841" t="n"/>
      <c r="Z120" s="841" t="n"/>
      <c r="AA120" s="841" t="n"/>
      <c r="AB120" s="841" t="n"/>
      <c r="AC120" s="841" t="n"/>
      <c r="AD120" s="841" t="n"/>
      <c r="AE120" s="841" t="n"/>
      <c r="AF120" s="839">
        <f>SUM(T120:AE120)</f>
        <v/>
      </c>
      <c r="AG120" s="841" t="n"/>
      <c r="AH120" s="841" t="n"/>
      <c r="AI120" s="841" t="n"/>
      <c r="AJ120" s="841" t="n"/>
      <c r="AK120" s="841" t="n"/>
      <c r="AL120" s="841" t="n"/>
      <c r="AM120" s="841" t="n"/>
      <c r="AN120" s="841" t="n"/>
      <c r="AO120" s="841" t="n"/>
      <c r="AP120" s="841" t="n"/>
      <c r="AQ120" s="841" t="n"/>
      <c r="AR120" s="841" t="n"/>
      <c r="AS120" s="839">
        <f>SUM(AG120:AR120)</f>
        <v/>
      </c>
      <c r="AT120" s="841" t="n"/>
      <c r="AU120" s="841" t="n"/>
      <c r="AV120" s="841" t="n"/>
      <c r="AW120" s="841" t="n"/>
      <c r="AX120" s="841" t="n"/>
      <c r="AY120" s="841" t="n"/>
      <c r="AZ120" s="841" t="n"/>
      <c r="BA120" s="841" t="n"/>
      <c r="BB120" s="841" t="n"/>
      <c r="BC120" s="841" t="n"/>
      <c r="BD120" s="841" t="n"/>
      <c r="BE120" s="841" t="n"/>
      <c r="BF120" s="839">
        <f>SUM(AT120:BE120)</f>
        <v/>
      </c>
      <c r="BG120" s="840">
        <f>SUM(AS120,AF120,S120,BF120)</f>
        <v/>
      </c>
      <c r="BH120" s="810" t="n"/>
      <c r="BI120" s="810" t="n"/>
    </row>
    <row r="121" ht="13.2" customHeight="1" s="586">
      <c r="B121" s="882" t="inlineStr">
        <is>
          <t>Programme Management &amp; Programme Management Office Staffing</t>
        </is>
      </c>
      <c r="C121" s="842" t="n"/>
      <c r="D121" s="898" t="n"/>
      <c r="E121" s="839" t="n">
        <v>0</v>
      </c>
      <c r="F121" s="910" t="n">
        <v>137826.505168982</v>
      </c>
      <c r="G121" s="910" t="n">
        <v>148738.979914557</v>
      </c>
      <c r="H121" s="910" t="n">
        <v>148738.979914557</v>
      </c>
      <c r="I121" s="910" t="n">
        <v>148738.979914557</v>
      </c>
      <c r="J121" s="910" t="n">
        <v>148738.979914557</v>
      </c>
      <c r="K121" s="910" t="n">
        <v>148738.979914557</v>
      </c>
      <c r="L121" s="910" t="n">
        <v>148738.979914557</v>
      </c>
      <c r="M121" s="910" t="n">
        <v>148738.979914557</v>
      </c>
      <c r="N121" s="910" t="n">
        <v>148738.979914557</v>
      </c>
      <c r="O121" s="910" t="n">
        <v>148738.979914557</v>
      </c>
      <c r="P121" s="910" t="n">
        <v>148738.979914557</v>
      </c>
      <c r="Q121" s="910" t="n">
        <v>148738.979914557</v>
      </c>
      <c r="R121" s="910" t="n">
        <v>148738.979914557</v>
      </c>
      <c r="S121" s="839">
        <f>SUM(E121:R121)</f>
        <v/>
      </c>
      <c r="T121" s="910" t="n">
        <v>148738.979914557</v>
      </c>
      <c r="U121" s="910" t="n">
        <v>148738.979914557</v>
      </c>
      <c r="V121" s="910" t="n">
        <v>148738.979914557</v>
      </c>
      <c r="W121" s="910" t="n">
        <v>148738.979914557</v>
      </c>
      <c r="X121" s="910" t="n">
        <v>148738.979914557</v>
      </c>
      <c r="Y121" s="910" t="n">
        <v>148738.979914557</v>
      </c>
      <c r="Z121" s="910" t="n">
        <v>148738.979914557</v>
      </c>
      <c r="AA121" s="910" t="n">
        <v>148738.979914557</v>
      </c>
      <c r="AB121" s="910" t="n">
        <v>148738.979914557</v>
      </c>
      <c r="AC121" s="910" t="n">
        <v>148738.979914557</v>
      </c>
      <c r="AD121" s="910" t="n">
        <v>148738.979914557</v>
      </c>
      <c r="AE121" s="910" t="n">
        <v>148738.979914557</v>
      </c>
      <c r="AF121" s="839">
        <f>SUM(T121:AE121)</f>
        <v/>
      </c>
      <c r="AG121" s="910" t="n">
        <v>93520.5439770567</v>
      </c>
      <c r="AH121" s="910" t="n">
        <v>93520.5439770567</v>
      </c>
      <c r="AI121" s="910" t="n">
        <v>93520.5439770567</v>
      </c>
      <c r="AJ121" s="910" t="n">
        <v>93520.5439770567</v>
      </c>
      <c r="AK121" s="910" t="n">
        <v>93520.5439770567</v>
      </c>
      <c r="AL121" s="910" t="n">
        <v>93520.5439770567</v>
      </c>
      <c r="AM121" s="910" t="n">
        <v>93520.5439770567</v>
      </c>
      <c r="AN121" s="910" t="n">
        <v>93520.5439770567</v>
      </c>
      <c r="AO121" s="910" t="n">
        <v>93520.5439770567</v>
      </c>
      <c r="AP121" s="910" t="n">
        <v>93520.5439770567</v>
      </c>
      <c r="AQ121" s="910" t="n">
        <v>93520.5439770567</v>
      </c>
      <c r="AR121" s="910" t="n">
        <v>93520.5439770567</v>
      </c>
      <c r="AS121" s="839">
        <f>SUM(AG121:AR121)</f>
        <v/>
      </c>
      <c r="AT121" s="910" t="n">
        <v>38302.1080395567</v>
      </c>
      <c r="AU121" s="910" t="n">
        <v>38302.1080395567</v>
      </c>
      <c r="AV121" s="910" t="n">
        <v>38302.1080395567</v>
      </c>
      <c r="AW121" s="910" t="n">
        <v>38302.1080395567</v>
      </c>
      <c r="AX121" s="910" t="n">
        <v>38302.1080395567</v>
      </c>
      <c r="AY121" s="910" t="n">
        <v>38302.1080395567</v>
      </c>
      <c r="AZ121" s="910" t="n">
        <v>38302.1080395567</v>
      </c>
      <c r="BA121" s="910" t="n">
        <v>38302.1080395567</v>
      </c>
      <c r="BB121" s="910" t="n">
        <v>38302.1080395567</v>
      </c>
      <c r="BC121" s="910" t="n">
        <v>38302.1080395567</v>
      </c>
      <c r="BD121" s="910" t="n">
        <v>38302.1080395567</v>
      </c>
      <c r="BE121" s="910" t="n">
        <v>38302.1080395567</v>
      </c>
      <c r="BF121" s="839">
        <f>SUM(AT121:BE121)</f>
        <v/>
      </c>
      <c r="BG121" s="840">
        <f>SUM(AS121,AF121,S121,BF121)</f>
        <v/>
      </c>
      <c r="BH121" s="810" t="n"/>
      <c r="BI121" s="810" t="n"/>
    </row>
    <row r="122" ht="13.8" customHeight="1" s="586">
      <c r="B122" s="885" t="n"/>
      <c r="C122" s="844" t="n"/>
      <c r="D122" s="912" t="n"/>
      <c r="E122" s="846" t="n"/>
      <c r="F122" s="893" t="n"/>
      <c r="G122" s="893" t="n"/>
      <c r="H122" s="893" t="n"/>
      <c r="I122" s="893" t="n"/>
      <c r="J122" s="893" t="n"/>
      <c r="K122" s="893" t="n"/>
      <c r="L122" s="893" t="n"/>
      <c r="M122" s="893" t="n"/>
      <c r="N122" s="893" t="n"/>
      <c r="O122" s="893" t="n"/>
      <c r="P122" s="846" t="n"/>
      <c r="Q122" s="846" t="n"/>
      <c r="R122" s="846" t="n"/>
      <c r="S122" s="847" t="n"/>
      <c r="T122" s="848" t="n"/>
      <c r="U122" s="848" t="n"/>
      <c r="V122" s="848" t="n"/>
      <c r="W122" s="848" t="n"/>
      <c r="X122" s="848" t="n"/>
      <c r="Y122" s="848" t="n"/>
      <c r="Z122" s="848" t="n"/>
      <c r="AA122" s="848" t="n"/>
      <c r="AB122" s="848" t="n"/>
      <c r="AC122" s="848" t="n"/>
      <c r="AD122" s="848" t="n"/>
      <c r="AE122" s="848" t="n"/>
      <c r="AF122" s="870" t="n"/>
      <c r="AG122" s="848" t="n"/>
      <c r="AH122" s="848" t="n"/>
      <c r="AI122" s="848" t="n"/>
      <c r="AJ122" s="848" t="n"/>
      <c r="AK122" s="848" t="n"/>
      <c r="AL122" s="848" t="n"/>
      <c r="AM122" s="848" t="n"/>
      <c r="AN122" s="848" t="n"/>
      <c r="AO122" s="848" t="n"/>
      <c r="AP122" s="848" t="n"/>
      <c r="AQ122" s="848" t="n"/>
      <c r="AR122" s="848" t="n"/>
      <c r="AS122" s="870" t="n"/>
      <c r="AT122" s="848" t="n"/>
      <c r="AU122" s="848" t="n"/>
      <c r="AV122" s="848" t="n"/>
      <c r="AW122" s="848" t="n"/>
      <c r="AX122" s="848" t="n"/>
      <c r="AY122" s="848" t="n"/>
      <c r="AZ122" s="848" t="n"/>
      <c r="BA122" s="848" t="n"/>
      <c r="BB122" s="848" t="n"/>
      <c r="BC122" s="848" t="n"/>
      <c r="BD122" s="848" t="n"/>
      <c r="BE122" s="848" t="n"/>
      <c r="BF122" s="870" t="n"/>
      <c r="BG122" s="847">
        <f>SUM(AS122,AF122,S122,BF122)</f>
        <v/>
      </c>
      <c r="BH122" s="810" t="n"/>
      <c r="BI122" s="810" t="n"/>
    </row>
    <row r="123" ht="13.8" customHeight="1" s="586">
      <c r="B123" s="871" t="inlineStr">
        <is>
          <t>TOTAL</t>
        </is>
      </c>
      <c r="C123" s="872" t="n"/>
      <c r="D123" s="872" t="n"/>
      <c r="E123" s="873">
        <f>SUM(E115:E122)</f>
        <v/>
      </c>
      <c r="F123" s="873">
        <f>SUM(F115:F122)</f>
        <v/>
      </c>
      <c r="G123" s="873">
        <f>SUM(G115:G122)</f>
        <v/>
      </c>
      <c r="H123" s="873">
        <f>SUM(H115:H122)</f>
        <v/>
      </c>
      <c r="I123" s="873">
        <f>SUM(I115:I122)</f>
        <v/>
      </c>
      <c r="J123" s="873">
        <f>SUM(J115:J122)</f>
        <v/>
      </c>
      <c r="K123" s="873">
        <f>SUM(K115:K122)</f>
        <v/>
      </c>
      <c r="L123" s="873">
        <f>SUM(L115:L122)</f>
        <v/>
      </c>
      <c r="M123" s="873">
        <f>SUM(M115:M122)</f>
        <v/>
      </c>
      <c r="N123" s="873">
        <f>SUM(N115:N122)</f>
        <v/>
      </c>
      <c r="O123" s="873">
        <f>SUM(O115:O122)</f>
        <v/>
      </c>
      <c r="P123" s="873">
        <f>SUM(P115:P122)</f>
        <v/>
      </c>
      <c r="Q123" s="873">
        <f>SUM(Q115:Q122)</f>
        <v/>
      </c>
      <c r="R123" s="873">
        <f>SUM(R115:R122)</f>
        <v/>
      </c>
      <c r="S123" s="873">
        <f>SUM(S115:S122)</f>
        <v/>
      </c>
      <c r="T123" s="873">
        <f>SUM(T115:T122)</f>
        <v/>
      </c>
      <c r="U123" s="873">
        <f>SUM(U115:U122)</f>
        <v/>
      </c>
      <c r="V123" s="873">
        <f>SUM(V115:V122)</f>
        <v/>
      </c>
      <c r="W123" s="873">
        <f>SUM(W115:W122)</f>
        <v/>
      </c>
      <c r="X123" s="873">
        <f>SUM(X115:X122)</f>
        <v/>
      </c>
      <c r="Y123" s="873">
        <f>SUM(Y115:Y122)</f>
        <v/>
      </c>
      <c r="Z123" s="873">
        <f>SUM(Z115:Z122)</f>
        <v/>
      </c>
      <c r="AA123" s="873">
        <f>SUM(AA115:AA122)</f>
        <v/>
      </c>
      <c r="AB123" s="873">
        <f>SUM(AB115:AB122)</f>
        <v/>
      </c>
      <c r="AC123" s="873">
        <f>SUM(AC115:AC122)</f>
        <v/>
      </c>
      <c r="AD123" s="873">
        <f>SUM(AD115:AD122)</f>
        <v/>
      </c>
      <c r="AE123" s="873">
        <f>SUM(AE115:AE122)</f>
        <v/>
      </c>
      <c r="AF123" s="873">
        <f>SUM(AF115:AF122)</f>
        <v/>
      </c>
      <c r="AG123" s="873">
        <f>SUM(AG115:AG122)</f>
        <v/>
      </c>
      <c r="AH123" s="873">
        <f>SUM(AH115:AH122)</f>
        <v/>
      </c>
      <c r="AI123" s="873">
        <f>SUM(AI115:AI122)</f>
        <v/>
      </c>
      <c r="AJ123" s="873">
        <f>SUM(AJ115:AJ122)</f>
        <v/>
      </c>
      <c r="AK123" s="873">
        <f>SUM(AK115:AK122)</f>
        <v/>
      </c>
      <c r="AL123" s="873">
        <f>SUM(AL115:AL122)</f>
        <v/>
      </c>
      <c r="AM123" s="873">
        <f>SUM(AM115:AM122)</f>
        <v/>
      </c>
      <c r="AN123" s="873">
        <f>SUM(AN115:AN122)</f>
        <v/>
      </c>
      <c r="AO123" s="873">
        <f>SUM(AO115:AO122)</f>
        <v/>
      </c>
      <c r="AP123" s="873">
        <f>SUM(AP115:AP122)</f>
        <v/>
      </c>
      <c r="AQ123" s="873">
        <f>SUM(AQ115:AQ122)</f>
        <v/>
      </c>
      <c r="AR123" s="873">
        <f>SUM(AR115:AR122)</f>
        <v/>
      </c>
      <c r="AS123" s="873">
        <f>SUM(AS115:AS122)</f>
        <v/>
      </c>
      <c r="AT123" s="873">
        <f>SUM(AT115:AT122)</f>
        <v/>
      </c>
      <c r="AU123" s="873">
        <f>SUM(AU115:AU122)</f>
        <v/>
      </c>
      <c r="AV123" s="873">
        <f>SUM(AV115:AV122)</f>
        <v/>
      </c>
      <c r="AW123" s="873">
        <f>SUM(AW115:AW122)</f>
        <v/>
      </c>
      <c r="AX123" s="873">
        <f>SUM(AX115:AX122)</f>
        <v/>
      </c>
      <c r="AY123" s="873">
        <f>SUM(AY115:AY122)</f>
        <v/>
      </c>
      <c r="AZ123" s="873">
        <f>SUM(AZ115:AZ122)</f>
        <v/>
      </c>
      <c r="BA123" s="873">
        <f>SUM(BA115:BA122)</f>
        <v/>
      </c>
      <c r="BB123" s="873">
        <f>SUM(BB115:BB122)</f>
        <v/>
      </c>
      <c r="BC123" s="873">
        <f>SUM(BC115:BC122)</f>
        <v/>
      </c>
      <c r="BD123" s="873">
        <f>SUM(BD115:BD122)</f>
        <v/>
      </c>
      <c r="BE123" s="873">
        <f>SUM(BE115:BE122)</f>
        <v/>
      </c>
      <c r="BF123" s="873">
        <f>SUM(BF115:BF122)</f>
        <v/>
      </c>
      <c r="BG123" s="874">
        <f>SUM(BG115:BG122)</f>
        <v/>
      </c>
      <c r="BI123" s="810" t="n"/>
    </row>
    <row r="124" ht="13.2" customHeight="1" s="586">
      <c r="B124" s="805" t="n"/>
      <c r="C124" s="854" t="n"/>
      <c r="D124" s="854" t="n"/>
      <c r="E124" s="812" t="n"/>
      <c r="F124" s="812" t="n"/>
      <c r="G124" s="812" t="n"/>
      <c r="H124" s="812" t="n"/>
      <c r="I124" s="812" t="n"/>
      <c r="J124" s="812" t="n"/>
      <c r="K124" s="812" t="n"/>
      <c r="L124" s="812" t="n"/>
      <c r="M124" s="812" t="n"/>
      <c r="N124" s="812" t="n"/>
      <c r="O124" s="812" t="n"/>
      <c r="P124" s="812" t="n"/>
      <c r="Q124" s="812" t="n"/>
      <c r="R124" s="812" t="n"/>
      <c r="T124" s="809" t="n"/>
      <c r="U124" s="809" t="n"/>
      <c r="V124" s="809" t="n"/>
      <c r="W124" s="809" t="n"/>
      <c r="X124" s="809" t="n"/>
      <c r="Y124" s="809" t="n"/>
      <c r="Z124" s="809" t="n"/>
      <c r="AA124" s="809" t="n"/>
      <c r="AB124" s="809" t="n"/>
      <c r="AC124" s="809" t="n"/>
      <c r="AD124" s="809" t="n"/>
      <c r="AE124" s="809" t="n"/>
      <c r="AG124" s="809" t="n"/>
      <c r="AH124" s="809" t="n"/>
      <c r="AI124" s="809" t="n"/>
      <c r="AJ124" s="809" t="n"/>
      <c r="AK124" s="809" t="n"/>
      <c r="AL124" s="809" t="n"/>
      <c r="AM124" s="809" t="n"/>
      <c r="AN124" s="809" t="n"/>
      <c r="AO124" s="809" t="n"/>
      <c r="AP124" s="809" t="n"/>
      <c r="AQ124" s="809" t="n"/>
      <c r="AR124" s="809" t="n"/>
      <c r="AT124" s="809" t="n"/>
      <c r="AU124" s="809" t="n"/>
      <c r="AV124" s="809" t="n"/>
      <c r="AW124" s="809" t="n"/>
      <c r="AX124" s="809" t="n"/>
      <c r="AY124" s="809" t="n"/>
      <c r="AZ124" s="809" t="n"/>
      <c r="BA124" s="809" t="n"/>
      <c r="BB124" s="809" t="n"/>
      <c r="BC124" s="809" t="n"/>
      <c r="BD124" s="809" t="n"/>
      <c r="BE124" s="809" t="n"/>
      <c r="BG124" s="809" t="n"/>
      <c r="BH124" s="810" t="n"/>
      <c r="BI124" s="810" t="n"/>
    </row>
    <row r="125" ht="13.8" customHeight="1" s="586">
      <c r="B125" s="813" t="n"/>
      <c r="D125" s="905" t="n"/>
      <c r="E125" s="906" t="n"/>
      <c r="F125" s="906" t="n"/>
      <c r="G125" s="907" t="n"/>
      <c r="H125" s="906" t="n"/>
      <c r="I125" s="815" t="inlineStr">
        <is>
          <t>Transformation</t>
        </is>
      </c>
      <c r="J125" s="907" t="n"/>
      <c r="K125" s="817" t="n"/>
      <c r="L125" s="815" t="n"/>
      <c r="M125" s="815" t="n"/>
      <c r="N125" s="817" t="n"/>
      <c r="O125" s="815" t="n"/>
      <c r="BI125" s="810" t="n"/>
    </row>
    <row r="126" ht="13.2" customHeight="1" s="586">
      <c r="A126" s="855" t="n"/>
      <c r="B126" s="856" t="inlineStr">
        <is>
          <t>2IM</t>
        </is>
      </c>
      <c r="C126" s="857" t="n"/>
      <c r="D126" s="820" t="n"/>
      <c r="E126" s="821" t="inlineStr">
        <is>
          <t>Month -1</t>
        </is>
      </c>
      <c r="F126" s="821" t="inlineStr">
        <is>
          <t>Month 0</t>
        </is>
      </c>
      <c r="G126" s="821" t="inlineStr">
        <is>
          <t>Month 1</t>
        </is>
      </c>
      <c r="H126" s="822" t="inlineStr">
        <is>
          <t>Month 2</t>
        </is>
      </c>
      <c r="I126" s="822" t="inlineStr">
        <is>
          <t>Month 3</t>
        </is>
      </c>
      <c r="J126" s="822" t="inlineStr">
        <is>
          <t>Month 4</t>
        </is>
      </c>
      <c r="K126" s="822" t="inlineStr">
        <is>
          <t>Month 5</t>
        </is>
      </c>
      <c r="L126" s="822" t="inlineStr">
        <is>
          <t>Month 6</t>
        </is>
      </c>
      <c r="M126" s="822" t="inlineStr">
        <is>
          <t>Month 7</t>
        </is>
      </c>
      <c r="N126" s="822" t="inlineStr">
        <is>
          <t>Month 8</t>
        </is>
      </c>
      <c r="O126" s="822" t="inlineStr">
        <is>
          <t>Month 9</t>
        </is>
      </c>
      <c r="P126" s="822" t="inlineStr">
        <is>
          <t>Month 10</t>
        </is>
      </c>
      <c r="Q126" s="822" t="inlineStr">
        <is>
          <t>Month 11</t>
        </is>
      </c>
      <c r="R126" s="822" t="inlineStr">
        <is>
          <t>Month 12</t>
        </is>
      </c>
      <c r="S126" s="821" t="n"/>
      <c r="T126" s="822" t="inlineStr">
        <is>
          <t>Month 13</t>
        </is>
      </c>
      <c r="U126" s="822" t="inlineStr">
        <is>
          <t>Month 14</t>
        </is>
      </c>
      <c r="V126" s="822" t="inlineStr">
        <is>
          <t>Month 15</t>
        </is>
      </c>
      <c r="W126" s="822" t="inlineStr">
        <is>
          <t>Month 16</t>
        </is>
      </c>
      <c r="X126" s="822" t="inlineStr">
        <is>
          <t>Month 17</t>
        </is>
      </c>
      <c r="Y126" s="822" t="inlineStr">
        <is>
          <t>Month 18</t>
        </is>
      </c>
      <c r="Z126" s="822" t="inlineStr">
        <is>
          <t>Month 19</t>
        </is>
      </c>
      <c r="AA126" s="822" t="inlineStr">
        <is>
          <t>Month 20</t>
        </is>
      </c>
      <c r="AB126" s="822" t="inlineStr">
        <is>
          <t>Month 21</t>
        </is>
      </c>
      <c r="AC126" s="822" t="inlineStr">
        <is>
          <t>Month 22</t>
        </is>
      </c>
      <c r="AD126" s="822" t="inlineStr">
        <is>
          <t>Month 23</t>
        </is>
      </c>
      <c r="AE126" s="822" t="inlineStr">
        <is>
          <t>Month 24</t>
        </is>
      </c>
      <c r="AF126" s="822" t="n"/>
      <c r="AG126" s="822" t="inlineStr">
        <is>
          <t>Month 25</t>
        </is>
      </c>
      <c r="AH126" s="822" t="inlineStr">
        <is>
          <t>Month 26</t>
        </is>
      </c>
      <c r="AI126" s="822" t="inlineStr">
        <is>
          <t>Month 27</t>
        </is>
      </c>
      <c r="AJ126" s="822" t="inlineStr">
        <is>
          <t>Month 28</t>
        </is>
      </c>
      <c r="AK126" s="822" t="inlineStr">
        <is>
          <t>Month 29</t>
        </is>
      </c>
      <c r="AL126" s="822" t="inlineStr">
        <is>
          <t>Month 30</t>
        </is>
      </c>
      <c r="AM126" s="822" t="inlineStr">
        <is>
          <t>Month 31</t>
        </is>
      </c>
      <c r="AN126" s="822" t="inlineStr">
        <is>
          <t>Month 32</t>
        </is>
      </c>
      <c r="AO126" s="822" t="inlineStr">
        <is>
          <t>Month 33</t>
        </is>
      </c>
      <c r="AP126" s="822" t="inlineStr">
        <is>
          <t>Month 34</t>
        </is>
      </c>
      <c r="AQ126" s="822" t="inlineStr">
        <is>
          <t>Month 35</t>
        </is>
      </c>
      <c r="AR126" s="822" t="inlineStr">
        <is>
          <t>Month 36</t>
        </is>
      </c>
      <c r="AS126" s="822" t="n"/>
      <c r="AT126" s="822" t="inlineStr">
        <is>
          <t>Month 37</t>
        </is>
      </c>
      <c r="AU126" s="822" t="inlineStr">
        <is>
          <t>Month 38</t>
        </is>
      </c>
      <c r="AV126" s="822" t="inlineStr">
        <is>
          <t>Month 39</t>
        </is>
      </c>
      <c r="AW126" s="822" t="inlineStr">
        <is>
          <t>Month 40</t>
        </is>
      </c>
      <c r="AX126" s="822" t="inlineStr">
        <is>
          <t>Month 41</t>
        </is>
      </c>
      <c r="AY126" s="822" t="inlineStr">
        <is>
          <t>Month 42</t>
        </is>
      </c>
      <c r="AZ126" s="822" t="inlineStr">
        <is>
          <t>Month 43</t>
        </is>
      </c>
      <c r="BA126" s="822" t="inlineStr">
        <is>
          <t>Month 44</t>
        </is>
      </c>
      <c r="BB126" s="822" t="inlineStr">
        <is>
          <t>Month 45</t>
        </is>
      </c>
      <c r="BC126" s="822" t="inlineStr">
        <is>
          <t>Month 46</t>
        </is>
      </c>
      <c r="BD126" s="822" t="inlineStr">
        <is>
          <t>Month 47</t>
        </is>
      </c>
      <c r="BE126" s="822" t="inlineStr">
        <is>
          <t>Month 48</t>
        </is>
      </c>
      <c r="BF126" s="822" t="n"/>
      <c r="BG126" s="822" t="n"/>
    </row>
    <row r="127" ht="14.4" customHeight="1" s="586">
      <c r="A127" s="858" t="n"/>
      <c r="B127" s="859" t="n"/>
      <c r="C127" s="860" t="n"/>
      <c r="D127" s="824" t="n"/>
      <c r="E127" s="825" t="inlineStr">
        <is>
          <t>FTE's</t>
        </is>
      </c>
      <c r="F127" s="825" t="inlineStr">
        <is>
          <t>FTE's</t>
        </is>
      </c>
      <c r="G127" s="825" t="inlineStr">
        <is>
          <t>FTE's</t>
        </is>
      </c>
      <c r="H127" s="825" t="inlineStr">
        <is>
          <t>FTE's</t>
        </is>
      </c>
      <c r="I127" s="825" t="inlineStr">
        <is>
          <t>FTE's</t>
        </is>
      </c>
      <c r="J127" s="825" t="inlineStr">
        <is>
          <t>FTE's</t>
        </is>
      </c>
      <c r="K127" s="825" t="inlineStr">
        <is>
          <t>FTE's</t>
        </is>
      </c>
      <c r="L127" s="825" t="inlineStr">
        <is>
          <t>FTE's</t>
        </is>
      </c>
      <c r="M127" s="825" t="inlineStr">
        <is>
          <t>FTE's</t>
        </is>
      </c>
      <c r="N127" s="825" t="inlineStr">
        <is>
          <t>FTE's</t>
        </is>
      </c>
      <c r="O127" s="825" t="inlineStr">
        <is>
          <t>FTE's</t>
        </is>
      </c>
      <c r="P127" s="825" t="inlineStr">
        <is>
          <t>FTE's</t>
        </is>
      </c>
      <c r="Q127" s="825" t="inlineStr">
        <is>
          <t>FTE's</t>
        </is>
      </c>
      <c r="R127" s="825" t="inlineStr">
        <is>
          <t>FTE's</t>
        </is>
      </c>
      <c r="S127" s="825" t="n"/>
      <c r="T127" s="825" t="inlineStr">
        <is>
          <t>FTE's</t>
        </is>
      </c>
      <c r="U127" s="825" t="inlineStr">
        <is>
          <t>FTE's</t>
        </is>
      </c>
      <c r="V127" s="825" t="inlineStr">
        <is>
          <t>FTE's</t>
        </is>
      </c>
      <c r="W127" s="825" t="inlineStr">
        <is>
          <t>FTE's</t>
        </is>
      </c>
      <c r="X127" s="825" t="inlineStr">
        <is>
          <t>FTE's</t>
        </is>
      </c>
      <c r="Y127" s="825" t="inlineStr">
        <is>
          <t>FTE's</t>
        </is>
      </c>
      <c r="Z127" s="825" t="inlineStr">
        <is>
          <t>FTE's</t>
        </is>
      </c>
      <c r="AA127" s="825" t="inlineStr">
        <is>
          <t>FTE's</t>
        </is>
      </c>
      <c r="AB127" s="825" t="inlineStr">
        <is>
          <t>FTE's</t>
        </is>
      </c>
      <c r="AC127" s="825" t="inlineStr">
        <is>
          <t>FTE's</t>
        </is>
      </c>
      <c r="AD127" s="825" t="inlineStr">
        <is>
          <t>FTE's</t>
        </is>
      </c>
      <c r="AE127" s="825" t="inlineStr">
        <is>
          <t>FTE's</t>
        </is>
      </c>
      <c r="AF127" s="825" t="n"/>
      <c r="AG127" s="825" t="inlineStr">
        <is>
          <t>FTE's</t>
        </is>
      </c>
      <c r="AH127" s="825" t="inlineStr">
        <is>
          <t>FTE's</t>
        </is>
      </c>
      <c r="AI127" s="825" t="inlineStr">
        <is>
          <t>FTE's</t>
        </is>
      </c>
      <c r="AJ127" s="825" t="inlineStr">
        <is>
          <t>FTE's</t>
        </is>
      </c>
      <c r="AK127" s="825" t="inlineStr">
        <is>
          <t>FTE's</t>
        </is>
      </c>
      <c r="AL127" s="825" t="inlineStr">
        <is>
          <t>FTE's</t>
        </is>
      </c>
      <c r="AM127" s="825" t="inlineStr">
        <is>
          <t>FTE's</t>
        </is>
      </c>
      <c r="AN127" s="825" t="inlineStr">
        <is>
          <t>FTE's</t>
        </is>
      </c>
      <c r="AO127" s="825" t="inlineStr">
        <is>
          <t>FTE's</t>
        </is>
      </c>
      <c r="AP127" s="825" t="inlineStr">
        <is>
          <t>FTE's</t>
        </is>
      </c>
      <c r="AQ127" s="825" t="inlineStr">
        <is>
          <t>FTE's</t>
        </is>
      </c>
      <c r="AR127" s="825" t="inlineStr">
        <is>
          <t>FTE's</t>
        </is>
      </c>
      <c r="AS127" s="825" t="n"/>
      <c r="AT127" s="825" t="inlineStr">
        <is>
          <t>FTE's</t>
        </is>
      </c>
      <c r="AU127" s="825" t="inlineStr">
        <is>
          <t>FTE's</t>
        </is>
      </c>
      <c r="AV127" s="825" t="inlineStr">
        <is>
          <t>FTE's</t>
        </is>
      </c>
      <c r="AW127" s="825" t="inlineStr">
        <is>
          <t>FTE's</t>
        </is>
      </c>
      <c r="AX127" s="825" t="inlineStr">
        <is>
          <t>FTE's</t>
        </is>
      </c>
      <c r="AY127" s="825" t="inlineStr">
        <is>
          <t>FTE's</t>
        </is>
      </c>
      <c r="AZ127" s="825" t="inlineStr">
        <is>
          <t>FTE's</t>
        </is>
      </c>
      <c r="BA127" s="825" t="inlineStr">
        <is>
          <t>FTE's</t>
        </is>
      </c>
      <c r="BB127" s="825" t="inlineStr">
        <is>
          <t>FTE's</t>
        </is>
      </c>
      <c r="BC127" s="825" t="inlineStr">
        <is>
          <t>FTE's</t>
        </is>
      </c>
      <c r="BD127" s="825" t="inlineStr">
        <is>
          <t>FTE's</t>
        </is>
      </c>
      <c r="BE127" s="825" t="inlineStr">
        <is>
          <t>FTE's</t>
        </is>
      </c>
      <c r="BF127" s="825" t="n"/>
      <c r="BG127" s="825" t="n"/>
    </row>
    <row r="128" ht="13.2" customHeight="1" s="586">
      <c r="A128" s="858" t="n"/>
      <c r="B128" s="827" t="n"/>
      <c r="C128" s="861" t="n"/>
      <c r="D128" s="862" t="n"/>
      <c r="E128" s="830" t="n"/>
      <c r="F128" s="830" t="n"/>
      <c r="G128" s="830" t="n"/>
      <c r="H128" s="832" t="n"/>
      <c r="I128" s="832" t="n"/>
      <c r="J128" s="832" t="n"/>
      <c r="K128" s="832" t="n"/>
      <c r="L128" s="832" t="n"/>
      <c r="M128" s="832" t="n"/>
      <c r="N128" s="832" t="n"/>
      <c r="O128" s="832" t="n"/>
      <c r="P128" s="832" t="n"/>
      <c r="Q128" s="832" t="n"/>
      <c r="R128" s="832" t="n"/>
      <c r="S128" s="833" t="n"/>
      <c r="T128" s="832" t="n"/>
      <c r="U128" s="832" t="n"/>
      <c r="V128" s="832" t="n"/>
      <c r="W128" s="832" t="n"/>
      <c r="X128" s="832" t="n"/>
      <c r="Y128" s="832" t="n"/>
      <c r="Z128" s="832" t="n"/>
      <c r="AA128" s="832" t="n"/>
      <c r="AB128" s="832" t="n"/>
      <c r="AC128" s="832" t="n"/>
      <c r="AD128" s="832" t="n"/>
      <c r="AE128" s="832" t="n"/>
      <c r="AF128" s="834" t="n"/>
      <c r="AG128" s="832" t="n"/>
      <c r="AH128" s="832" t="n"/>
      <c r="AI128" s="832" t="n"/>
      <c r="AJ128" s="832" t="n"/>
      <c r="AK128" s="832" t="n"/>
      <c r="AL128" s="832" t="n"/>
      <c r="AM128" s="832" t="n"/>
      <c r="AN128" s="832" t="n"/>
      <c r="AO128" s="832" t="n"/>
      <c r="AP128" s="832" t="n"/>
      <c r="AQ128" s="832" t="n"/>
      <c r="AR128" s="832" t="n"/>
      <c r="AS128" s="834" t="n"/>
      <c r="AT128" s="832" t="n"/>
      <c r="AU128" s="832" t="n"/>
      <c r="AV128" s="832" t="n"/>
      <c r="AW128" s="832" t="n"/>
      <c r="AX128" s="832" t="n"/>
      <c r="AY128" s="832" t="n"/>
      <c r="AZ128" s="832" t="n"/>
      <c r="BA128" s="832" t="n"/>
      <c r="BB128" s="832" t="n"/>
      <c r="BC128" s="832" t="n"/>
      <c r="BD128" s="832" t="n"/>
      <c r="BE128" s="832" t="n"/>
      <c r="BF128" s="834" t="n"/>
      <c r="BG128" s="832" t="n"/>
    </row>
    <row r="129" ht="13.2" customHeight="1" s="586">
      <c r="A129" s="858" t="n"/>
      <c r="B129" s="836" t="inlineStr">
        <is>
          <t>1. From As to Be</t>
        </is>
      </c>
      <c r="C129" s="863" t="inlineStr">
        <is>
          <t xml:space="preserve"> </t>
        </is>
      </c>
      <c r="D129" s="864" t="n"/>
      <c r="E129" s="890" t="n"/>
      <c r="F129" s="890" t="n"/>
      <c r="G129" s="890" t="n"/>
      <c r="H129" s="890" t="n"/>
      <c r="I129" s="890" t="n"/>
      <c r="J129" s="890" t="n">
        <v>16.552380952381</v>
      </c>
      <c r="K129" s="890" t="n">
        <v>15.9888888888889</v>
      </c>
      <c r="L129" s="890" t="n">
        <v>10.9714285714286</v>
      </c>
      <c r="M129" s="890" t="n">
        <v>4.07142857142857</v>
      </c>
      <c r="N129" s="890" t="n">
        <v>3</v>
      </c>
      <c r="O129" s="890" t="n">
        <v>2.52380952380952</v>
      </c>
      <c r="P129" s="890" t="n"/>
      <c r="Q129" s="890" t="n"/>
      <c r="R129" s="890" t="n"/>
      <c r="S129" s="840" t="n"/>
      <c r="T129" s="841" t="n"/>
      <c r="U129" s="841" t="n"/>
      <c r="V129" s="841" t="n"/>
      <c r="W129" s="841" t="n"/>
      <c r="X129" s="841" t="n"/>
      <c r="Y129" s="841" t="n"/>
      <c r="Z129" s="841" t="n"/>
      <c r="AA129" s="841" t="n"/>
      <c r="AB129" s="841" t="n"/>
      <c r="AC129" s="841" t="n"/>
      <c r="AD129" s="841" t="n"/>
      <c r="AE129" s="841" t="n"/>
      <c r="AF129" s="866" t="n"/>
      <c r="AG129" s="841" t="n"/>
      <c r="AH129" s="841" t="n"/>
      <c r="AI129" s="841" t="n"/>
      <c r="AJ129" s="841" t="n"/>
      <c r="AK129" s="841" t="n"/>
      <c r="AL129" s="841" t="n"/>
      <c r="AM129" s="841" t="n"/>
      <c r="AN129" s="841" t="n"/>
      <c r="AO129" s="841" t="n"/>
      <c r="AP129" s="841" t="n"/>
      <c r="AQ129" s="841" t="n"/>
      <c r="AR129" s="841" t="n"/>
      <c r="AS129" s="866" t="n"/>
      <c r="AT129" s="841" t="n"/>
      <c r="AU129" s="841" t="n"/>
      <c r="AV129" s="841" t="n"/>
      <c r="AW129" s="841" t="n"/>
      <c r="AX129" s="841" t="n"/>
      <c r="AY129" s="841" t="n"/>
      <c r="AZ129" s="841" t="n"/>
      <c r="BA129" s="841" t="n"/>
      <c r="BB129" s="841" t="n"/>
      <c r="BC129" s="841" t="n"/>
      <c r="BD129" s="841" t="n"/>
      <c r="BE129" s="841" t="n"/>
      <c r="BF129" s="866" t="n"/>
      <c r="BG129" s="841" t="n"/>
    </row>
    <row r="130" ht="13.2" customHeight="1" s="586">
      <c r="A130" s="858" t="n"/>
      <c r="B130" s="836" t="inlineStr">
        <is>
          <t>2. Business Continuity Planning (BCP) / Disaster Recovery (DR)  (CAP €789.000)</t>
        </is>
      </c>
      <c r="C130" s="863" t="inlineStr">
        <is>
          <t xml:space="preserve"> </t>
        </is>
      </c>
      <c r="D130" s="864" t="n"/>
      <c r="E130" s="890" t="n"/>
      <c r="F130" s="890" t="n"/>
      <c r="G130" s="890" t="n"/>
      <c r="H130" s="890" t="n"/>
      <c r="I130" s="890" t="n"/>
      <c r="J130" s="890" t="n"/>
      <c r="K130" s="890" t="n"/>
      <c r="L130" s="890" t="n">
        <v>5</v>
      </c>
      <c r="M130" s="890" t="n">
        <v>5</v>
      </c>
      <c r="N130" s="890" t="n">
        <v>2.5</v>
      </c>
      <c r="O130" s="890" t="n"/>
      <c r="P130" s="890" t="n"/>
      <c r="Q130" s="890" t="n"/>
      <c r="R130" s="890" t="n"/>
      <c r="S130" s="865" t="n"/>
      <c r="T130" s="865" t="n"/>
      <c r="U130" s="865" t="n"/>
      <c r="V130" s="865" t="n"/>
      <c r="W130" s="865" t="n"/>
      <c r="X130" s="865" t="n"/>
      <c r="Y130" s="865" t="n"/>
      <c r="Z130" s="865" t="n"/>
      <c r="AA130" s="865" t="n"/>
      <c r="AB130" s="865" t="n"/>
      <c r="AC130" s="865" t="n"/>
      <c r="AD130" s="865" t="n"/>
      <c r="AE130" s="865" t="n"/>
      <c r="AF130" s="865" t="n"/>
      <c r="AG130" s="865" t="n"/>
      <c r="AH130" s="865" t="n"/>
      <c r="AI130" s="865" t="n"/>
      <c r="AJ130" s="865" t="n"/>
      <c r="AK130" s="865" t="n"/>
      <c r="AL130" s="865" t="n"/>
      <c r="AM130" s="865" t="n"/>
      <c r="AN130" s="865" t="n"/>
      <c r="AO130" s="865" t="n"/>
      <c r="AP130" s="865" t="n"/>
      <c r="AQ130" s="865" t="n"/>
      <c r="AR130" s="865" t="n"/>
      <c r="AS130" s="865" t="n"/>
      <c r="AT130" s="865" t="n"/>
      <c r="AU130" s="865" t="n"/>
      <c r="AV130" s="865" t="n"/>
      <c r="AW130" s="865" t="n"/>
      <c r="AX130" s="865" t="n"/>
      <c r="AY130" s="865" t="n"/>
      <c r="AZ130" s="865" t="n"/>
      <c r="BA130" s="865" t="n"/>
      <c r="BB130" s="865" t="n"/>
      <c r="BC130" s="865" t="n"/>
      <c r="BD130" s="865" t="n"/>
      <c r="BE130" s="865" t="n"/>
      <c r="BF130" s="866" t="n"/>
      <c r="BG130" s="841" t="n"/>
    </row>
    <row r="131" ht="13.2" customHeight="1" s="586">
      <c r="A131" s="858" t="n"/>
      <c r="B131" s="836" t="inlineStr">
        <is>
          <t>3. ITIL  (CAP €996.000)</t>
        </is>
      </c>
      <c r="C131" s="863" t="inlineStr">
        <is>
          <t xml:space="preserve"> </t>
        </is>
      </c>
      <c r="D131" s="864" t="n"/>
      <c r="E131" s="890" t="n"/>
      <c r="F131" s="890" t="n"/>
      <c r="G131" s="890" t="n"/>
      <c r="H131" s="890" t="n"/>
      <c r="I131" s="890" t="n"/>
      <c r="J131" s="890" t="n"/>
      <c r="K131" s="890" t="n"/>
      <c r="L131" s="890" t="n">
        <v>5</v>
      </c>
      <c r="M131" s="890" t="n">
        <v>5</v>
      </c>
      <c r="N131" s="890" t="n">
        <v>2.5</v>
      </c>
      <c r="O131" s="890" t="n"/>
      <c r="P131" s="890" t="n"/>
      <c r="Q131" s="890" t="n"/>
      <c r="R131" s="890" t="n"/>
      <c r="S131" s="840" t="n"/>
      <c r="T131" s="865" t="n"/>
      <c r="U131" s="865" t="n"/>
      <c r="V131" s="865" t="n"/>
      <c r="W131" s="865" t="n"/>
      <c r="X131" s="865" t="n"/>
      <c r="Y131" s="841" t="n"/>
      <c r="Z131" s="841" t="n"/>
      <c r="AA131" s="841" t="n"/>
      <c r="AB131" s="841" t="n"/>
      <c r="AC131" s="841" t="n"/>
      <c r="AD131" s="841" t="n"/>
      <c r="AE131" s="841" t="n"/>
      <c r="AF131" s="866" t="n"/>
      <c r="AG131" s="841" t="n"/>
      <c r="AH131" s="841" t="n"/>
      <c r="AI131" s="841" t="n"/>
      <c r="AJ131" s="841" t="n"/>
      <c r="AK131" s="841" t="n"/>
      <c r="AL131" s="841" t="n"/>
      <c r="AM131" s="841" t="n"/>
      <c r="AN131" s="841" t="n"/>
      <c r="AO131" s="841" t="n"/>
      <c r="AP131" s="841" t="n"/>
      <c r="AQ131" s="841" t="n"/>
      <c r="AR131" s="841" t="n"/>
      <c r="AS131" s="866" t="n"/>
      <c r="AT131" s="841" t="n"/>
      <c r="AU131" s="841" t="n"/>
      <c r="AV131" s="841" t="n"/>
      <c r="AW131" s="841" t="n"/>
      <c r="AX131" s="841" t="n"/>
      <c r="AY131" s="841" t="n"/>
      <c r="AZ131" s="841" t="n"/>
      <c r="BA131" s="841" t="n"/>
      <c r="BB131" s="841" t="n"/>
      <c r="BC131" s="841" t="n"/>
      <c r="BD131" s="841" t="n"/>
      <c r="BE131" s="841" t="n"/>
      <c r="BF131" s="866" t="n"/>
      <c r="BG131" s="841" t="n"/>
    </row>
    <row r="132" ht="13.2" customHeight="1" s="586">
      <c r="A132" s="858" t="n"/>
      <c r="B132" s="836" t="inlineStr">
        <is>
          <t>4. Security/SAS70  (CAP €1.000.000)</t>
        </is>
      </c>
      <c r="C132" s="863" t="n"/>
      <c r="D132" s="864" t="n"/>
      <c r="E132" s="890" t="n"/>
      <c r="F132" s="890" t="n"/>
      <c r="G132" s="890" t="n"/>
      <c r="H132" s="890" t="n"/>
      <c r="I132" s="890" t="n"/>
      <c r="J132" s="890" t="n"/>
      <c r="K132" s="890" t="n"/>
      <c r="L132" s="890" t="n"/>
      <c r="M132" s="890" t="n">
        <v>5</v>
      </c>
      <c r="N132" s="890" t="n">
        <v>5</v>
      </c>
      <c r="O132" s="890" t="n">
        <v>2.5</v>
      </c>
      <c r="P132" s="890" t="n"/>
      <c r="Q132" s="890" t="n"/>
      <c r="R132" s="890" t="n"/>
      <c r="S132" s="840" t="n"/>
      <c r="T132" s="865" t="n"/>
      <c r="U132" s="865" t="n"/>
      <c r="V132" s="865" t="n"/>
      <c r="W132" s="865" t="n"/>
      <c r="X132" s="865" t="n"/>
      <c r="Y132" s="865" t="n"/>
      <c r="Z132" s="841" t="n"/>
      <c r="AA132" s="841" t="n"/>
      <c r="AB132" s="841" t="n"/>
      <c r="AC132" s="841" t="n"/>
      <c r="AD132" s="841" t="n"/>
      <c r="AE132" s="841" t="n"/>
      <c r="AF132" s="866" t="n"/>
      <c r="AG132" s="841" t="n"/>
      <c r="AH132" s="841" t="n"/>
      <c r="AI132" s="841" t="n"/>
      <c r="AJ132" s="841" t="n"/>
      <c r="AK132" s="841" t="n"/>
      <c r="AL132" s="841" t="n"/>
      <c r="AM132" s="841" t="n"/>
      <c r="AN132" s="841" t="n"/>
      <c r="AO132" s="841" t="n"/>
      <c r="AP132" s="841" t="n"/>
      <c r="AQ132" s="841" t="n"/>
      <c r="AR132" s="841" t="n"/>
      <c r="AS132" s="866" t="n"/>
      <c r="AT132" s="841" t="n"/>
      <c r="AU132" s="841" t="n"/>
      <c r="AV132" s="841" t="n"/>
      <c r="AW132" s="841" t="n"/>
      <c r="AX132" s="841" t="n"/>
      <c r="AY132" s="841" t="n"/>
      <c r="AZ132" s="841" t="n"/>
      <c r="BA132" s="841" t="n"/>
      <c r="BB132" s="841" t="n"/>
      <c r="BC132" s="841" t="n"/>
      <c r="BD132" s="841" t="n"/>
      <c r="BE132" s="841" t="n"/>
      <c r="BF132" s="866" t="n"/>
      <c r="BG132" s="841" t="n"/>
    </row>
    <row r="133" ht="13.2" customHeight="1" s="586">
      <c r="A133" s="858" t="n"/>
      <c r="B133" s="836" t="n"/>
      <c r="C133" s="863" t="inlineStr">
        <is>
          <t xml:space="preserve"> </t>
        </is>
      </c>
      <c r="D133" s="864" t="n"/>
      <c r="E133" s="890" t="n"/>
      <c r="F133" s="890" t="n"/>
      <c r="G133" s="890" t="n"/>
      <c r="H133" s="890" t="n"/>
      <c r="I133" s="890" t="n"/>
      <c r="J133" s="890" t="n"/>
      <c r="K133" s="890" t="n"/>
      <c r="L133" s="890" t="n"/>
      <c r="M133" s="890" t="n"/>
      <c r="N133" s="890" t="n"/>
      <c r="O133" s="890" t="n"/>
      <c r="P133" s="890" t="n"/>
      <c r="Q133" s="890" t="n"/>
      <c r="R133" s="890" t="n"/>
      <c r="S133" s="840" t="n"/>
      <c r="T133" s="841" t="n"/>
      <c r="U133" s="841" t="n"/>
      <c r="V133" s="841" t="n"/>
      <c r="W133" s="841" t="n"/>
      <c r="X133" s="841" t="n"/>
      <c r="Y133" s="841" t="n"/>
      <c r="Z133" s="841" t="n"/>
      <c r="AA133" s="841" t="n"/>
      <c r="AB133" s="841" t="n"/>
      <c r="AC133" s="841" t="n"/>
      <c r="AD133" s="841" t="n"/>
      <c r="AE133" s="841" t="n"/>
      <c r="AF133" s="866" t="n"/>
      <c r="AG133" s="841" t="n"/>
      <c r="AH133" s="841" t="n"/>
      <c r="AI133" s="841" t="n"/>
      <c r="AJ133" s="841" t="n"/>
      <c r="AK133" s="841" t="n"/>
      <c r="AL133" s="841" t="n"/>
      <c r="AM133" s="841" t="n"/>
      <c r="AN133" s="841" t="n"/>
      <c r="AO133" s="841" t="n"/>
      <c r="AP133" s="841" t="n"/>
      <c r="AQ133" s="841" t="n"/>
      <c r="AR133" s="841" t="n"/>
      <c r="AS133" s="866" t="n"/>
      <c r="AT133" s="841" t="n"/>
      <c r="AU133" s="841" t="n"/>
      <c r="AV133" s="841" t="n"/>
      <c r="AW133" s="841" t="n"/>
      <c r="AX133" s="841" t="n"/>
      <c r="AY133" s="841" t="n"/>
      <c r="AZ133" s="841" t="n"/>
      <c r="BA133" s="841" t="n"/>
      <c r="BB133" s="841" t="n"/>
      <c r="BC133" s="841" t="n"/>
      <c r="BD133" s="841" t="n"/>
      <c r="BE133" s="841" t="n"/>
      <c r="BF133" s="866" t="n"/>
      <c r="BG133" s="841" t="n"/>
    </row>
    <row r="134" ht="13.2" customHeight="1" s="586">
      <c r="A134" s="858" t="n"/>
      <c r="B134" s="836" t="inlineStr">
        <is>
          <t>Programme Management &amp; Programme Management Office Staffing</t>
        </is>
      </c>
      <c r="C134" s="863" t="inlineStr">
        <is>
          <t xml:space="preserve"> </t>
        </is>
      </c>
      <c r="D134" s="864" t="n"/>
      <c r="E134" s="890" t="n"/>
      <c r="F134" s="890" t="n">
        <v>8</v>
      </c>
      <c r="G134" s="890" t="n">
        <v>8</v>
      </c>
      <c r="H134" s="890" t="n">
        <v>8</v>
      </c>
      <c r="I134" s="890" t="n">
        <v>8</v>
      </c>
      <c r="J134" s="890" t="n">
        <v>8</v>
      </c>
      <c r="K134" s="890" t="n">
        <v>8</v>
      </c>
      <c r="L134" s="890" t="n">
        <v>8</v>
      </c>
      <c r="M134" s="890" t="n">
        <v>8</v>
      </c>
      <c r="N134" s="890" t="n">
        <v>8</v>
      </c>
      <c r="O134" s="890" t="n">
        <v>8</v>
      </c>
      <c r="P134" s="890" t="n">
        <v>8</v>
      </c>
      <c r="Q134" s="890" t="n">
        <v>8</v>
      </c>
      <c r="R134" s="890" t="n">
        <v>8</v>
      </c>
      <c r="S134" s="865" t="n">
        <v>0</v>
      </c>
      <c r="T134" s="865" t="n">
        <v>8</v>
      </c>
      <c r="U134" s="865" t="n">
        <v>8</v>
      </c>
      <c r="V134" s="865" t="n">
        <v>8</v>
      </c>
      <c r="W134" s="865" t="n">
        <v>8</v>
      </c>
      <c r="X134" s="865" t="n">
        <v>8</v>
      </c>
      <c r="Y134" s="865" t="n">
        <v>8</v>
      </c>
      <c r="Z134" s="865" t="n">
        <v>8</v>
      </c>
      <c r="AA134" s="865" t="n">
        <v>8</v>
      </c>
      <c r="AB134" s="865" t="n">
        <v>8</v>
      </c>
      <c r="AC134" s="865" t="n">
        <v>8</v>
      </c>
      <c r="AD134" s="865" t="n">
        <v>8</v>
      </c>
      <c r="AE134" s="865" t="n">
        <v>8</v>
      </c>
      <c r="AF134" s="865" t="n">
        <v>0</v>
      </c>
      <c r="AG134" s="865" t="n">
        <v>5</v>
      </c>
      <c r="AH134" s="865" t="n">
        <v>5</v>
      </c>
      <c r="AI134" s="865" t="n">
        <v>5</v>
      </c>
      <c r="AJ134" s="865" t="n">
        <v>5</v>
      </c>
      <c r="AK134" s="865" t="n">
        <v>5</v>
      </c>
      <c r="AL134" s="865" t="n">
        <v>5</v>
      </c>
      <c r="AM134" s="865" t="n">
        <v>5</v>
      </c>
      <c r="AN134" s="865" t="n">
        <v>5</v>
      </c>
      <c r="AO134" s="865" t="n">
        <v>5</v>
      </c>
      <c r="AP134" s="865" t="n">
        <v>5</v>
      </c>
      <c r="AQ134" s="865" t="n">
        <v>5</v>
      </c>
      <c r="AR134" s="865" t="n">
        <v>5</v>
      </c>
      <c r="AS134" s="865" t="n">
        <v>0</v>
      </c>
      <c r="AT134" s="865" t="n">
        <v>2</v>
      </c>
      <c r="AU134" s="865" t="n">
        <v>2</v>
      </c>
      <c r="AV134" s="865" t="n">
        <v>2</v>
      </c>
      <c r="AW134" s="865" t="n">
        <v>2</v>
      </c>
      <c r="AX134" s="865" t="n">
        <v>2</v>
      </c>
      <c r="AY134" s="865" t="n">
        <v>2</v>
      </c>
      <c r="AZ134" s="865" t="n">
        <v>2</v>
      </c>
      <c r="BA134" s="865" t="n">
        <v>2</v>
      </c>
      <c r="BB134" s="865" t="n">
        <v>2</v>
      </c>
      <c r="BC134" s="865" t="n">
        <v>2</v>
      </c>
      <c r="BD134" s="865" t="n">
        <v>2</v>
      </c>
      <c r="BE134" s="865" t="n">
        <v>2</v>
      </c>
      <c r="BF134" s="866" t="n"/>
      <c r="BG134" s="841" t="n"/>
    </row>
    <row r="135" ht="13.8" customHeight="1" s="586">
      <c r="A135" s="858" t="n"/>
      <c r="B135" s="843" t="n"/>
      <c r="C135" s="867" t="inlineStr">
        <is>
          <t xml:space="preserve"> </t>
        </is>
      </c>
      <c r="D135" s="868" t="n"/>
      <c r="E135" s="891" t="n"/>
      <c r="F135" s="891" t="n"/>
      <c r="G135" s="891" t="n"/>
      <c r="H135" s="891" t="n"/>
      <c r="I135" s="891" t="n"/>
      <c r="J135" s="891" t="n"/>
      <c r="K135" s="891" t="n"/>
      <c r="L135" s="891" t="n"/>
      <c r="M135" s="891" t="n"/>
      <c r="N135" s="891" t="n"/>
      <c r="O135" s="891" t="n"/>
      <c r="P135" s="891" t="n"/>
      <c r="Q135" s="891" t="n"/>
      <c r="R135" s="891" t="n"/>
      <c r="S135" s="847" t="n"/>
      <c r="T135" s="848" t="n"/>
      <c r="U135" s="848" t="n"/>
      <c r="V135" s="848" t="n"/>
      <c r="W135" s="848" t="n"/>
      <c r="X135" s="848" t="n"/>
      <c r="Y135" s="848" t="n"/>
      <c r="Z135" s="848" t="n"/>
      <c r="AA135" s="848" t="n"/>
      <c r="AB135" s="848" t="n"/>
      <c r="AC135" s="848" t="n"/>
      <c r="AD135" s="848" t="n"/>
      <c r="AE135" s="848" t="n"/>
      <c r="AF135" s="870" t="n"/>
      <c r="AG135" s="848" t="n"/>
      <c r="AH135" s="848" t="n"/>
      <c r="AI135" s="848" t="n"/>
      <c r="AJ135" s="848" t="n"/>
      <c r="AK135" s="848" t="n"/>
      <c r="AL135" s="848" t="n"/>
      <c r="AM135" s="848" t="n"/>
      <c r="AN135" s="848" t="n"/>
      <c r="AO135" s="848" t="n"/>
      <c r="AP135" s="848" t="n"/>
      <c r="AQ135" s="848" t="n"/>
      <c r="AR135" s="848" t="n"/>
      <c r="AS135" s="870" t="n"/>
      <c r="AT135" s="848" t="n"/>
      <c r="AU135" s="848" t="n"/>
      <c r="AV135" s="848" t="n"/>
      <c r="AW135" s="848" t="n"/>
      <c r="AX135" s="848" t="n"/>
      <c r="AY135" s="848" t="n"/>
      <c r="AZ135" s="848" t="n"/>
      <c r="BA135" s="848" t="n"/>
      <c r="BB135" s="848" t="n"/>
      <c r="BC135" s="848" t="n"/>
      <c r="BD135" s="848" t="n"/>
      <c r="BE135" s="848" t="n"/>
      <c r="BF135" s="870" t="n"/>
      <c r="BG135" s="848" t="n"/>
    </row>
    <row r="136" ht="13.8" customHeight="1" s="586">
      <c r="A136" s="849" t="n"/>
      <c r="B136" s="871" t="inlineStr">
        <is>
          <t>TOTAL</t>
        </is>
      </c>
      <c r="C136" s="872" t="n"/>
      <c r="D136" s="872" t="n"/>
      <c r="E136" s="904">
        <f>SUM(E128:E135)</f>
        <v/>
      </c>
      <c r="F136" s="904">
        <f>SUM(F128:F135)</f>
        <v/>
      </c>
      <c r="G136" s="904">
        <f>SUM(G128:G135)</f>
        <v/>
      </c>
      <c r="H136" s="904">
        <f>SUM(H128:H135)</f>
        <v/>
      </c>
      <c r="I136" s="904">
        <f>SUM(I128:I135)</f>
        <v/>
      </c>
      <c r="J136" s="904">
        <f>SUM(J128:J135)</f>
        <v/>
      </c>
      <c r="K136" s="904">
        <f>SUM(K128:K135)</f>
        <v/>
      </c>
      <c r="L136" s="904">
        <f>SUM(L128:L135)</f>
        <v/>
      </c>
      <c r="M136" s="904">
        <f>SUM(M128:M135)</f>
        <v/>
      </c>
      <c r="N136" s="904">
        <f>SUM(N128:N135)</f>
        <v/>
      </c>
      <c r="O136" s="904">
        <f>SUM(O128:O135)</f>
        <v/>
      </c>
      <c r="P136" s="904">
        <f>SUM(P128:P135)</f>
        <v/>
      </c>
      <c r="Q136" s="904">
        <f>SUM(Q128:Q135)</f>
        <v/>
      </c>
      <c r="R136" s="904">
        <f>SUM(R128:R135)</f>
        <v/>
      </c>
      <c r="S136" s="873" t="n"/>
      <c r="T136" s="873">
        <f>SUM(T128:T135)</f>
        <v/>
      </c>
      <c r="U136" s="873">
        <f>SUM(U128:U135)</f>
        <v/>
      </c>
      <c r="V136" s="873">
        <f>SUM(V128:V135)</f>
        <v/>
      </c>
      <c r="W136" s="873">
        <f>SUM(W128:W135)</f>
        <v/>
      </c>
      <c r="X136" s="873">
        <f>SUM(X128:X135)</f>
        <v/>
      </c>
      <c r="Y136" s="873">
        <f>SUM(Y128:Y135)</f>
        <v/>
      </c>
      <c r="Z136" s="873">
        <f>SUM(Z128:Z135)</f>
        <v/>
      </c>
      <c r="AA136" s="873">
        <f>SUM(AA128:AA135)</f>
        <v/>
      </c>
      <c r="AB136" s="873">
        <f>SUM(AB128:AB135)</f>
        <v/>
      </c>
      <c r="AC136" s="873">
        <f>SUM(AC128:AC135)</f>
        <v/>
      </c>
      <c r="AD136" s="873">
        <f>SUM(AD128:AD135)</f>
        <v/>
      </c>
      <c r="AE136" s="873">
        <f>SUM(AE128:AE135)</f>
        <v/>
      </c>
      <c r="AF136" s="873" t="n"/>
      <c r="AG136" s="873">
        <f>SUM(AG128:AG135)</f>
        <v/>
      </c>
      <c r="AH136" s="873">
        <f>SUM(AH128:AH135)</f>
        <v/>
      </c>
      <c r="AI136" s="873">
        <f>SUM(AI128:AI135)</f>
        <v/>
      </c>
      <c r="AJ136" s="873">
        <f>SUM(AJ128:AJ135)</f>
        <v/>
      </c>
      <c r="AK136" s="873">
        <f>SUM(AK128:AK135)</f>
        <v/>
      </c>
      <c r="AL136" s="873">
        <f>SUM(AL128:AL135)</f>
        <v/>
      </c>
      <c r="AM136" s="873">
        <f>SUM(AM128:AM135)</f>
        <v/>
      </c>
      <c r="AN136" s="873">
        <f>SUM(AN128:AN135)</f>
        <v/>
      </c>
      <c r="AO136" s="873">
        <f>SUM(AO128:AO135)</f>
        <v/>
      </c>
      <c r="AP136" s="873">
        <f>SUM(AP128:AP135)</f>
        <v/>
      </c>
      <c r="AQ136" s="873">
        <f>SUM(AQ128:AQ135)</f>
        <v/>
      </c>
      <c r="AR136" s="873">
        <f>SUM(AR128:AR135)</f>
        <v/>
      </c>
      <c r="AS136" s="873" t="n"/>
      <c r="AT136" s="873">
        <f>SUM(AT128:AT135)</f>
        <v/>
      </c>
      <c r="AU136" s="873">
        <f>SUM(AU128:AU135)</f>
        <v/>
      </c>
      <c r="AV136" s="873">
        <f>SUM(AV128:AV135)</f>
        <v/>
      </c>
      <c r="AW136" s="873">
        <f>SUM(AW128:AW135)</f>
        <v/>
      </c>
      <c r="AX136" s="873">
        <f>SUM(AX128:AX135)</f>
        <v/>
      </c>
      <c r="AY136" s="873">
        <f>SUM(AY128:AY135)</f>
        <v/>
      </c>
      <c r="AZ136" s="873">
        <f>SUM(AZ128:AZ135)</f>
        <v/>
      </c>
      <c r="BA136" s="873">
        <f>SUM(BA128:BA135)</f>
        <v/>
      </c>
      <c r="BB136" s="873">
        <f>SUM(BB128:BB135)</f>
        <v/>
      </c>
      <c r="BC136" s="873">
        <f>SUM(BC128:BC135)</f>
        <v/>
      </c>
      <c r="BD136" s="873">
        <f>SUM(BD128:BD135)</f>
        <v/>
      </c>
      <c r="BE136" s="873">
        <f>SUM(BE128:BE135)</f>
        <v/>
      </c>
      <c r="BF136" s="873" t="n"/>
      <c r="BG136" s="874" t="n"/>
    </row>
    <row r="137"/>
    <row r="138" ht="13.8" customHeight="1" s="586">
      <c r="B138" s="813" t="n"/>
      <c r="D138" s="905" t="n"/>
      <c r="E138" s="906" t="n"/>
      <c r="F138" s="906" t="n"/>
      <c r="G138" s="907" t="n"/>
      <c r="H138" s="906" t="n"/>
      <c r="I138" s="815" t="inlineStr">
        <is>
          <t>Transformation</t>
        </is>
      </c>
      <c r="J138" s="907" t="n"/>
      <c r="K138" s="817" t="n"/>
      <c r="L138" s="815" t="n"/>
      <c r="M138" s="815" t="n"/>
      <c r="N138" s="817" t="n"/>
      <c r="O138" s="815" t="n"/>
    </row>
    <row r="139" ht="13.2" customHeight="1" s="586">
      <c r="B139" s="819" t="inlineStr">
        <is>
          <t>Vendor Alpha</t>
        </is>
      </c>
      <c r="C139" s="820" t="n"/>
      <c r="D139" s="820" t="inlineStr">
        <is>
          <t>Month -2</t>
        </is>
      </c>
      <c r="E139" s="821" t="inlineStr">
        <is>
          <t>Month -1</t>
        </is>
      </c>
      <c r="F139" s="821" t="inlineStr">
        <is>
          <t>Month 0</t>
        </is>
      </c>
      <c r="G139" s="821" t="inlineStr">
        <is>
          <t>Month 1</t>
        </is>
      </c>
      <c r="H139" s="822" t="inlineStr">
        <is>
          <t>Month 2</t>
        </is>
      </c>
      <c r="I139" s="822" t="inlineStr">
        <is>
          <t>Month 3</t>
        </is>
      </c>
      <c r="J139" s="822" t="inlineStr">
        <is>
          <t>Month 4</t>
        </is>
      </c>
      <c r="K139" s="822" t="inlineStr">
        <is>
          <t>Month 5</t>
        </is>
      </c>
      <c r="L139" s="822" t="inlineStr">
        <is>
          <t>Month 6</t>
        </is>
      </c>
      <c r="M139" s="822" t="inlineStr">
        <is>
          <t>Month 7</t>
        </is>
      </c>
      <c r="N139" s="822" t="inlineStr">
        <is>
          <t>Month 8</t>
        </is>
      </c>
      <c r="O139" s="822" t="inlineStr">
        <is>
          <t>Month 9</t>
        </is>
      </c>
      <c r="P139" s="822" t="inlineStr">
        <is>
          <t>Month 10</t>
        </is>
      </c>
      <c r="Q139" s="822" t="inlineStr">
        <is>
          <t>Month 11</t>
        </is>
      </c>
      <c r="R139" s="822" t="inlineStr">
        <is>
          <t>Month 12</t>
        </is>
      </c>
      <c r="S139" s="821" t="inlineStr">
        <is>
          <t>Year 1</t>
        </is>
      </c>
      <c r="T139" s="822" t="inlineStr">
        <is>
          <t>Month 13</t>
        </is>
      </c>
      <c r="U139" s="822" t="inlineStr">
        <is>
          <t>Month 14</t>
        </is>
      </c>
      <c r="V139" s="822" t="inlineStr">
        <is>
          <t>Month 15</t>
        </is>
      </c>
      <c r="W139" s="822" t="inlineStr">
        <is>
          <t>Month 16</t>
        </is>
      </c>
      <c r="X139" s="822" t="inlineStr">
        <is>
          <t>Month 17</t>
        </is>
      </c>
      <c r="Y139" s="822" t="inlineStr">
        <is>
          <t>Month 18</t>
        </is>
      </c>
      <c r="Z139" s="822" t="inlineStr">
        <is>
          <t>Month 19</t>
        </is>
      </c>
      <c r="AA139" s="822" t="inlineStr">
        <is>
          <t>Month 20</t>
        </is>
      </c>
      <c r="AB139" s="822" t="inlineStr">
        <is>
          <t>Month 21</t>
        </is>
      </c>
      <c r="AC139" s="822" t="inlineStr">
        <is>
          <t>Month 22</t>
        </is>
      </c>
      <c r="AD139" s="822" t="inlineStr">
        <is>
          <t>Month 23</t>
        </is>
      </c>
      <c r="AE139" s="822" t="inlineStr">
        <is>
          <t>Month 24</t>
        </is>
      </c>
      <c r="AF139" s="822" t="inlineStr">
        <is>
          <t>Year 2</t>
        </is>
      </c>
      <c r="AG139" s="822" t="inlineStr">
        <is>
          <t>Month 25</t>
        </is>
      </c>
      <c r="AH139" s="822" t="inlineStr">
        <is>
          <t>Month 26</t>
        </is>
      </c>
      <c r="AI139" s="822" t="inlineStr">
        <is>
          <t>Month 27</t>
        </is>
      </c>
      <c r="AJ139" s="822" t="inlineStr">
        <is>
          <t>Month 28</t>
        </is>
      </c>
      <c r="AK139" s="822" t="inlineStr">
        <is>
          <t>Month 29</t>
        </is>
      </c>
      <c r="AL139" s="822" t="inlineStr">
        <is>
          <t>Month 30</t>
        </is>
      </c>
      <c r="AM139" s="822" t="inlineStr">
        <is>
          <t>Month 31</t>
        </is>
      </c>
      <c r="AN139" s="822" t="inlineStr">
        <is>
          <t>Month 32</t>
        </is>
      </c>
      <c r="AO139" s="822" t="inlineStr">
        <is>
          <t>Month 33</t>
        </is>
      </c>
      <c r="AP139" s="822" t="inlineStr">
        <is>
          <t>Month 34</t>
        </is>
      </c>
      <c r="AQ139" s="822" t="inlineStr">
        <is>
          <t>Month 35</t>
        </is>
      </c>
      <c r="AR139" s="822" t="inlineStr">
        <is>
          <t>Month 36</t>
        </is>
      </c>
      <c r="AS139" s="822" t="inlineStr">
        <is>
          <t>Year 3</t>
        </is>
      </c>
      <c r="AT139" s="822" t="inlineStr">
        <is>
          <t>Month 37</t>
        </is>
      </c>
      <c r="AU139" s="822" t="inlineStr">
        <is>
          <t>Month 38</t>
        </is>
      </c>
      <c r="AV139" s="822" t="inlineStr">
        <is>
          <t>Month 39</t>
        </is>
      </c>
      <c r="AW139" s="822" t="inlineStr">
        <is>
          <t>Month 40</t>
        </is>
      </c>
      <c r="AX139" s="822" t="inlineStr">
        <is>
          <t>Month 41</t>
        </is>
      </c>
      <c r="AY139" s="822" t="inlineStr">
        <is>
          <t>Month 42</t>
        </is>
      </c>
      <c r="AZ139" s="822" t="inlineStr">
        <is>
          <t>Month 43</t>
        </is>
      </c>
      <c r="BA139" s="822" t="inlineStr">
        <is>
          <t>Month 44</t>
        </is>
      </c>
      <c r="BB139" s="822" t="inlineStr">
        <is>
          <t>Month 45</t>
        </is>
      </c>
      <c r="BC139" s="822" t="inlineStr">
        <is>
          <t>Month 46</t>
        </is>
      </c>
      <c r="BD139" s="822" t="inlineStr">
        <is>
          <t>Month 47</t>
        </is>
      </c>
      <c r="BE139" s="822" t="inlineStr">
        <is>
          <t>Month 48</t>
        </is>
      </c>
      <c r="BF139" s="822" t="inlineStr">
        <is>
          <t>Year 4</t>
        </is>
      </c>
      <c r="BG139" s="821" t="inlineStr">
        <is>
          <t>Total</t>
        </is>
      </c>
    </row>
    <row r="140" ht="14.4" customHeight="1" s="586">
      <c r="B140" s="823" t="n"/>
      <c r="C140" s="824" t="n"/>
      <c r="D140" s="824" t="inlineStr">
        <is>
          <t>(Euro)</t>
        </is>
      </c>
      <c r="E140" s="825" t="inlineStr">
        <is>
          <t>(Euro)</t>
        </is>
      </c>
      <c r="F140" s="825" t="inlineStr">
        <is>
          <t>(Euro)</t>
        </is>
      </c>
      <c r="G140" s="825" t="inlineStr">
        <is>
          <t>(Euro)</t>
        </is>
      </c>
      <c r="H140" s="826" t="inlineStr">
        <is>
          <t>(Euro)</t>
        </is>
      </c>
      <c r="I140" s="826" t="inlineStr">
        <is>
          <t>(Euro)</t>
        </is>
      </c>
      <c r="J140" s="826" t="inlineStr">
        <is>
          <t>(Euro)</t>
        </is>
      </c>
      <c r="K140" s="826" t="inlineStr">
        <is>
          <t>(Euro)</t>
        </is>
      </c>
      <c r="L140" s="826" t="inlineStr">
        <is>
          <t>(Euro)</t>
        </is>
      </c>
      <c r="M140" s="826" t="inlineStr">
        <is>
          <t>(Euro)</t>
        </is>
      </c>
      <c r="N140" s="826" t="inlineStr">
        <is>
          <t>(Euro)</t>
        </is>
      </c>
      <c r="O140" s="826" t="inlineStr">
        <is>
          <t>(Euro)</t>
        </is>
      </c>
      <c r="P140" s="826" t="inlineStr">
        <is>
          <t>(Euro)</t>
        </is>
      </c>
      <c r="Q140" s="826" t="inlineStr">
        <is>
          <t>(Euro)</t>
        </is>
      </c>
      <c r="R140" s="826" t="inlineStr">
        <is>
          <t>(Euro)</t>
        </is>
      </c>
      <c r="S140" s="825" t="inlineStr">
        <is>
          <t>(Euro)</t>
        </is>
      </c>
      <c r="T140" s="826" t="inlineStr">
        <is>
          <t>(Euro)</t>
        </is>
      </c>
      <c r="U140" s="826" t="inlineStr">
        <is>
          <t>(Euro)</t>
        </is>
      </c>
      <c r="V140" s="826" t="inlineStr">
        <is>
          <t>(Euro)</t>
        </is>
      </c>
      <c r="W140" s="826" t="inlineStr">
        <is>
          <t>(Euro)</t>
        </is>
      </c>
      <c r="X140" s="826" t="inlineStr">
        <is>
          <t>(Euro)</t>
        </is>
      </c>
      <c r="Y140" s="826" t="inlineStr">
        <is>
          <t>(Euro)</t>
        </is>
      </c>
      <c r="Z140" s="826" t="inlineStr">
        <is>
          <t>(Euro)</t>
        </is>
      </c>
      <c r="AA140" s="826" t="inlineStr">
        <is>
          <t>(Euro)</t>
        </is>
      </c>
      <c r="AB140" s="826" t="inlineStr">
        <is>
          <t>(Euro)</t>
        </is>
      </c>
      <c r="AC140" s="826" t="inlineStr">
        <is>
          <t>(Euro)</t>
        </is>
      </c>
      <c r="AD140" s="826" t="inlineStr">
        <is>
          <t>(Euro)</t>
        </is>
      </c>
      <c r="AE140" s="826" t="inlineStr">
        <is>
          <t>(Euro)</t>
        </is>
      </c>
      <c r="AF140" s="826" t="inlineStr">
        <is>
          <t>(Euro)</t>
        </is>
      </c>
      <c r="AG140" s="826" t="inlineStr">
        <is>
          <t>(Euro)</t>
        </is>
      </c>
      <c r="AH140" s="826" t="inlineStr">
        <is>
          <t>(Euro)</t>
        </is>
      </c>
      <c r="AI140" s="826" t="inlineStr">
        <is>
          <t>(Euro)</t>
        </is>
      </c>
      <c r="AJ140" s="826" t="inlineStr">
        <is>
          <t>(Euro)</t>
        </is>
      </c>
      <c r="AK140" s="826" t="inlineStr">
        <is>
          <t>(Euro)</t>
        </is>
      </c>
      <c r="AL140" s="826" t="inlineStr">
        <is>
          <t>(Euro)</t>
        </is>
      </c>
      <c r="AM140" s="826" t="inlineStr">
        <is>
          <t>(Euro)</t>
        </is>
      </c>
      <c r="AN140" s="826" t="inlineStr">
        <is>
          <t>(Euro)</t>
        </is>
      </c>
      <c r="AO140" s="826" t="inlineStr">
        <is>
          <t>(Euro)</t>
        </is>
      </c>
      <c r="AP140" s="826" t="inlineStr">
        <is>
          <t>(Euro)</t>
        </is>
      </c>
      <c r="AQ140" s="826" t="inlineStr">
        <is>
          <t>(Euro)</t>
        </is>
      </c>
      <c r="AR140" s="826" t="inlineStr">
        <is>
          <t>(Euro)</t>
        </is>
      </c>
      <c r="AS140" s="826" t="inlineStr">
        <is>
          <t>(Euro)</t>
        </is>
      </c>
      <c r="AT140" s="826" t="inlineStr">
        <is>
          <t>(Euro)</t>
        </is>
      </c>
      <c r="AU140" s="826" t="inlineStr">
        <is>
          <t>(Euro)</t>
        </is>
      </c>
      <c r="AV140" s="826" t="inlineStr">
        <is>
          <t>(Euro)</t>
        </is>
      </c>
      <c r="AW140" s="826" t="inlineStr">
        <is>
          <t>(Euro)</t>
        </is>
      </c>
      <c r="AX140" s="826" t="inlineStr">
        <is>
          <t>(Euro)</t>
        </is>
      </c>
      <c r="AY140" s="826" t="inlineStr">
        <is>
          <t>(Euro)</t>
        </is>
      </c>
      <c r="AZ140" s="826" t="inlineStr">
        <is>
          <t>(Euro)</t>
        </is>
      </c>
      <c r="BA140" s="826" t="inlineStr">
        <is>
          <t>(Euro)</t>
        </is>
      </c>
      <c r="BB140" s="826" t="inlineStr">
        <is>
          <t>(Euro)</t>
        </is>
      </c>
      <c r="BC140" s="826" t="inlineStr">
        <is>
          <t>(Euro)</t>
        </is>
      </c>
      <c r="BD140" s="826" t="inlineStr">
        <is>
          <t>(Euro)</t>
        </is>
      </c>
      <c r="BE140" s="826" t="inlineStr">
        <is>
          <t>(Euro)</t>
        </is>
      </c>
      <c r="BF140" s="826" t="inlineStr">
        <is>
          <t>(Euro)</t>
        </is>
      </c>
      <c r="BG140" s="825" t="inlineStr">
        <is>
          <t>(Euro)</t>
        </is>
      </c>
    </row>
    <row r="141" ht="13.2" customHeight="1" s="586">
      <c r="B141" s="855" t="n"/>
      <c r="C141" s="828" t="n"/>
      <c r="D141" s="829" t="n"/>
      <c r="E141" s="830" t="n"/>
      <c r="F141" s="831" t="n"/>
      <c r="G141" s="830" t="n"/>
      <c r="H141" s="832" t="n"/>
      <c r="I141" s="832" t="n"/>
      <c r="J141" s="832" t="n"/>
      <c r="K141" s="832" t="n"/>
      <c r="L141" s="832" t="n"/>
      <c r="M141" s="832" t="n"/>
      <c r="N141" s="832" t="n"/>
      <c r="O141" s="832" t="n"/>
      <c r="P141" s="832" t="n"/>
      <c r="Q141" s="832" t="n"/>
      <c r="R141" s="832" t="n"/>
      <c r="S141" s="833" t="n"/>
      <c r="T141" s="832" t="n"/>
      <c r="U141" s="832" t="n"/>
      <c r="V141" s="832" t="n"/>
      <c r="W141" s="832" t="n"/>
      <c r="X141" s="832" t="n"/>
      <c r="Y141" s="832" t="n"/>
      <c r="Z141" s="832" t="n"/>
      <c r="AA141" s="832" t="n"/>
      <c r="AB141" s="832" t="n"/>
      <c r="AC141" s="832" t="n"/>
      <c r="AD141" s="832" t="n"/>
      <c r="AE141" s="832" t="n"/>
      <c r="AF141" s="834" t="n"/>
      <c r="AG141" s="832" t="n"/>
      <c r="AH141" s="832" t="n"/>
      <c r="AI141" s="832" t="n"/>
      <c r="AJ141" s="832" t="n"/>
      <c r="AK141" s="832" t="n"/>
      <c r="AL141" s="832" t="n"/>
      <c r="AM141" s="832" t="n"/>
      <c r="AN141" s="832" t="n"/>
      <c r="AO141" s="832" t="n"/>
      <c r="AP141" s="832" t="n"/>
      <c r="AQ141" s="832" t="n"/>
      <c r="AR141" s="832" t="n"/>
      <c r="AS141" s="834" t="n"/>
      <c r="AT141" s="832" t="n"/>
      <c r="AU141" s="832" t="n"/>
      <c r="AV141" s="832" t="n"/>
      <c r="AW141" s="832" t="n"/>
      <c r="AX141" s="832" t="n"/>
      <c r="AY141" s="832" t="n"/>
      <c r="AZ141" s="832" t="n"/>
      <c r="BA141" s="832" t="n"/>
      <c r="BB141" s="832" t="n"/>
      <c r="BC141" s="832" t="n"/>
      <c r="BD141" s="832" t="n"/>
      <c r="BE141" s="832" t="n"/>
      <c r="BF141" s="834" t="n"/>
      <c r="BG141" s="835" t="n"/>
    </row>
    <row r="142" ht="13.2" customHeight="1" s="586">
      <c r="B142" s="882" t="inlineStr">
        <is>
          <t>1. From As to Be</t>
        </is>
      </c>
      <c r="C142" s="837" t="n"/>
      <c r="D142" s="898" t="n"/>
      <c r="E142" s="839" t="n">
        <v>0</v>
      </c>
      <c r="F142" s="910" t="n">
        <v>0</v>
      </c>
      <c r="G142" s="839" t="n">
        <v>0</v>
      </c>
      <c r="H142" s="839" t="n">
        <v>0</v>
      </c>
      <c r="I142" s="839" t="n">
        <v>0</v>
      </c>
      <c r="J142" s="839" t="n">
        <v>201377.6</v>
      </c>
      <c r="K142" s="839" t="n">
        <v>239936</v>
      </c>
      <c r="L142" s="839" t="n">
        <v>266816</v>
      </c>
      <c r="M142" s="839" t="n">
        <v>218816</v>
      </c>
      <c r="N142" s="839" t="n">
        <v>162656</v>
      </c>
      <c r="O142" s="839" t="n">
        <v>134576</v>
      </c>
      <c r="P142" s="839" t="n">
        <v>0</v>
      </c>
      <c r="Q142" s="839" t="n">
        <v>0</v>
      </c>
      <c r="R142" s="839" t="n">
        <v>0</v>
      </c>
      <c r="S142" s="840">
        <f>SUM(E142:R142)</f>
        <v/>
      </c>
      <c r="T142" s="841" t="n"/>
      <c r="U142" s="841" t="n"/>
      <c r="V142" s="841" t="n"/>
      <c r="W142" s="841" t="n"/>
      <c r="X142" s="841" t="n"/>
      <c r="Y142" s="841" t="n"/>
      <c r="Z142" s="841" t="n"/>
      <c r="AA142" s="841" t="n"/>
      <c r="AB142" s="841" t="n"/>
      <c r="AC142" s="841" t="n"/>
      <c r="AD142" s="841" t="n"/>
      <c r="AE142" s="841" t="n"/>
      <c r="AF142" s="840">
        <f>SUM(T142:AE142)</f>
        <v/>
      </c>
      <c r="AG142" s="841" t="n"/>
      <c r="AH142" s="841" t="n"/>
      <c r="AI142" s="841" t="n"/>
      <c r="AJ142" s="841" t="n"/>
      <c r="AK142" s="841" t="n"/>
      <c r="AL142" s="841" t="n"/>
      <c r="AM142" s="841" t="n"/>
      <c r="AN142" s="841" t="n"/>
      <c r="AO142" s="841" t="n"/>
      <c r="AP142" s="841" t="n"/>
      <c r="AQ142" s="841" t="n"/>
      <c r="AR142" s="841" t="n"/>
      <c r="AS142" s="840">
        <f>SUM(AG142:AR142)</f>
        <v/>
      </c>
      <c r="AT142" s="841" t="n"/>
      <c r="AU142" s="841" t="n"/>
      <c r="AV142" s="841" t="n"/>
      <c r="AW142" s="841" t="n"/>
      <c r="AX142" s="841" t="n"/>
      <c r="AY142" s="841" t="n"/>
      <c r="AZ142" s="841" t="n"/>
      <c r="BA142" s="841" t="n"/>
      <c r="BB142" s="841" t="n"/>
      <c r="BC142" s="841" t="n"/>
      <c r="BD142" s="841" t="n"/>
      <c r="BE142" s="841" t="n"/>
      <c r="BF142" s="840">
        <f>SUM(AT142:BE142)</f>
        <v/>
      </c>
      <c r="BG142" s="840">
        <f>SUM(AS142,AF142,S142,BF142)</f>
        <v/>
      </c>
      <c r="BI142" s="810" t="n"/>
    </row>
    <row r="143" ht="13.2" customHeight="1" s="586">
      <c r="B143" s="882" t="inlineStr">
        <is>
          <t>2. Self Service Portal</t>
        </is>
      </c>
      <c r="C143" s="842" t="n"/>
      <c r="D143" s="898" t="n"/>
      <c r="E143" s="839" t="n">
        <v>0</v>
      </c>
      <c r="F143" s="910" t="n">
        <v>0</v>
      </c>
      <c r="G143" s="910" t="n">
        <v>39000</v>
      </c>
      <c r="H143" s="910" t="n">
        <v>62400</v>
      </c>
      <c r="I143" s="910" t="n">
        <v>26000</v>
      </c>
      <c r="J143" s="910" t="n">
        <v>67600</v>
      </c>
      <c r="K143" s="910" t="n">
        <v>53950</v>
      </c>
      <c r="L143" s="910" t="n">
        <v>53950</v>
      </c>
      <c r="M143" s="910" t="n">
        <v>78000</v>
      </c>
      <c r="N143" s="910" t="n">
        <v>36400</v>
      </c>
      <c r="O143" s="910" t="n">
        <v>83200</v>
      </c>
      <c r="P143" s="910" t="n">
        <v>0</v>
      </c>
      <c r="Q143" s="910" t="n">
        <v>0</v>
      </c>
      <c r="R143" s="910" t="n">
        <v>0</v>
      </c>
      <c r="S143" s="840">
        <f>SUM(E143:R143)</f>
        <v/>
      </c>
      <c r="T143" s="841" t="n"/>
      <c r="U143" s="841" t="n"/>
      <c r="V143" s="841" t="n"/>
      <c r="W143" s="841" t="n"/>
      <c r="X143" s="841" t="n"/>
      <c r="Y143" s="841" t="n"/>
      <c r="Z143" s="841" t="n"/>
      <c r="AA143" s="841" t="n"/>
      <c r="AB143" s="841" t="n"/>
      <c r="AC143" s="841" t="n"/>
      <c r="AD143" s="841" t="n"/>
      <c r="AE143" s="841" t="n"/>
      <c r="AF143" s="840">
        <f>SUM(T143:AE143)</f>
        <v/>
      </c>
      <c r="AG143" s="841" t="n"/>
      <c r="AH143" s="841" t="n"/>
      <c r="AI143" s="841" t="n"/>
      <c r="AJ143" s="841" t="n"/>
      <c r="AK143" s="841" t="n"/>
      <c r="AL143" s="841" t="n"/>
      <c r="AM143" s="841" t="n"/>
      <c r="AN143" s="841" t="n"/>
      <c r="AO143" s="841" t="n"/>
      <c r="AP143" s="841" t="n"/>
      <c r="AQ143" s="841" t="n"/>
      <c r="AR143" s="841" t="n"/>
      <c r="AS143" s="840">
        <f>SUM(AG143:AR143)</f>
        <v/>
      </c>
      <c r="AT143" s="841" t="n"/>
      <c r="AU143" s="841" t="n"/>
      <c r="AV143" s="841" t="n"/>
      <c r="AW143" s="841" t="n"/>
      <c r="AX143" s="841" t="n"/>
      <c r="AY143" s="841" t="n"/>
      <c r="AZ143" s="841" t="n"/>
      <c r="BA143" s="841" t="n"/>
      <c r="BB143" s="841" t="n"/>
      <c r="BC143" s="841" t="n"/>
      <c r="BD143" s="841" t="n"/>
      <c r="BE143" s="841" t="n"/>
      <c r="BF143" s="840">
        <f>SUM(AT143:BE143)</f>
        <v/>
      </c>
      <c r="BG143" s="840">
        <f>SUM(AS143,AF143,S143,BF143)</f>
        <v/>
      </c>
      <c r="BH143" s="810" t="n"/>
      <c r="BI143" s="810" t="n"/>
    </row>
    <row r="144" ht="13.2" customHeight="1" s="586">
      <c r="B144" s="882" t="inlineStr">
        <is>
          <t>2. Implement MOM monitoring framework</t>
        </is>
      </c>
      <c r="C144" s="842" t="n"/>
      <c r="D144" s="898" t="n"/>
      <c r="E144" s="839" t="n">
        <v>0</v>
      </c>
      <c r="F144" s="910" t="n">
        <v>0</v>
      </c>
      <c r="G144" s="910" t="n">
        <v>0</v>
      </c>
      <c r="H144" s="910" t="n">
        <v>13000</v>
      </c>
      <c r="I144" s="910" t="n">
        <v>22100</v>
      </c>
      <c r="J144" s="910" t="n">
        <v>18200</v>
      </c>
      <c r="K144" s="910" t="n">
        <v>16900</v>
      </c>
      <c r="L144" s="910" t="n">
        <v>19500</v>
      </c>
      <c r="M144" s="910" t="n">
        <v>9750</v>
      </c>
      <c r="N144" s="910" t="n">
        <v>0</v>
      </c>
      <c r="O144" s="910" t="n">
        <v>0</v>
      </c>
      <c r="P144" s="910" t="n">
        <v>0</v>
      </c>
      <c r="Q144" s="910" t="n">
        <v>0</v>
      </c>
      <c r="R144" s="910" t="n">
        <v>0</v>
      </c>
      <c r="S144" s="840">
        <f>SUM(E144:R144)</f>
        <v/>
      </c>
      <c r="T144" s="841" t="n"/>
      <c r="U144" s="841" t="n"/>
      <c r="V144" s="841" t="n"/>
      <c r="W144" s="841" t="n"/>
      <c r="X144" s="841" t="n"/>
      <c r="Y144" s="841" t="n"/>
      <c r="Z144" s="841" t="n"/>
      <c r="AA144" s="841" t="n"/>
      <c r="AB144" s="841" t="n"/>
      <c r="AC144" s="841" t="n"/>
      <c r="AD144" s="841" t="n"/>
      <c r="AE144" s="841" t="n"/>
      <c r="AF144" s="840">
        <f>SUM(T144:AE144)</f>
        <v/>
      </c>
      <c r="AG144" s="841" t="n"/>
      <c r="AH144" s="841" t="n"/>
      <c r="AI144" s="841" t="n"/>
      <c r="AJ144" s="841" t="n"/>
      <c r="AK144" s="841" t="n"/>
      <c r="AL144" s="841" t="n"/>
      <c r="AM144" s="841" t="n"/>
      <c r="AN144" s="841" t="n"/>
      <c r="AO144" s="841" t="n"/>
      <c r="AP144" s="841" t="n"/>
      <c r="AQ144" s="841" t="n"/>
      <c r="AR144" s="841" t="n"/>
      <c r="AS144" s="840">
        <f>SUM(AG144:AR144)</f>
        <v/>
      </c>
      <c r="AT144" s="841" t="n"/>
      <c r="AU144" s="841" t="n"/>
      <c r="AV144" s="841" t="n"/>
      <c r="AW144" s="841" t="n"/>
      <c r="AX144" s="841" t="n"/>
      <c r="AY144" s="841" t="n"/>
      <c r="AZ144" s="841" t="n"/>
      <c r="BA144" s="841" t="n"/>
      <c r="BB144" s="841" t="n"/>
      <c r="BC144" s="841" t="n"/>
      <c r="BD144" s="841" t="n"/>
      <c r="BE144" s="841" t="n"/>
      <c r="BF144" s="840">
        <f>SUM(AT144:BE144)</f>
        <v/>
      </c>
      <c r="BG144" s="840">
        <f>SUM(AS144,AF144,S144,BF144)</f>
        <v/>
      </c>
      <c r="BH144" s="810" t="n"/>
      <c r="BI144" s="810" t="n"/>
    </row>
    <row r="145" ht="13.2" customHeight="1" s="586">
      <c r="B145" s="882" t="inlineStr">
        <is>
          <t xml:space="preserve">4. Client Deployment Rework </t>
        </is>
      </c>
      <c r="C145" s="842" t="n"/>
      <c r="D145" s="898" t="n"/>
      <c r="E145" s="839" t="n">
        <v>0</v>
      </c>
      <c r="F145" s="910" t="n">
        <v>0</v>
      </c>
      <c r="G145" s="910" t="n">
        <v>11700</v>
      </c>
      <c r="H145" s="910" t="n">
        <v>13000</v>
      </c>
      <c r="I145" s="910" t="n">
        <v>10400</v>
      </c>
      <c r="J145" s="910" t="n">
        <v>10400</v>
      </c>
      <c r="K145" s="910" t="n">
        <v>20800</v>
      </c>
      <c r="L145" s="910" t="n">
        <v>27300</v>
      </c>
      <c r="M145" s="910" t="n">
        <v>24700</v>
      </c>
      <c r="N145" s="910" t="n">
        <v>16900</v>
      </c>
      <c r="O145" s="910" t="n">
        <v>11700</v>
      </c>
      <c r="P145" s="910" t="n">
        <v>6500</v>
      </c>
      <c r="Q145" s="910" t="n">
        <v>9100</v>
      </c>
      <c r="R145" s="910" t="n">
        <v>0</v>
      </c>
      <c r="S145" s="840">
        <f>SUM(E145:R145)</f>
        <v/>
      </c>
      <c r="T145" s="841" t="n"/>
      <c r="U145" s="841" t="n"/>
      <c r="V145" s="841" t="n"/>
      <c r="W145" s="841" t="n"/>
      <c r="X145" s="841" t="n"/>
      <c r="Y145" s="841" t="n"/>
      <c r="Z145" s="841" t="n"/>
      <c r="AA145" s="841" t="n"/>
      <c r="AB145" s="841" t="n"/>
      <c r="AC145" s="841" t="n"/>
      <c r="AD145" s="841" t="n"/>
      <c r="AE145" s="841" t="n"/>
      <c r="AF145" s="840">
        <f>SUM(T145:AE145)</f>
        <v/>
      </c>
      <c r="AG145" s="841" t="n"/>
      <c r="AH145" s="841" t="n"/>
      <c r="AI145" s="841" t="n"/>
      <c r="AJ145" s="841" t="n"/>
      <c r="AK145" s="841" t="n"/>
      <c r="AL145" s="841" t="n"/>
      <c r="AM145" s="841" t="n"/>
      <c r="AN145" s="841" t="n"/>
      <c r="AO145" s="841" t="n"/>
      <c r="AP145" s="841" t="n"/>
      <c r="AQ145" s="841" t="n"/>
      <c r="AR145" s="841" t="n"/>
      <c r="AS145" s="840">
        <f>SUM(AG145:AR145)</f>
        <v/>
      </c>
      <c r="AT145" s="841" t="n"/>
      <c r="AU145" s="841" t="n"/>
      <c r="AV145" s="841" t="n"/>
      <c r="AW145" s="841" t="n"/>
      <c r="AX145" s="841" t="n"/>
      <c r="AY145" s="841" t="n"/>
      <c r="AZ145" s="841" t="n"/>
      <c r="BA145" s="841" t="n"/>
      <c r="BB145" s="841" t="n"/>
      <c r="BC145" s="841" t="n"/>
      <c r="BD145" s="841" t="n"/>
      <c r="BE145" s="841" t="n"/>
      <c r="BF145" s="840">
        <f>SUM(AT145:BE145)</f>
        <v/>
      </c>
      <c r="BG145" s="840">
        <f>SUM(AS145,AF145,S145,BF145)</f>
        <v/>
      </c>
      <c r="BH145" s="810" t="n"/>
      <c r="BI145" s="810" t="n"/>
    </row>
    <row r="146" ht="13.2" customHeight="1" s="586">
      <c r="B146" s="882" t="inlineStr">
        <is>
          <t>5. Integrate Metadirectory with Neptune services</t>
        </is>
      </c>
      <c r="C146" s="842" t="n"/>
      <c r="D146" s="898" t="n"/>
      <c r="E146" s="839" t="n">
        <v>0</v>
      </c>
      <c r="F146" s="910" t="n">
        <v>0</v>
      </c>
      <c r="G146" s="910" t="n">
        <v>11700</v>
      </c>
      <c r="H146" s="910" t="n">
        <v>13000</v>
      </c>
      <c r="I146" s="910" t="n">
        <v>9100</v>
      </c>
      <c r="J146" s="910" t="n">
        <v>10400</v>
      </c>
      <c r="K146" s="910" t="n">
        <v>9100</v>
      </c>
      <c r="L146" s="910" t="n">
        <v>13000</v>
      </c>
      <c r="M146" s="910" t="n">
        <v>10400</v>
      </c>
      <c r="N146" s="910" t="n">
        <v>10400</v>
      </c>
      <c r="O146" s="910" t="n">
        <v>9100</v>
      </c>
      <c r="P146" s="910" t="n">
        <v>0</v>
      </c>
      <c r="Q146" s="910" t="n">
        <v>0</v>
      </c>
      <c r="R146" s="910" t="n">
        <v>0</v>
      </c>
      <c r="S146" s="840">
        <f>SUM(E146:R146)</f>
        <v/>
      </c>
      <c r="T146" s="841" t="n"/>
      <c r="U146" s="841" t="n"/>
      <c r="V146" s="841" t="n"/>
      <c r="W146" s="841" t="n"/>
      <c r="X146" s="841" t="n"/>
      <c r="Y146" s="841" t="n"/>
      <c r="Z146" s="841" t="n"/>
      <c r="AA146" s="841" t="n"/>
      <c r="AB146" s="841" t="n"/>
      <c r="AC146" s="841" t="n"/>
      <c r="AD146" s="841" t="n"/>
      <c r="AE146" s="841" t="n"/>
      <c r="AF146" s="840">
        <f>SUM(T146:AE146)</f>
        <v/>
      </c>
      <c r="AG146" s="841" t="n"/>
      <c r="AH146" s="841" t="n"/>
      <c r="AI146" s="841" t="n"/>
      <c r="AJ146" s="841" t="n"/>
      <c r="AK146" s="841" t="n"/>
      <c r="AL146" s="841" t="n"/>
      <c r="AM146" s="841" t="n"/>
      <c r="AN146" s="841" t="n"/>
      <c r="AO146" s="841" t="n"/>
      <c r="AP146" s="841" t="n"/>
      <c r="AQ146" s="841" t="n"/>
      <c r="AR146" s="841" t="n"/>
      <c r="AS146" s="840">
        <f>SUM(AG146:AR146)</f>
        <v/>
      </c>
      <c r="AT146" s="841" t="n"/>
      <c r="AU146" s="841" t="n"/>
      <c r="AV146" s="841" t="n"/>
      <c r="AW146" s="841" t="n"/>
      <c r="AX146" s="841" t="n"/>
      <c r="AY146" s="841" t="n"/>
      <c r="AZ146" s="841" t="n"/>
      <c r="BA146" s="841" t="n"/>
      <c r="BB146" s="841" t="n"/>
      <c r="BC146" s="841" t="n"/>
      <c r="BD146" s="841" t="n"/>
      <c r="BE146" s="841" t="n"/>
      <c r="BF146" s="840">
        <f>SUM(AT146:BE146)</f>
        <v/>
      </c>
      <c r="BG146" s="840">
        <f>SUM(AS146,AF146,S146,BF146)</f>
        <v/>
      </c>
      <c r="BH146" s="810" t="n"/>
      <c r="BI146" s="810" t="n"/>
    </row>
    <row r="147" ht="13.2" customHeight="1" s="586">
      <c r="B147" s="882" t="inlineStr">
        <is>
          <t>6. Introduction of Vista</t>
        </is>
      </c>
      <c r="C147" s="842" t="n"/>
      <c r="D147" s="898" t="n"/>
      <c r="E147" s="839" t="n">
        <v>0</v>
      </c>
      <c r="F147" s="910" t="n">
        <v>0</v>
      </c>
      <c r="G147" s="910" t="n">
        <v>0</v>
      </c>
      <c r="H147" s="910" t="n">
        <v>0</v>
      </c>
      <c r="I147" s="910" t="n">
        <v>0</v>
      </c>
      <c r="J147" s="910" t="n">
        <v>0</v>
      </c>
      <c r="K147" s="910" t="n">
        <v>0</v>
      </c>
      <c r="L147" s="910" t="n">
        <v>0</v>
      </c>
      <c r="M147" s="910" t="n">
        <v>0</v>
      </c>
      <c r="N147" s="910" t="n">
        <v>0</v>
      </c>
      <c r="O147" s="910" t="n">
        <v>0</v>
      </c>
      <c r="P147" s="910" t="n">
        <v>13500</v>
      </c>
      <c r="Q147" s="910" t="n">
        <v>45000</v>
      </c>
      <c r="R147" s="910" t="n">
        <v>36000</v>
      </c>
      <c r="S147" s="840">
        <f>SUM(E147:R147)</f>
        <v/>
      </c>
      <c r="T147" s="910" t="n">
        <v>24000</v>
      </c>
      <c r="U147" s="910" t="n">
        <v>63000</v>
      </c>
      <c r="V147" s="841" t="n"/>
      <c r="W147" s="841" t="n"/>
      <c r="X147" s="841" t="n"/>
      <c r="Y147" s="841" t="n"/>
      <c r="Z147" s="841" t="n"/>
      <c r="AA147" s="841" t="n"/>
      <c r="AB147" s="841" t="n"/>
      <c r="AC147" s="841" t="n"/>
      <c r="AD147" s="841" t="n"/>
      <c r="AE147" s="841" t="n"/>
      <c r="AF147" s="840">
        <f>SUM(T147:AE147)</f>
        <v/>
      </c>
      <c r="AG147" s="841" t="n"/>
      <c r="AH147" s="841" t="n"/>
      <c r="AI147" s="841" t="n"/>
      <c r="AJ147" s="841" t="n"/>
      <c r="AK147" s="841" t="n"/>
      <c r="AL147" s="841" t="n"/>
      <c r="AM147" s="841" t="n"/>
      <c r="AN147" s="841" t="n"/>
      <c r="AO147" s="841" t="n"/>
      <c r="AP147" s="841" t="n"/>
      <c r="AQ147" s="841" t="n"/>
      <c r="AR147" s="841" t="n"/>
      <c r="AS147" s="840">
        <f>SUM(AG147:AR147)</f>
        <v/>
      </c>
      <c r="AT147" s="841" t="n"/>
      <c r="AU147" s="841" t="n"/>
      <c r="AV147" s="841" t="n"/>
      <c r="AW147" s="841" t="n"/>
      <c r="AX147" s="841" t="n"/>
      <c r="AY147" s="841" t="n"/>
      <c r="AZ147" s="841" t="n"/>
      <c r="BA147" s="841" t="n"/>
      <c r="BB147" s="841" t="n"/>
      <c r="BC147" s="841" t="n"/>
      <c r="BD147" s="841" t="n"/>
      <c r="BE147" s="841" t="n"/>
      <c r="BF147" s="840">
        <f>SUM(AT147:BE147)</f>
        <v/>
      </c>
      <c r="BG147" s="840">
        <f>SUM(AS147,AF147,S147,BF147)</f>
        <v/>
      </c>
      <c r="BH147" s="810" t="n"/>
      <c r="BI147" s="810" t="n"/>
    </row>
    <row r="148" ht="13.2" customHeight="1" s="586">
      <c r="B148" s="882" t="inlineStr">
        <is>
          <t>7. User Self Restore</t>
        </is>
      </c>
      <c r="C148" s="842" t="n"/>
      <c r="D148" s="898" t="n"/>
      <c r="E148" s="839" t="n">
        <v>0</v>
      </c>
      <c r="F148" s="910" t="n">
        <v>0</v>
      </c>
      <c r="G148" s="910" t="n">
        <v>0</v>
      </c>
      <c r="H148" s="910" t="n">
        <v>0</v>
      </c>
      <c r="I148" s="910" t="n">
        <v>0</v>
      </c>
      <c r="J148" s="910" t="n">
        <v>0</v>
      </c>
      <c r="K148" s="910" t="n">
        <v>0</v>
      </c>
      <c r="L148" s="910" t="n">
        <v>0</v>
      </c>
      <c r="M148" s="910" t="n">
        <v>0</v>
      </c>
      <c r="N148" s="910" t="n">
        <v>0</v>
      </c>
      <c r="O148" s="910" t="n">
        <v>0</v>
      </c>
      <c r="P148" s="910" t="n">
        <v>0</v>
      </c>
      <c r="Q148" s="910" t="n">
        <v>0</v>
      </c>
      <c r="R148" s="910" t="n">
        <v>0</v>
      </c>
      <c r="S148" s="840">
        <f>SUM(E148:R148)</f>
        <v/>
      </c>
      <c r="T148" s="841" t="n"/>
      <c r="U148" s="841" t="n"/>
      <c r="V148" s="841" t="n"/>
      <c r="W148" s="841" t="n"/>
      <c r="X148" s="841" t="n"/>
      <c r="Y148" s="841" t="n"/>
      <c r="Z148" s="841" t="n"/>
      <c r="AA148" s="841" t="n"/>
      <c r="AB148" s="841" t="n"/>
      <c r="AC148" s="841" t="n"/>
      <c r="AD148" s="841" t="n"/>
      <c r="AE148" s="841" t="n"/>
      <c r="AF148" s="840">
        <f>SUM(T148:AE148)</f>
        <v/>
      </c>
      <c r="AG148" s="841" t="n"/>
      <c r="AH148" s="841" t="n"/>
      <c r="AI148" s="841" t="n"/>
      <c r="AJ148" s="841" t="n"/>
      <c r="AK148" s="841" t="n"/>
      <c r="AL148" s="841" t="n"/>
      <c r="AM148" s="841" t="n"/>
      <c r="AN148" s="841" t="n"/>
      <c r="AO148" s="841" t="n"/>
      <c r="AP148" s="841" t="n"/>
      <c r="AQ148" s="841" t="n"/>
      <c r="AR148" s="841" t="n"/>
      <c r="AS148" s="840">
        <f>SUM(AG148:AR148)</f>
        <v/>
      </c>
      <c r="AT148" s="841" t="n"/>
      <c r="AU148" s="841" t="n"/>
      <c r="AV148" s="841" t="n"/>
      <c r="AW148" s="841" t="n"/>
      <c r="AX148" s="841" t="n"/>
      <c r="AY148" s="841" t="n"/>
      <c r="AZ148" s="841" t="n"/>
      <c r="BA148" s="841" t="n"/>
      <c r="BB148" s="841" t="n"/>
      <c r="BC148" s="841" t="n"/>
      <c r="BD148" s="841" t="n"/>
      <c r="BE148" s="841" t="n"/>
      <c r="BF148" s="840">
        <f>SUM(AT148:BE148)</f>
        <v/>
      </c>
      <c r="BG148" s="840">
        <f>SUM(AS148,AF148,S148,BF148)</f>
        <v/>
      </c>
      <c r="BH148" s="810" t="n"/>
      <c r="BI148" s="810" t="n"/>
    </row>
    <row r="149" ht="13.2" customHeight="1" s="586">
      <c r="B149" s="882" t="inlineStr">
        <is>
          <t>8. Distributed File system</t>
        </is>
      </c>
      <c r="C149" s="842" t="n"/>
      <c r="D149" s="898" t="n"/>
      <c r="E149" s="839" t="n">
        <v>0</v>
      </c>
      <c r="F149" s="910" t="n">
        <v>0</v>
      </c>
      <c r="G149" s="910" t="n">
        <v>0</v>
      </c>
      <c r="H149" s="910" t="n">
        <v>0</v>
      </c>
      <c r="I149" s="910" t="n">
        <v>0</v>
      </c>
      <c r="J149" s="910" t="n">
        <v>0</v>
      </c>
      <c r="K149" s="910" t="n">
        <v>0</v>
      </c>
      <c r="L149" s="910" t="n">
        <v>0</v>
      </c>
      <c r="M149" s="910" t="n">
        <v>0</v>
      </c>
      <c r="N149" s="910" t="n">
        <v>0</v>
      </c>
      <c r="O149" s="910" t="n">
        <v>0</v>
      </c>
      <c r="P149" s="910" t="n">
        <v>0</v>
      </c>
      <c r="Q149" s="910" t="n">
        <v>0</v>
      </c>
      <c r="R149" s="910" t="n">
        <v>0</v>
      </c>
      <c r="S149" s="840">
        <f>SUM(E149:R149)</f>
        <v/>
      </c>
      <c r="T149" s="841" t="n"/>
      <c r="U149" s="841" t="n"/>
      <c r="V149" s="841" t="n"/>
      <c r="W149" s="841" t="n"/>
      <c r="X149" s="841" t="n"/>
      <c r="Y149" s="841" t="n"/>
      <c r="Z149" s="841" t="n"/>
      <c r="AA149" s="841" t="n"/>
      <c r="AB149" s="841" t="n"/>
      <c r="AC149" s="841" t="n"/>
      <c r="AD149" s="841" t="n"/>
      <c r="AE149" s="841" t="n"/>
      <c r="AF149" s="840">
        <f>SUM(T149:AE149)</f>
        <v/>
      </c>
      <c r="AG149" s="841" t="n"/>
      <c r="AH149" s="841" t="n"/>
      <c r="AI149" s="841" t="n"/>
      <c r="AJ149" s="841" t="n"/>
      <c r="AK149" s="841" t="n"/>
      <c r="AL149" s="841" t="n"/>
      <c r="AM149" s="841" t="n"/>
      <c r="AN149" s="841" t="n"/>
      <c r="AO149" s="841" t="n"/>
      <c r="AP149" s="841" t="n"/>
      <c r="AQ149" s="841" t="n"/>
      <c r="AR149" s="841" t="n"/>
      <c r="AS149" s="840">
        <f>SUM(AG149:AR149)</f>
        <v/>
      </c>
      <c r="AT149" s="841" t="n"/>
      <c r="AU149" s="841" t="n"/>
      <c r="AV149" s="841" t="n"/>
      <c r="AW149" s="841" t="n"/>
      <c r="AX149" s="841" t="n"/>
      <c r="AY149" s="841" t="n"/>
      <c r="AZ149" s="841" t="n"/>
      <c r="BA149" s="841" t="n"/>
      <c r="BB149" s="841" t="n"/>
      <c r="BC149" s="841" t="n"/>
      <c r="BD149" s="841" t="n"/>
      <c r="BE149" s="841" t="n"/>
      <c r="BF149" s="840">
        <f>SUM(AT149:BE149)</f>
        <v/>
      </c>
      <c r="BG149" s="840">
        <f>SUM(AS149,AF149,S149,BF149)</f>
        <v/>
      </c>
      <c r="BH149" s="810" t="n"/>
      <c r="BI149" s="810" t="n"/>
    </row>
    <row r="150" ht="13.8" customHeight="1" s="586">
      <c r="B150" s="885" t="inlineStr">
        <is>
          <t>Expenses</t>
        </is>
      </c>
      <c r="C150" s="844" t="n"/>
      <c r="D150" s="912" t="n"/>
      <c r="E150" s="846" t="n">
        <v>0</v>
      </c>
      <c r="F150" s="893" t="n">
        <v>0</v>
      </c>
      <c r="G150" s="893" t="n">
        <v>0</v>
      </c>
      <c r="H150" s="893" t="n">
        <v>0</v>
      </c>
      <c r="I150" s="893" t="n">
        <v>0</v>
      </c>
      <c r="J150" s="893" t="n">
        <v>20000</v>
      </c>
      <c r="K150" s="893" t="n">
        <v>10000</v>
      </c>
      <c r="L150" s="893" t="n">
        <v>10000</v>
      </c>
      <c r="M150" s="893" t="n">
        <v>10000</v>
      </c>
      <c r="N150" s="893" t="n">
        <v>10000</v>
      </c>
      <c r="O150" s="893" t="n">
        <v>8000</v>
      </c>
      <c r="P150" s="846" t="n">
        <v>0</v>
      </c>
      <c r="Q150" s="846" t="n">
        <v>0</v>
      </c>
      <c r="R150" s="846" t="n">
        <v>0</v>
      </c>
      <c r="S150" s="847">
        <f>SUM(E150:R150)</f>
        <v/>
      </c>
      <c r="T150" s="848" t="n"/>
      <c r="U150" s="848" t="n"/>
      <c r="V150" s="848" t="n"/>
      <c r="W150" s="848" t="n"/>
      <c r="X150" s="848" t="n"/>
      <c r="Y150" s="848" t="n"/>
      <c r="Z150" s="848" t="n"/>
      <c r="AA150" s="848" t="n"/>
      <c r="AB150" s="848" t="n"/>
      <c r="AC150" s="848" t="n"/>
      <c r="AD150" s="848" t="n"/>
      <c r="AE150" s="848" t="n"/>
      <c r="AF150" s="847">
        <f>SUM(T150:AE150)</f>
        <v/>
      </c>
      <c r="AG150" s="848" t="n"/>
      <c r="AH150" s="848" t="n"/>
      <c r="AI150" s="848" t="n"/>
      <c r="AJ150" s="848" t="n"/>
      <c r="AK150" s="848" t="n"/>
      <c r="AL150" s="848" t="n"/>
      <c r="AM150" s="848" t="n"/>
      <c r="AN150" s="848" t="n"/>
      <c r="AO150" s="848" t="n"/>
      <c r="AP150" s="848" t="n"/>
      <c r="AQ150" s="848" t="n"/>
      <c r="AR150" s="848" t="n"/>
      <c r="AS150" s="847">
        <f>SUM(AG150:AR150)</f>
        <v/>
      </c>
      <c r="AT150" s="848" t="n"/>
      <c r="AU150" s="848" t="n"/>
      <c r="AV150" s="848" t="n"/>
      <c r="AW150" s="848" t="n"/>
      <c r="AX150" s="848" t="n"/>
      <c r="AY150" s="848" t="n"/>
      <c r="AZ150" s="848" t="n"/>
      <c r="BA150" s="848" t="n"/>
      <c r="BB150" s="848" t="n"/>
      <c r="BC150" s="848" t="n"/>
      <c r="BD150" s="848" t="n"/>
      <c r="BE150" s="848" t="n"/>
      <c r="BF150" s="847">
        <f>SUM(AT150:BE150)</f>
        <v/>
      </c>
      <c r="BG150" s="847">
        <f>SUM(AS150,AF150,S150,BF150)</f>
        <v/>
      </c>
      <c r="BH150" s="810" t="n"/>
      <c r="BI150" s="810" t="n"/>
    </row>
    <row r="151" ht="13.8" customHeight="1" s="586">
      <c r="B151" s="871" t="inlineStr">
        <is>
          <t>TOTAL</t>
        </is>
      </c>
      <c r="C151" s="872" t="n"/>
      <c r="D151" s="872" t="n"/>
      <c r="E151" s="873">
        <f>SUM(E142:E150)</f>
        <v/>
      </c>
      <c r="F151" s="873">
        <f>SUM(F142:F150)</f>
        <v/>
      </c>
      <c r="G151" s="873">
        <f>SUM(G142:G150)</f>
        <v/>
      </c>
      <c r="H151" s="873">
        <f>SUM(H142:H150)</f>
        <v/>
      </c>
      <c r="I151" s="873">
        <f>SUM(I142:I150)</f>
        <v/>
      </c>
      <c r="J151" s="873">
        <f>SUM(J142:J150)</f>
        <v/>
      </c>
      <c r="K151" s="873">
        <f>SUM(K142:K150)</f>
        <v/>
      </c>
      <c r="L151" s="873">
        <f>SUM(L142:L150)</f>
        <v/>
      </c>
      <c r="M151" s="873">
        <f>SUM(M142:M150)</f>
        <v/>
      </c>
      <c r="N151" s="873">
        <f>SUM(N142:N150)</f>
        <v/>
      </c>
      <c r="O151" s="873">
        <f>SUM(O142:O150)</f>
        <v/>
      </c>
      <c r="P151" s="873">
        <f>SUM(P142:P150)</f>
        <v/>
      </c>
      <c r="Q151" s="873">
        <f>SUM(Q142:Q150)</f>
        <v/>
      </c>
      <c r="R151" s="873">
        <f>SUM(R142:R150)</f>
        <v/>
      </c>
      <c r="S151" s="873">
        <f>SUM(S142:S150)</f>
        <v/>
      </c>
      <c r="T151" s="873">
        <f>SUM(T142:T150)</f>
        <v/>
      </c>
      <c r="U151" s="873">
        <f>SUM(U142:U150)</f>
        <v/>
      </c>
      <c r="V151" s="873">
        <f>SUM(V142:V150)</f>
        <v/>
      </c>
      <c r="W151" s="873">
        <f>SUM(W142:W150)</f>
        <v/>
      </c>
      <c r="X151" s="873">
        <f>SUM(X142:X150)</f>
        <v/>
      </c>
      <c r="Y151" s="873">
        <f>SUM(Y142:Y150)</f>
        <v/>
      </c>
      <c r="Z151" s="873">
        <f>SUM(Z142:Z150)</f>
        <v/>
      </c>
      <c r="AA151" s="873">
        <f>SUM(AA142:AA150)</f>
        <v/>
      </c>
      <c r="AB151" s="873">
        <f>SUM(AB142:AB150)</f>
        <v/>
      </c>
      <c r="AC151" s="873">
        <f>SUM(AC142:AC150)</f>
        <v/>
      </c>
      <c r="AD151" s="873">
        <f>SUM(AD142:AD150)</f>
        <v/>
      </c>
      <c r="AE151" s="873">
        <f>SUM(AE142:AE150)</f>
        <v/>
      </c>
      <c r="AF151" s="873">
        <f>SUM(AF142:AF150)</f>
        <v/>
      </c>
      <c r="AG151" s="873">
        <f>SUM(AG142:AG150)</f>
        <v/>
      </c>
      <c r="AH151" s="873">
        <f>SUM(AH142:AH150)</f>
        <v/>
      </c>
      <c r="AI151" s="873">
        <f>SUM(AI142:AI150)</f>
        <v/>
      </c>
      <c r="AJ151" s="873">
        <f>SUM(AJ142:AJ150)</f>
        <v/>
      </c>
      <c r="AK151" s="873">
        <f>SUM(AK142:AK150)</f>
        <v/>
      </c>
      <c r="AL151" s="873">
        <f>SUM(AL142:AL150)</f>
        <v/>
      </c>
      <c r="AM151" s="873">
        <f>SUM(AM142:AM150)</f>
        <v/>
      </c>
      <c r="AN151" s="873">
        <f>SUM(AN142:AN150)</f>
        <v/>
      </c>
      <c r="AO151" s="873">
        <f>SUM(AO142:AO150)</f>
        <v/>
      </c>
      <c r="AP151" s="873">
        <f>SUM(AP142:AP150)</f>
        <v/>
      </c>
      <c r="AQ151" s="873">
        <f>SUM(AQ142:AQ150)</f>
        <v/>
      </c>
      <c r="AR151" s="873">
        <f>SUM(AR142:AR150)</f>
        <v/>
      </c>
      <c r="AS151" s="873">
        <f>SUM(AS142:AS150)</f>
        <v/>
      </c>
      <c r="AT151" s="873">
        <f>SUM(AT142:AT150)</f>
        <v/>
      </c>
      <c r="AU151" s="873">
        <f>SUM(AU142:AU150)</f>
        <v/>
      </c>
      <c r="AV151" s="873">
        <f>SUM(AV142:AV150)</f>
        <v/>
      </c>
      <c r="AW151" s="873">
        <f>SUM(AW142:AW150)</f>
        <v/>
      </c>
      <c r="AX151" s="873">
        <f>SUM(AX142:AX150)</f>
        <v/>
      </c>
      <c r="AY151" s="873">
        <f>SUM(AY142:AY150)</f>
        <v/>
      </c>
      <c r="AZ151" s="873">
        <f>SUM(AZ142:AZ150)</f>
        <v/>
      </c>
      <c r="BA151" s="873">
        <f>SUM(BA142:BA150)</f>
        <v/>
      </c>
      <c r="BB151" s="873">
        <f>SUM(BB142:BB150)</f>
        <v/>
      </c>
      <c r="BC151" s="873">
        <f>SUM(BC142:BC150)</f>
        <v/>
      </c>
      <c r="BD151" s="873">
        <f>SUM(BD142:BD150)</f>
        <v/>
      </c>
      <c r="BE151" s="873">
        <f>SUM(BE142:BE150)</f>
        <v/>
      </c>
      <c r="BF151" s="873">
        <f>SUM(BF142:BF150)</f>
        <v/>
      </c>
      <c r="BG151" s="874">
        <f>SUM(BG142:BG150)</f>
        <v/>
      </c>
      <c r="BI151" s="810" t="n"/>
    </row>
    <row r="152" ht="13.2" customHeight="1" s="586">
      <c r="B152" s="805" t="n"/>
      <c r="C152" s="854" t="n"/>
      <c r="D152" s="854" t="n"/>
      <c r="E152" s="812" t="n"/>
      <c r="F152" s="812" t="n"/>
      <c r="G152" s="812" t="n"/>
      <c r="H152" s="812" t="n"/>
      <c r="I152" s="812" t="n"/>
      <c r="J152" s="812" t="n"/>
      <c r="K152" s="812" t="n"/>
      <c r="L152" s="812" t="n"/>
      <c r="M152" s="812" t="n"/>
      <c r="N152" s="812" t="n"/>
      <c r="O152" s="812" t="n"/>
      <c r="P152" s="812" t="n"/>
      <c r="Q152" s="812" t="n"/>
      <c r="R152" s="812" t="n"/>
      <c r="T152" s="809" t="n"/>
      <c r="U152" s="809" t="n"/>
      <c r="V152" s="809" t="n"/>
      <c r="W152" s="809" t="n"/>
      <c r="X152" s="809" t="n"/>
      <c r="Y152" s="809" t="n"/>
      <c r="Z152" s="809" t="n"/>
      <c r="AA152" s="809" t="n"/>
      <c r="AB152" s="809" t="n"/>
      <c r="AC152" s="809" t="n"/>
      <c r="AD152" s="809" t="n"/>
      <c r="AE152" s="809" t="n"/>
      <c r="AG152" s="809" t="n"/>
      <c r="AH152" s="809" t="n"/>
      <c r="AI152" s="809" t="n"/>
      <c r="AJ152" s="809" t="n"/>
      <c r="AK152" s="809" t="n"/>
      <c r="AL152" s="809" t="n"/>
      <c r="AM152" s="809" t="n"/>
      <c r="AN152" s="809" t="n"/>
      <c r="AO152" s="809" t="n"/>
      <c r="AP152" s="809" t="n"/>
      <c r="AQ152" s="809" t="n"/>
      <c r="AR152" s="809" t="n"/>
      <c r="AT152" s="809" t="n"/>
      <c r="AU152" s="809" t="n"/>
      <c r="AV152" s="809" t="n"/>
      <c r="AW152" s="809" t="n"/>
      <c r="AX152" s="809" t="n"/>
      <c r="AY152" s="809" t="n"/>
      <c r="AZ152" s="809" t="n"/>
      <c r="BA152" s="809" t="n"/>
      <c r="BB152" s="809" t="n"/>
      <c r="BC152" s="809" t="n"/>
      <c r="BD152" s="809" t="n"/>
      <c r="BE152" s="809" t="n"/>
      <c r="BG152" s="809" t="n"/>
      <c r="BH152" s="810" t="n"/>
    </row>
    <row r="153" ht="13.8" customHeight="1" s="586">
      <c r="B153" s="813" t="n"/>
      <c r="D153" s="905" t="n"/>
      <c r="E153" s="906" t="n"/>
      <c r="F153" s="906" t="n"/>
      <c r="G153" s="907" t="n"/>
      <c r="H153" s="906" t="n"/>
      <c r="I153" s="815" t="inlineStr">
        <is>
          <t>Transformation</t>
        </is>
      </c>
      <c r="J153" s="907" t="n"/>
      <c r="K153" s="817" t="n"/>
      <c r="L153" s="815" t="n"/>
      <c r="M153" s="815" t="n"/>
      <c r="N153" s="817" t="n"/>
      <c r="O153" s="815" t="n"/>
    </row>
    <row r="154" ht="13.2" customHeight="1" s="586">
      <c r="A154" s="855" t="n"/>
      <c r="B154" s="856" t="inlineStr">
        <is>
          <t>Vendor Alpha</t>
        </is>
      </c>
      <c r="C154" s="857" t="n"/>
      <c r="D154" s="820" t="n"/>
      <c r="E154" s="821" t="inlineStr">
        <is>
          <t>Month -1</t>
        </is>
      </c>
      <c r="F154" s="821" t="inlineStr">
        <is>
          <t>Month 0</t>
        </is>
      </c>
      <c r="G154" s="821" t="inlineStr">
        <is>
          <t>Month 1</t>
        </is>
      </c>
      <c r="H154" s="822" t="inlineStr">
        <is>
          <t>Month 2</t>
        </is>
      </c>
      <c r="I154" s="822" t="inlineStr">
        <is>
          <t>Month 3</t>
        </is>
      </c>
      <c r="J154" s="822" t="inlineStr">
        <is>
          <t>Month 4</t>
        </is>
      </c>
      <c r="K154" s="822" t="inlineStr">
        <is>
          <t>Month 5</t>
        </is>
      </c>
      <c r="L154" s="822" t="inlineStr">
        <is>
          <t>Month 6</t>
        </is>
      </c>
      <c r="M154" s="822" t="inlineStr">
        <is>
          <t>Month 7</t>
        </is>
      </c>
      <c r="N154" s="822" t="inlineStr">
        <is>
          <t>Month 8</t>
        </is>
      </c>
      <c r="O154" s="822" t="inlineStr">
        <is>
          <t>Month 9</t>
        </is>
      </c>
      <c r="P154" s="822" t="inlineStr">
        <is>
          <t>Month 10</t>
        </is>
      </c>
      <c r="Q154" s="822" t="inlineStr">
        <is>
          <t>Month 11</t>
        </is>
      </c>
      <c r="R154" s="822" t="inlineStr">
        <is>
          <t>Month 12</t>
        </is>
      </c>
      <c r="S154" s="821" t="n"/>
      <c r="T154" s="822" t="inlineStr">
        <is>
          <t>Month 13</t>
        </is>
      </c>
      <c r="U154" s="822" t="inlineStr">
        <is>
          <t>Month 14</t>
        </is>
      </c>
      <c r="V154" s="822" t="inlineStr">
        <is>
          <t>Month 15</t>
        </is>
      </c>
      <c r="W154" s="822" t="inlineStr">
        <is>
          <t>Month 16</t>
        </is>
      </c>
      <c r="X154" s="822" t="inlineStr">
        <is>
          <t>Month 17</t>
        </is>
      </c>
      <c r="Y154" s="822" t="inlineStr">
        <is>
          <t>Month 18</t>
        </is>
      </c>
      <c r="Z154" s="822" t="inlineStr">
        <is>
          <t>Month 19</t>
        </is>
      </c>
      <c r="AA154" s="822" t="inlineStr">
        <is>
          <t>Month 20</t>
        </is>
      </c>
      <c r="AB154" s="822" t="inlineStr">
        <is>
          <t>Month 21</t>
        </is>
      </c>
      <c r="AC154" s="822" t="inlineStr">
        <is>
          <t>Month 22</t>
        </is>
      </c>
      <c r="AD154" s="822" t="inlineStr">
        <is>
          <t>Month 23</t>
        </is>
      </c>
      <c r="AE154" s="822" t="inlineStr">
        <is>
          <t>Month 24</t>
        </is>
      </c>
      <c r="AF154" s="822" t="n"/>
      <c r="AG154" s="822" t="inlineStr">
        <is>
          <t>Month 25</t>
        </is>
      </c>
      <c r="AH154" s="822" t="inlineStr">
        <is>
          <t>Month 26</t>
        </is>
      </c>
      <c r="AI154" s="822" t="inlineStr">
        <is>
          <t>Month 27</t>
        </is>
      </c>
      <c r="AJ154" s="822" t="inlineStr">
        <is>
          <t>Month 28</t>
        </is>
      </c>
      <c r="AK154" s="822" t="inlineStr">
        <is>
          <t>Month 29</t>
        </is>
      </c>
      <c r="AL154" s="822" t="inlineStr">
        <is>
          <t>Month 30</t>
        </is>
      </c>
      <c r="AM154" s="822" t="inlineStr">
        <is>
          <t>Month 31</t>
        </is>
      </c>
      <c r="AN154" s="822" t="inlineStr">
        <is>
          <t>Month 32</t>
        </is>
      </c>
      <c r="AO154" s="822" t="inlineStr">
        <is>
          <t>Month 33</t>
        </is>
      </c>
      <c r="AP154" s="822" t="inlineStr">
        <is>
          <t>Month 34</t>
        </is>
      </c>
      <c r="AQ154" s="822" t="inlineStr">
        <is>
          <t>Month 35</t>
        </is>
      </c>
      <c r="AR154" s="822" t="inlineStr">
        <is>
          <t>Month 36</t>
        </is>
      </c>
      <c r="AS154" s="822" t="n"/>
      <c r="AT154" s="822" t="inlineStr">
        <is>
          <t>Month 37</t>
        </is>
      </c>
      <c r="AU154" s="822" t="inlineStr">
        <is>
          <t>Month 38</t>
        </is>
      </c>
      <c r="AV154" s="822" t="inlineStr">
        <is>
          <t>Month 39</t>
        </is>
      </c>
      <c r="AW154" s="822" t="inlineStr">
        <is>
          <t>Month 40</t>
        </is>
      </c>
      <c r="AX154" s="822" t="inlineStr">
        <is>
          <t>Month 41</t>
        </is>
      </c>
      <c r="AY154" s="822" t="inlineStr">
        <is>
          <t>Month 42</t>
        </is>
      </c>
      <c r="AZ154" s="822" t="inlineStr">
        <is>
          <t>Month 43</t>
        </is>
      </c>
      <c r="BA154" s="822" t="inlineStr">
        <is>
          <t>Month 44</t>
        </is>
      </c>
      <c r="BB154" s="822" t="inlineStr">
        <is>
          <t>Month 45</t>
        </is>
      </c>
      <c r="BC154" s="822" t="inlineStr">
        <is>
          <t>Month 46</t>
        </is>
      </c>
      <c r="BD154" s="822" t="inlineStr">
        <is>
          <t>Month 47</t>
        </is>
      </c>
      <c r="BE154" s="822" t="inlineStr">
        <is>
          <t>Month 48</t>
        </is>
      </c>
      <c r="BF154" s="822" t="n"/>
      <c r="BG154" s="822" t="n"/>
    </row>
    <row r="155" ht="14.4" customHeight="1" s="586">
      <c r="A155" s="858" t="n"/>
      <c r="B155" s="859" t="n"/>
      <c r="C155" s="860" t="n"/>
      <c r="D155" s="824" t="n"/>
      <c r="E155" s="825" t="inlineStr">
        <is>
          <t>FTE's</t>
        </is>
      </c>
      <c r="F155" s="825" t="inlineStr">
        <is>
          <t>FTE's</t>
        </is>
      </c>
      <c r="G155" s="825" t="inlineStr">
        <is>
          <t>FTE's</t>
        </is>
      </c>
      <c r="H155" s="825" t="inlineStr">
        <is>
          <t>FTE's</t>
        </is>
      </c>
      <c r="I155" s="825" t="inlineStr">
        <is>
          <t>FTE's</t>
        </is>
      </c>
      <c r="J155" s="825" t="inlineStr">
        <is>
          <t>FTE's</t>
        </is>
      </c>
      <c r="K155" s="825" t="inlineStr">
        <is>
          <t>FTE's</t>
        </is>
      </c>
      <c r="L155" s="825" t="inlineStr">
        <is>
          <t>FTE's</t>
        </is>
      </c>
      <c r="M155" s="825" t="inlineStr">
        <is>
          <t>FTE's</t>
        </is>
      </c>
      <c r="N155" s="825" t="inlineStr">
        <is>
          <t>FTE's</t>
        </is>
      </c>
      <c r="O155" s="825" t="inlineStr">
        <is>
          <t>FTE's</t>
        </is>
      </c>
      <c r="P155" s="825" t="inlineStr">
        <is>
          <t>FTE's</t>
        </is>
      </c>
      <c r="Q155" s="825" t="inlineStr">
        <is>
          <t>FTE's</t>
        </is>
      </c>
      <c r="R155" s="825" t="inlineStr">
        <is>
          <t>FTE's</t>
        </is>
      </c>
      <c r="S155" s="825" t="n"/>
      <c r="T155" s="825" t="inlineStr">
        <is>
          <t>FTE's</t>
        </is>
      </c>
      <c r="U155" s="825" t="inlineStr">
        <is>
          <t>FTE's</t>
        </is>
      </c>
      <c r="V155" s="825" t="inlineStr">
        <is>
          <t>FTE's</t>
        </is>
      </c>
      <c r="W155" s="825" t="inlineStr">
        <is>
          <t>FTE's</t>
        </is>
      </c>
      <c r="X155" s="825" t="inlineStr">
        <is>
          <t>FTE's</t>
        </is>
      </c>
      <c r="Y155" s="825" t="inlineStr">
        <is>
          <t>FTE's</t>
        </is>
      </c>
      <c r="Z155" s="825" t="inlineStr">
        <is>
          <t>FTE's</t>
        </is>
      </c>
      <c r="AA155" s="825" t="inlineStr">
        <is>
          <t>FTE's</t>
        </is>
      </c>
      <c r="AB155" s="825" t="inlineStr">
        <is>
          <t>FTE's</t>
        </is>
      </c>
      <c r="AC155" s="825" t="inlineStr">
        <is>
          <t>FTE's</t>
        </is>
      </c>
      <c r="AD155" s="825" t="inlineStr">
        <is>
          <t>FTE's</t>
        </is>
      </c>
      <c r="AE155" s="825" t="inlineStr">
        <is>
          <t>FTE's</t>
        </is>
      </c>
      <c r="AF155" s="825" t="n"/>
      <c r="AG155" s="825" t="inlineStr">
        <is>
          <t>FTE's</t>
        </is>
      </c>
      <c r="AH155" s="825" t="inlineStr">
        <is>
          <t>FTE's</t>
        </is>
      </c>
      <c r="AI155" s="825" t="inlineStr">
        <is>
          <t>FTE's</t>
        </is>
      </c>
      <c r="AJ155" s="825" t="inlineStr">
        <is>
          <t>FTE's</t>
        </is>
      </c>
      <c r="AK155" s="825" t="inlineStr">
        <is>
          <t>FTE's</t>
        </is>
      </c>
      <c r="AL155" s="825" t="inlineStr">
        <is>
          <t>FTE's</t>
        </is>
      </c>
      <c r="AM155" s="825" t="inlineStr">
        <is>
          <t>FTE's</t>
        </is>
      </c>
      <c r="AN155" s="825" t="inlineStr">
        <is>
          <t>FTE's</t>
        </is>
      </c>
      <c r="AO155" s="825" t="inlineStr">
        <is>
          <t>FTE's</t>
        </is>
      </c>
      <c r="AP155" s="825" t="inlineStr">
        <is>
          <t>FTE's</t>
        </is>
      </c>
      <c r="AQ155" s="825" t="inlineStr">
        <is>
          <t>FTE's</t>
        </is>
      </c>
      <c r="AR155" s="825" t="inlineStr">
        <is>
          <t>FTE's</t>
        </is>
      </c>
      <c r="AS155" s="825" t="n"/>
      <c r="AT155" s="825" t="inlineStr">
        <is>
          <t>FTE's</t>
        </is>
      </c>
      <c r="AU155" s="825" t="inlineStr">
        <is>
          <t>FTE's</t>
        </is>
      </c>
      <c r="AV155" s="825" t="inlineStr">
        <is>
          <t>FTE's</t>
        </is>
      </c>
      <c r="AW155" s="825" t="inlineStr">
        <is>
          <t>FTE's</t>
        </is>
      </c>
      <c r="AX155" s="825" t="inlineStr">
        <is>
          <t>FTE's</t>
        </is>
      </c>
      <c r="AY155" s="825" t="inlineStr">
        <is>
          <t>FTE's</t>
        </is>
      </c>
      <c r="AZ155" s="825" t="inlineStr">
        <is>
          <t>FTE's</t>
        </is>
      </c>
      <c r="BA155" s="825" t="inlineStr">
        <is>
          <t>FTE's</t>
        </is>
      </c>
      <c r="BB155" s="825" t="inlineStr">
        <is>
          <t>FTE's</t>
        </is>
      </c>
      <c r="BC155" s="825" t="inlineStr">
        <is>
          <t>FTE's</t>
        </is>
      </c>
      <c r="BD155" s="825" t="inlineStr">
        <is>
          <t>FTE's</t>
        </is>
      </c>
      <c r="BE155" s="825" t="inlineStr">
        <is>
          <t>FTE's</t>
        </is>
      </c>
      <c r="BF155" s="825" t="n"/>
      <c r="BG155" s="825" t="n"/>
    </row>
    <row r="156" ht="13.2" customHeight="1" s="586">
      <c r="A156" s="858" t="n"/>
      <c r="B156" s="855" t="n"/>
      <c r="C156" s="862" t="n"/>
      <c r="D156" s="862" t="n"/>
      <c r="E156" s="830" t="n"/>
      <c r="F156" s="830" t="n"/>
      <c r="G156" s="830" t="n"/>
      <c r="H156" s="832" t="n"/>
      <c r="I156" s="832" t="n"/>
      <c r="J156" s="832" t="n"/>
      <c r="K156" s="832" t="n"/>
      <c r="L156" s="832" t="n"/>
      <c r="M156" s="832" t="n"/>
      <c r="N156" s="832" t="n"/>
      <c r="O156" s="832" t="n"/>
      <c r="P156" s="832" t="n"/>
      <c r="Q156" s="832" t="n"/>
      <c r="R156" s="832" t="n"/>
      <c r="S156" s="833" t="n"/>
      <c r="T156" s="832" t="n"/>
      <c r="U156" s="832" t="n"/>
      <c r="V156" s="832" t="n"/>
      <c r="W156" s="832" t="n"/>
      <c r="X156" s="832" t="n"/>
      <c r="Y156" s="832" t="n"/>
      <c r="Z156" s="832" t="n"/>
      <c r="AA156" s="832" t="n"/>
      <c r="AB156" s="832" t="n"/>
      <c r="AC156" s="832" t="n"/>
      <c r="AD156" s="832" t="n"/>
      <c r="AE156" s="832" t="n"/>
      <c r="AF156" s="834" t="n"/>
      <c r="AG156" s="832" t="n"/>
      <c r="AH156" s="832" t="n"/>
      <c r="AI156" s="832" t="n"/>
      <c r="AJ156" s="832" t="n"/>
      <c r="AK156" s="832" t="n"/>
      <c r="AL156" s="832" t="n"/>
      <c r="AM156" s="832" t="n"/>
      <c r="AN156" s="832" t="n"/>
      <c r="AO156" s="832" t="n"/>
      <c r="AP156" s="832" t="n"/>
      <c r="AQ156" s="832" t="n"/>
      <c r="AR156" s="832" t="n"/>
      <c r="AS156" s="834" t="n"/>
      <c r="AT156" s="832" t="n"/>
      <c r="AU156" s="832" t="n"/>
      <c r="AV156" s="832" t="n"/>
      <c r="AW156" s="832" t="n"/>
      <c r="AX156" s="832" t="n"/>
      <c r="AY156" s="832" t="n"/>
      <c r="AZ156" s="832" t="n"/>
      <c r="BA156" s="832" t="n"/>
      <c r="BB156" s="832" t="n"/>
      <c r="BC156" s="832" t="n"/>
      <c r="BD156" s="832" t="n"/>
      <c r="BE156" s="832" t="n"/>
      <c r="BF156" s="834" t="n"/>
      <c r="BG156" s="832" t="n"/>
    </row>
    <row r="157" ht="13.2" customHeight="1" s="586">
      <c r="A157" s="858" t="n"/>
      <c r="B157" s="882" t="inlineStr">
        <is>
          <t>1. From As to Be</t>
        </is>
      </c>
      <c r="C157" s="864" t="inlineStr">
        <is>
          <t xml:space="preserve"> </t>
        </is>
      </c>
      <c r="D157" s="864" t="n"/>
      <c r="E157" s="890" t="n"/>
      <c r="F157" s="890" t="n"/>
      <c r="G157" s="890" t="n"/>
      <c r="H157" s="890" t="n"/>
      <c r="I157" s="890" t="n"/>
      <c r="J157" s="890" t="n">
        <v>18.06</v>
      </c>
      <c r="K157" s="890" t="n">
        <v>21.6</v>
      </c>
      <c r="L157" s="890" t="n">
        <v>24.375</v>
      </c>
      <c r="M157" s="890" t="n">
        <v>19.95</v>
      </c>
      <c r="N157" s="890" t="n">
        <v>14.55</v>
      </c>
      <c r="O157" s="890" t="n">
        <v>11.85</v>
      </c>
      <c r="P157" s="890" t="n">
        <v>0</v>
      </c>
      <c r="Q157" s="890" t="n">
        <v>0</v>
      </c>
      <c r="R157" s="890" t="n">
        <v>0</v>
      </c>
      <c r="S157" s="913" t="n"/>
      <c r="T157" s="914" t="n"/>
      <c r="U157" s="914" t="n"/>
      <c r="V157" s="914" t="n"/>
      <c r="W157" s="914" t="n"/>
      <c r="X157" s="914" t="n"/>
      <c r="Y157" s="914" t="n"/>
      <c r="Z157" s="914" t="n"/>
      <c r="AA157" s="914" t="n"/>
      <c r="AB157" s="914" t="n"/>
      <c r="AC157" s="914" t="n"/>
      <c r="AD157" s="914" t="n"/>
      <c r="AE157" s="914" t="n"/>
      <c r="AF157" s="915" t="n"/>
      <c r="AG157" s="914" t="n"/>
      <c r="AH157" s="914" t="n"/>
      <c r="AI157" s="914" t="n"/>
      <c r="AJ157" s="914" t="n"/>
      <c r="AK157" s="914" t="n"/>
      <c r="AL157" s="914" t="n"/>
      <c r="AM157" s="914" t="n"/>
      <c r="AN157" s="914" t="n"/>
      <c r="AO157" s="914" t="n"/>
      <c r="AP157" s="914" t="n"/>
      <c r="AQ157" s="914" t="n"/>
      <c r="AR157" s="914" t="n"/>
      <c r="AS157" s="915" t="n"/>
      <c r="AT157" s="914" t="n"/>
      <c r="AU157" s="914" t="n"/>
      <c r="AV157" s="914" t="n"/>
      <c r="AW157" s="914" t="n"/>
      <c r="AX157" s="914" t="n"/>
      <c r="AY157" s="914" t="n"/>
      <c r="AZ157" s="914" t="n"/>
      <c r="BA157" s="914" t="n"/>
      <c r="BB157" s="914" t="n"/>
      <c r="BC157" s="914" t="n"/>
      <c r="BD157" s="914" t="n"/>
      <c r="BE157" s="914" t="n"/>
      <c r="BF157" s="915" t="n"/>
      <c r="BG157" s="914" t="n"/>
    </row>
    <row r="158" ht="13.2" customHeight="1" s="586">
      <c r="A158" s="858" t="n"/>
      <c r="B158" s="858" t="inlineStr">
        <is>
          <t>2. Self Service Portal</t>
        </is>
      </c>
      <c r="C158" s="864" t="inlineStr">
        <is>
          <t xml:space="preserve"> </t>
        </is>
      </c>
      <c r="D158" s="864" t="n"/>
      <c r="E158" s="890" t="n">
        <v>0</v>
      </c>
      <c r="F158" s="890" t="n">
        <v>0</v>
      </c>
      <c r="G158" s="890" t="n">
        <v>4.5</v>
      </c>
      <c r="H158" s="890" t="n">
        <v>7.2</v>
      </c>
      <c r="I158" s="890" t="n">
        <v>3</v>
      </c>
      <c r="J158" s="890" t="n">
        <v>7.8</v>
      </c>
      <c r="K158" s="890" t="n">
        <v>6.225</v>
      </c>
      <c r="L158" s="890" t="n">
        <v>6.225</v>
      </c>
      <c r="M158" s="890" t="n">
        <v>9</v>
      </c>
      <c r="N158" s="890" t="n">
        <v>4.2</v>
      </c>
      <c r="O158" s="890" t="n">
        <v>9.6</v>
      </c>
      <c r="P158" s="890" t="n">
        <v>0</v>
      </c>
      <c r="Q158" s="890" t="n">
        <v>0</v>
      </c>
      <c r="R158" s="890" t="n">
        <v>0</v>
      </c>
      <c r="S158" s="913" t="n"/>
      <c r="T158" s="914" t="n"/>
      <c r="U158" s="914" t="n"/>
      <c r="V158" s="914" t="n"/>
      <c r="W158" s="914" t="n"/>
      <c r="X158" s="914" t="n"/>
      <c r="Y158" s="914" t="n"/>
      <c r="Z158" s="914" t="n"/>
      <c r="AA158" s="914" t="n"/>
      <c r="AB158" s="914" t="n"/>
      <c r="AC158" s="914" t="n"/>
      <c r="AD158" s="914" t="n"/>
      <c r="AE158" s="914" t="n"/>
      <c r="AF158" s="915" t="n"/>
      <c r="AG158" s="914" t="n"/>
      <c r="AH158" s="914" t="n"/>
      <c r="AI158" s="914" t="n"/>
      <c r="AJ158" s="914" t="n"/>
      <c r="AK158" s="914" t="n"/>
      <c r="AL158" s="914" t="n"/>
      <c r="AM158" s="914" t="n"/>
      <c r="AN158" s="914" t="n"/>
      <c r="AO158" s="914" t="n"/>
      <c r="AP158" s="914" t="n"/>
      <c r="AQ158" s="914" t="n"/>
      <c r="AR158" s="914" t="n"/>
      <c r="AS158" s="915" t="n"/>
      <c r="AT158" s="914" t="n"/>
      <c r="AU158" s="914" t="n"/>
      <c r="AV158" s="914" t="n"/>
      <c r="AW158" s="914" t="n"/>
      <c r="AX158" s="914" t="n"/>
      <c r="AY158" s="914" t="n"/>
      <c r="AZ158" s="914" t="n"/>
      <c r="BA158" s="914" t="n"/>
      <c r="BB158" s="914" t="n"/>
      <c r="BC158" s="914" t="n"/>
      <c r="BD158" s="914" t="n"/>
      <c r="BE158" s="914" t="n"/>
      <c r="BF158" s="915" t="n"/>
      <c r="BG158" s="914" t="n"/>
    </row>
    <row r="159" ht="13.2" customHeight="1" s="586">
      <c r="A159" s="858" t="n"/>
      <c r="B159" s="858" t="inlineStr">
        <is>
          <t>3. Implement MOM monitoring framework</t>
        </is>
      </c>
      <c r="C159" s="864" t="inlineStr">
        <is>
          <t xml:space="preserve"> </t>
        </is>
      </c>
      <c r="D159" s="864" t="n"/>
      <c r="E159" s="890" t="n">
        <v>0</v>
      </c>
      <c r="F159" s="890" t="n">
        <v>0</v>
      </c>
      <c r="G159" s="890" t="n">
        <v>0</v>
      </c>
      <c r="H159" s="890" t="n">
        <v>1.5</v>
      </c>
      <c r="I159" s="890" t="n">
        <v>2.55</v>
      </c>
      <c r="J159" s="890" t="n">
        <v>2.1</v>
      </c>
      <c r="K159" s="890" t="n">
        <v>1.95</v>
      </c>
      <c r="L159" s="890" t="n">
        <v>2.25</v>
      </c>
      <c r="M159" s="890" t="n">
        <v>1.125</v>
      </c>
      <c r="N159" s="890" t="n">
        <v>0</v>
      </c>
      <c r="O159" s="890" t="n">
        <v>0</v>
      </c>
      <c r="P159" s="890" t="n">
        <v>0</v>
      </c>
      <c r="Q159" s="890" t="n">
        <v>0</v>
      </c>
      <c r="R159" s="890" t="n">
        <v>0</v>
      </c>
      <c r="S159" s="913" t="n"/>
      <c r="T159" s="914" t="n"/>
      <c r="U159" s="914" t="n"/>
      <c r="V159" s="914" t="n"/>
      <c r="W159" s="914" t="n"/>
      <c r="X159" s="914" t="n"/>
      <c r="Y159" s="914" t="n"/>
      <c r="Z159" s="914" t="n"/>
      <c r="AA159" s="914" t="n"/>
      <c r="AB159" s="914" t="n"/>
      <c r="AC159" s="914" t="n"/>
      <c r="AD159" s="914" t="n"/>
      <c r="AE159" s="914" t="n"/>
      <c r="AF159" s="915" t="n"/>
      <c r="AG159" s="914" t="n"/>
      <c r="AH159" s="914" t="n"/>
      <c r="AI159" s="914" t="n"/>
      <c r="AJ159" s="914" t="n"/>
      <c r="AK159" s="914" t="n"/>
      <c r="AL159" s="914" t="n"/>
      <c r="AM159" s="914" t="n"/>
      <c r="AN159" s="914" t="n"/>
      <c r="AO159" s="914" t="n"/>
      <c r="AP159" s="914" t="n"/>
      <c r="AQ159" s="914" t="n"/>
      <c r="AR159" s="914" t="n"/>
      <c r="AS159" s="915" t="n"/>
      <c r="AT159" s="914" t="n"/>
      <c r="AU159" s="914" t="n"/>
      <c r="AV159" s="914" t="n"/>
      <c r="AW159" s="914" t="n"/>
      <c r="AX159" s="914" t="n"/>
      <c r="AY159" s="914" t="n"/>
      <c r="AZ159" s="914" t="n"/>
      <c r="BA159" s="914" t="n"/>
      <c r="BB159" s="914" t="n"/>
      <c r="BC159" s="914" t="n"/>
      <c r="BD159" s="914" t="n"/>
      <c r="BE159" s="914" t="n"/>
      <c r="BF159" s="915" t="n"/>
      <c r="BG159" s="914" t="n"/>
    </row>
    <row r="160" ht="13.2" customHeight="1" s="586">
      <c r="A160" s="858" t="n"/>
      <c r="B160" s="858" t="inlineStr">
        <is>
          <t xml:space="preserve">4. Client Deployment Rework </t>
        </is>
      </c>
      <c r="C160" s="864" t="inlineStr">
        <is>
          <t xml:space="preserve"> </t>
        </is>
      </c>
      <c r="D160" s="864" t="n"/>
      <c r="E160" s="890" t="n">
        <v>0</v>
      </c>
      <c r="F160" s="890" t="n">
        <v>0</v>
      </c>
      <c r="G160" s="890" t="n">
        <v>1.35</v>
      </c>
      <c r="H160" s="890" t="n">
        <v>1.5</v>
      </c>
      <c r="I160" s="890" t="n">
        <v>1.2</v>
      </c>
      <c r="J160" s="890" t="n">
        <v>1.2</v>
      </c>
      <c r="K160" s="890" t="n">
        <v>2.4</v>
      </c>
      <c r="L160" s="890" t="n">
        <v>3.15</v>
      </c>
      <c r="M160" s="890" t="n">
        <v>2.85</v>
      </c>
      <c r="N160" s="890" t="n">
        <v>1.95</v>
      </c>
      <c r="O160" s="890" t="n">
        <v>1.35</v>
      </c>
      <c r="P160" s="890" t="n">
        <v>0.75</v>
      </c>
      <c r="Q160" s="890" t="n">
        <v>1.05</v>
      </c>
      <c r="R160" s="890" t="n">
        <v>0</v>
      </c>
      <c r="S160" s="913" t="n"/>
      <c r="T160" s="914" t="n"/>
      <c r="U160" s="914" t="n"/>
      <c r="V160" s="914" t="n"/>
      <c r="W160" s="914" t="n"/>
      <c r="X160" s="914" t="n"/>
      <c r="Y160" s="914" t="n"/>
      <c r="Z160" s="914" t="n"/>
      <c r="AA160" s="914" t="n"/>
      <c r="AB160" s="914" t="n"/>
      <c r="AC160" s="914" t="n"/>
      <c r="AD160" s="914" t="n"/>
      <c r="AE160" s="914" t="n"/>
      <c r="AF160" s="915" t="n"/>
      <c r="AG160" s="914" t="n"/>
      <c r="AH160" s="914" t="n"/>
      <c r="AI160" s="914" t="n"/>
      <c r="AJ160" s="914" t="n"/>
      <c r="AK160" s="914" t="n"/>
      <c r="AL160" s="914" t="n"/>
      <c r="AM160" s="914" t="n"/>
      <c r="AN160" s="914" t="n"/>
      <c r="AO160" s="914" t="n"/>
      <c r="AP160" s="914" t="n"/>
      <c r="AQ160" s="914" t="n"/>
      <c r="AR160" s="914" t="n"/>
      <c r="AS160" s="915" t="n"/>
      <c r="AT160" s="914" t="n"/>
      <c r="AU160" s="914" t="n"/>
      <c r="AV160" s="914" t="n"/>
      <c r="AW160" s="914" t="n"/>
      <c r="AX160" s="914" t="n"/>
      <c r="AY160" s="914" t="n"/>
      <c r="AZ160" s="914" t="n"/>
      <c r="BA160" s="914" t="n"/>
      <c r="BB160" s="914" t="n"/>
      <c r="BC160" s="914" t="n"/>
      <c r="BD160" s="914" t="n"/>
      <c r="BE160" s="914" t="n"/>
      <c r="BF160" s="915" t="n"/>
      <c r="BG160" s="914" t="n"/>
    </row>
    <row r="161" ht="13.2" customHeight="1" s="586">
      <c r="A161" s="858" t="n"/>
      <c r="B161" s="858" t="inlineStr">
        <is>
          <t>5. Integrate Metadirectory with Neptune services</t>
        </is>
      </c>
      <c r="C161" s="864" t="n"/>
      <c r="D161" s="864" t="n"/>
      <c r="E161" s="890" t="n">
        <v>0</v>
      </c>
      <c r="F161" s="890" t="n">
        <v>0</v>
      </c>
      <c r="G161" s="890" t="n">
        <v>1.35</v>
      </c>
      <c r="H161" s="890" t="n">
        <v>1.5</v>
      </c>
      <c r="I161" s="890" t="n">
        <v>1.05</v>
      </c>
      <c r="J161" s="890" t="n">
        <v>1.2</v>
      </c>
      <c r="K161" s="890" t="n">
        <v>1.05</v>
      </c>
      <c r="L161" s="890" t="n">
        <v>1.5</v>
      </c>
      <c r="M161" s="890" t="n">
        <v>1.2</v>
      </c>
      <c r="N161" s="890" t="n">
        <v>1.2</v>
      </c>
      <c r="O161" s="890" t="n">
        <v>1.05</v>
      </c>
      <c r="P161" s="890" t="n">
        <v>0</v>
      </c>
      <c r="Q161" s="890" t="n">
        <v>0</v>
      </c>
      <c r="R161" s="890" t="n">
        <v>0</v>
      </c>
      <c r="S161" s="913" t="n"/>
      <c r="T161" s="914" t="n"/>
      <c r="U161" s="914" t="n"/>
      <c r="V161" s="914" t="n"/>
      <c r="W161" s="914" t="n"/>
      <c r="X161" s="914" t="n"/>
      <c r="Y161" s="914" t="n"/>
      <c r="Z161" s="914" t="n"/>
      <c r="AA161" s="914" t="n"/>
      <c r="AB161" s="914" t="n"/>
      <c r="AC161" s="914" t="n"/>
      <c r="AD161" s="914" t="n"/>
      <c r="AE161" s="914" t="n"/>
      <c r="AF161" s="915" t="n"/>
      <c r="AG161" s="914" t="n"/>
      <c r="AH161" s="914" t="n"/>
      <c r="AI161" s="914" t="n"/>
      <c r="AJ161" s="914" t="n"/>
      <c r="AK161" s="914" t="n"/>
      <c r="AL161" s="914" t="n"/>
      <c r="AM161" s="914" t="n"/>
      <c r="AN161" s="914" t="n"/>
      <c r="AO161" s="914" t="n"/>
      <c r="AP161" s="914" t="n"/>
      <c r="AQ161" s="914" t="n"/>
      <c r="AR161" s="914" t="n"/>
      <c r="AS161" s="915" t="n"/>
      <c r="AT161" s="914" t="n"/>
      <c r="AU161" s="914" t="n"/>
      <c r="AV161" s="914" t="n"/>
      <c r="AW161" s="914" t="n"/>
      <c r="AX161" s="914" t="n"/>
      <c r="AY161" s="914" t="n"/>
      <c r="AZ161" s="914" t="n"/>
      <c r="BA161" s="914" t="n"/>
      <c r="BB161" s="914" t="n"/>
      <c r="BC161" s="914" t="n"/>
      <c r="BD161" s="914" t="n"/>
      <c r="BE161" s="914" t="n"/>
      <c r="BF161" s="915" t="n"/>
      <c r="BG161" s="914" t="n"/>
    </row>
    <row r="162" ht="13.2" customHeight="1" s="586">
      <c r="A162" s="858" t="n"/>
      <c r="B162" s="858" t="inlineStr">
        <is>
          <t>6. Introduction of Vista</t>
        </is>
      </c>
      <c r="C162" s="864" t="n"/>
      <c r="D162" s="864" t="n"/>
      <c r="E162" s="890" t="n">
        <v>0</v>
      </c>
      <c r="F162" s="890" t="n">
        <v>0</v>
      </c>
      <c r="G162" s="890" t="n">
        <v>0</v>
      </c>
      <c r="H162" s="890" t="n">
        <v>0</v>
      </c>
      <c r="I162" s="890" t="n">
        <v>0</v>
      </c>
      <c r="J162" s="890" t="n">
        <v>0</v>
      </c>
      <c r="K162" s="890" t="n">
        <v>0</v>
      </c>
      <c r="L162" s="890" t="n">
        <v>0</v>
      </c>
      <c r="M162" s="890" t="n">
        <v>0</v>
      </c>
      <c r="N162" s="890" t="n">
        <v>0</v>
      </c>
      <c r="O162" s="890" t="n">
        <v>0</v>
      </c>
      <c r="P162" s="890" t="n">
        <v>1.35</v>
      </c>
      <c r="Q162" s="890" t="n">
        <v>4.5</v>
      </c>
      <c r="R162" s="890" t="n">
        <v>3.6</v>
      </c>
      <c r="S162" s="913" t="n"/>
      <c r="T162" s="890" t="n">
        <v>2.4</v>
      </c>
      <c r="U162" s="890" t="n">
        <v>6.3</v>
      </c>
      <c r="V162" s="890" t="n"/>
      <c r="W162" s="914" t="n"/>
      <c r="X162" s="914" t="n"/>
      <c r="Y162" s="914" t="n"/>
      <c r="Z162" s="914" t="n"/>
      <c r="AA162" s="914" t="n"/>
      <c r="AB162" s="914" t="n"/>
      <c r="AC162" s="914" t="n"/>
      <c r="AD162" s="914" t="n"/>
      <c r="AE162" s="914" t="n"/>
      <c r="AF162" s="915" t="n"/>
      <c r="AG162" s="914" t="n"/>
      <c r="AH162" s="914" t="n"/>
      <c r="AI162" s="914" t="n"/>
      <c r="AJ162" s="914" t="n"/>
      <c r="AK162" s="914" t="n"/>
      <c r="AL162" s="914" t="n"/>
      <c r="AM162" s="914" t="n"/>
      <c r="AN162" s="914" t="n"/>
      <c r="AO162" s="914" t="n"/>
      <c r="AP162" s="914" t="n"/>
      <c r="AQ162" s="914" t="n"/>
      <c r="AR162" s="914" t="n"/>
      <c r="AS162" s="915" t="n"/>
      <c r="AT162" s="914" t="n"/>
      <c r="AU162" s="914" t="n"/>
      <c r="AV162" s="914" t="n"/>
      <c r="AW162" s="914" t="n"/>
      <c r="AX162" s="914" t="n"/>
      <c r="AY162" s="914" t="n"/>
      <c r="AZ162" s="914" t="n"/>
      <c r="BA162" s="914" t="n"/>
      <c r="BB162" s="914" t="n"/>
      <c r="BC162" s="914" t="n"/>
      <c r="BD162" s="914" t="n"/>
      <c r="BE162" s="914" t="n"/>
      <c r="BF162" s="915" t="n"/>
      <c r="BG162" s="914" t="n"/>
    </row>
    <row r="163" ht="13.2" customHeight="1" s="586">
      <c r="A163" s="858" t="n"/>
      <c r="B163" s="858" t="inlineStr">
        <is>
          <t>7. User Self Restore</t>
        </is>
      </c>
      <c r="C163" s="864" t="inlineStr">
        <is>
          <t xml:space="preserve"> </t>
        </is>
      </c>
      <c r="D163" s="864" t="n"/>
      <c r="E163" s="890" t="n">
        <v>0</v>
      </c>
      <c r="F163" s="890" t="n">
        <v>0</v>
      </c>
      <c r="G163" s="890" t="n">
        <v>0</v>
      </c>
      <c r="H163" s="890" t="n">
        <v>0</v>
      </c>
      <c r="I163" s="890" t="n">
        <v>0</v>
      </c>
      <c r="J163" s="890" t="n">
        <v>0</v>
      </c>
      <c r="K163" s="890" t="n">
        <v>0</v>
      </c>
      <c r="L163" s="890" t="n">
        <v>0</v>
      </c>
      <c r="M163" s="890" t="n">
        <v>0</v>
      </c>
      <c r="N163" s="890" t="n">
        <v>0</v>
      </c>
      <c r="O163" s="890" t="n">
        <v>0</v>
      </c>
      <c r="P163" s="890" t="n">
        <v>0</v>
      </c>
      <c r="Q163" s="890" t="n">
        <v>0</v>
      </c>
      <c r="R163" s="890" t="n">
        <v>0</v>
      </c>
      <c r="S163" s="913" t="n"/>
      <c r="T163" s="914" t="n"/>
      <c r="U163" s="914" t="n"/>
      <c r="V163" s="914" t="n"/>
      <c r="W163" s="914" t="n"/>
      <c r="X163" s="914" t="n"/>
      <c r="Y163" s="914" t="n"/>
      <c r="Z163" s="914" t="n"/>
      <c r="AA163" s="914" t="n"/>
      <c r="AB163" s="914" t="n"/>
      <c r="AC163" s="914" t="n"/>
      <c r="AD163" s="914" t="n"/>
      <c r="AE163" s="914" t="n"/>
      <c r="AF163" s="915" t="n"/>
      <c r="AG163" s="914" t="n"/>
      <c r="AH163" s="914" t="n"/>
      <c r="AI163" s="914" t="n"/>
      <c r="AJ163" s="914" t="n"/>
      <c r="AK163" s="914" t="n"/>
      <c r="AL163" s="914" t="n"/>
      <c r="AM163" s="914" t="n"/>
      <c r="AN163" s="914" t="n"/>
      <c r="AO163" s="914" t="n"/>
      <c r="AP163" s="914" t="n"/>
      <c r="AQ163" s="914" t="n"/>
      <c r="AR163" s="914" t="n"/>
      <c r="AS163" s="915" t="n"/>
      <c r="AT163" s="914" t="n"/>
      <c r="AU163" s="914" t="n"/>
      <c r="AV163" s="914" t="n"/>
      <c r="AW163" s="914" t="n"/>
      <c r="AX163" s="914" t="n"/>
      <c r="AY163" s="914" t="n"/>
      <c r="AZ163" s="914" t="n"/>
      <c r="BA163" s="914" t="n"/>
      <c r="BB163" s="914" t="n"/>
      <c r="BC163" s="914" t="n"/>
      <c r="BD163" s="914" t="n"/>
      <c r="BE163" s="914" t="n"/>
      <c r="BF163" s="915" t="n"/>
      <c r="BG163" s="914" t="n"/>
    </row>
    <row r="164" ht="13.2" customHeight="1" s="586">
      <c r="A164" s="858" t="n"/>
      <c r="B164" s="858" t="inlineStr">
        <is>
          <t>8. Distributed File system</t>
        </is>
      </c>
      <c r="C164" s="864" t="inlineStr">
        <is>
          <t xml:space="preserve"> </t>
        </is>
      </c>
      <c r="D164" s="864" t="n"/>
      <c r="E164" s="890" t="n">
        <v>0</v>
      </c>
      <c r="F164" s="890" t="n">
        <v>0</v>
      </c>
      <c r="G164" s="890" t="n">
        <v>0</v>
      </c>
      <c r="H164" s="890" t="n">
        <v>0</v>
      </c>
      <c r="I164" s="890" t="n">
        <v>0</v>
      </c>
      <c r="J164" s="890" t="n">
        <v>0</v>
      </c>
      <c r="K164" s="890" t="n">
        <v>0</v>
      </c>
      <c r="L164" s="890" t="n">
        <v>0</v>
      </c>
      <c r="M164" s="890" t="n">
        <v>0</v>
      </c>
      <c r="N164" s="890" t="n">
        <v>0</v>
      </c>
      <c r="O164" s="890" t="n">
        <v>0</v>
      </c>
      <c r="P164" s="890" t="n">
        <v>0</v>
      </c>
      <c r="Q164" s="890" t="n">
        <v>0</v>
      </c>
      <c r="R164" s="890" t="n">
        <v>0</v>
      </c>
      <c r="S164" s="913" t="n"/>
      <c r="T164" s="914" t="n"/>
      <c r="U164" s="914" t="n"/>
      <c r="V164" s="914" t="n"/>
      <c r="W164" s="914" t="n"/>
      <c r="X164" s="914" t="n"/>
      <c r="Y164" s="914" t="n"/>
      <c r="Z164" s="914" t="n"/>
      <c r="AA164" s="914" t="n"/>
      <c r="AB164" s="914" t="n"/>
      <c r="AC164" s="914" t="n"/>
      <c r="AD164" s="914" t="n"/>
      <c r="AE164" s="914" t="n"/>
      <c r="AF164" s="915" t="n"/>
      <c r="AG164" s="914" t="n"/>
      <c r="AH164" s="914" t="n"/>
      <c r="AI164" s="914" t="n"/>
      <c r="AJ164" s="914" t="n"/>
      <c r="AK164" s="914" t="n"/>
      <c r="AL164" s="914" t="n"/>
      <c r="AM164" s="914" t="n"/>
      <c r="AN164" s="914" t="n"/>
      <c r="AO164" s="914" t="n"/>
      <c r="AP164" s="914" t="n"/>
      <c r="AQ164" s="914" t="n"/>
      <c r="AR164" s="914" t="n"/>
      <c r="AS164" s="915" t="n"/>
      <c r="AT164" s="914" t="n"/>
      <c r="AU164" s="914" t="n"/>
      <c r="AV164" s="914" t="n"/>
      <c r="AW164" s="914" t="n"/>
      <c r="AX164" s="914" t="n"/>
      <c r="AY164" s="914" t="n"/>
      <c r="AZ164" s="914" t="n"/>
      <c r="BA164" s="914" t="n"/>
      <c r="BB164" s="914" t="n"/>
      <c r="BC164" s="914" t="n"/>
      <c r="BD164" s="914" t="n"/>
      <c r="BE164" s="914" t="n"/>
      <c r="BF164" s="915" t="n"/>
      <c r="BG164" s="914" t="n"/>
    </row>
    <row r="165" ht="13.8" customHeight="1" s="586">
      <c r="A165" s="858" t="n"/>
      <c r="B165" s="885" t="n"/>
      <c r="C165" s="868" t="inlineStr">
        <is>
          <t xml:space="preserve"> </t>
        </is>
      </c>
      <c r="D165" s="868" t="n"/>
      <c r="E165" s="891" t="n"/>
      <c r="F165" s="891" t="n"/>
      <c r="G165" s="891" t="n"/>
      <c r="H165" s="891" t="n"/>
      <c r="I165" s="891" t="n"/>
      <c r="J165" s="891" t="n"/>
      <c r="K165" s="891" t="n"/>
      <c r="L165" s="891" t="n"/>
      <c r="M165" s="891" t="n"/>
      <c r="N165" s="891" t="n"/>
      <c r="O165" s="891" t="n"/>
      <c r="P165" s="891" t="n"/>
      <c r="Q165" s="891" t="n"/>
      <c r="R165" s="891" t="n"/>
      <c r="S165" s="916" t="n"/>
      <c r="T165" s="917" t="n"/>
      <c r="U165" s="917" t="n"/>
      <c r="V165" s="917" t="n"/>
      <c r="W165" s="917" t="n"/>
      <c r="X165" s="917" t="n"/>
      <c r="Y165" s="917" t="n"/>
      <c r="Z165" s="917" t="n"/>
      <c r="AA165" s="917" t="n"/>
      <c r="AB165" s="917" t="n"/>
      <c r="AC165" s="917" t="n"/>
      <c r="AD165" s="917" t="n"/>
      <c r="AE165" s="917" t="n"/>
      <c r="AF165" s="918" t="n"/>
      <c r="AG165" s="917" t="n"/>
      <c r="AH165" s="917" t="n"/>
      <c r="AI165" s="917" t="n"/>
      <c r="AJ165" s="917" t="n"/>
      <c r="AK165" s="917" t="n"/>
      <c r="AL165" s="917" t="n"/>
      <c r="AM165" s="917" t="n"/>
      <c r="AN165" s="917" t="n"/>
      <c r="AO165" s="917" t="n"/>
      <c r="AP165" s="917" t="n"/>
      <c r="AQ165" s="917" t="n"/>
      <c r="AR165" s="917" t="n"/>
      <c r="AS165" s="918" t="n"/>
      <c r="AT165" s="917" t="n"/>
      <c r="AU165" s="917" t="n"/>
      <c r="AV165" s="917" t="n"/>
      <c r="AW165" s="917" t="n"/>
      <c r="AX165" s="917" t="n"/>
      <c r="AY165" s="917" t="n"/>
      <c r="AZ165" s="917" t="n"/>
      <c r="BA165" s="917" t="n"/>
      <c r="BB165" s="917" t="n"/>
      <c r="BC165" s="917" t="n"/>
      <c r="BD165" s="917" t="n"/>
      <c r="BE165" s="917" t="n"/>
      <c r="BF165" s="918" t="n"/>
      <c r="BG165" s="917" t="n"/>
    </row>
    <row r="166" ht="13.8" customHeight="1" s="586">
      <c r="A166" s="849" t="n"/>
      <c r="B166" s="871" t="inlineStr">
        <is>
          <t>TOTAL</t>
        </is>
      </c>
      <c r="C166" s="872" t="n"/>
      <c r="D166" s="872" t="n"/>
      <c r="E166" s="904" t="n">
        <v>0</v>
      </c>
      <c r="F166" s="904" t="n">
        <v>0</v>
      </c>
      <c r="G166" s="904" t="n">
        <v>7.2</v>
      </c>
      <c r="H166" s="904" t="n">
        <v>11.7</v>
      </c>
      <c r="I166" s="904" t="n">
        <v>7.8</v>
      </c>
      <c r="J166" s="904" t="n">
        <v>30.36</v>
      </c>
      <c r="K166" s="904" t="n">
        <v>33.225</v>
      </c>
      <c r="L166" s="904" t="n">
        <v>37.5</v>
      </c>
      <c r="M166" s="904" t="n">
        <v>34.125</v>
      </c>
      <c r="N166" s="904" t="n">
        <v>21.9</v>
      </c>
      <c r="O166" s="904" t="n">
        <v>23.85</v>
      </c>
      <c r="P166" s="904" t="n">
        <v>2.1</v>
      </c>
      <c r="Q166" s="904" t="n">
        <v>5.55</v>
      </c>
      <c r="R166" s="904" t="n">
        <v>3.6</v>
      </c>
      <c r="S166" s="904" t="n"/>
      <c r="T166" s="904" t="n">
        <v>2.4</v>
      </c>
      <c r="U166" s="904" t="n">
        <v>6.3</v>
      </c>
      <c r="V166" s="904" t="n">
        <v>0</v>
      </c>
      <c r="W166" s="904" t="n">
        <v>0</v>
      </c>
      <c r="X166" s="904" t="n">
        <v>0</v>
      </c>
      <c r="Y166" s="904" t="n">
        <v>0</v>
      </c>
      <c r="Z166" s="904" t="n">
        <v>0</v>
      </c>
      <c r="AA166" s="904" t="n">
        <v>0</v>
      </c>
      <c r="AB166" s="904" t="n">
        <v>0</v>
      </c>
      <c r="AC166" s="904" t="n">
        <v>0</v>
      </c>
      <c r="AD166" s="904" t="n">
        <v>0</v>
      </c>
      <c r="AE166" s="904" t="n">
        <v>0</v>
      </c>
      <c r="AF166" s="904" t="n"/>
      <c r="AG166" s="904" t="n">
        <v>0</v>
      </c>
      <c r="AH166" s="904" t="n">
        <v>0</v>
      </c>
      <c r="AI166" s="904" t="n">
        <v>0</v>
      </c>
      <c r="AJ166" s="904" t="n">
        <v>0</v>
      </c>
      <c r="AK166" s="904" t="n">
        <v>0</v>
      </c>
      <c r="AL166" s="904" t="n">
        <v>0</v>
      </c>
      <c r="AM166" s="904" t="n">
        <v>0</v>
      </c>
      <c r="AN166" s="904" t="n">
        <v>0</v>
      </c>
      <c r="AO166" s="904" t="n">
        <v>0</v>
      </c>
      <c r="AP166" s="904" t="n">
        <v>0</v>
      </c>
      <c r="AQ166" s="904" t="n">
        <v>0</v>
      </c>
      <c r="AR166" s="904" t="n">
        <v>0</v>
      </c>
      <c r="AS166" s="904" t="n"/>
      <c r="AT166" s="904" t="n">
        <v>0</v>
      </c>
      <c r="AU166" s="904" t="n">
        <v>0</v>
      </c>
      <c r="AV166" s="904" t="n">
        <v>0</v>
      </c>
      <c r="AW166" s="904" t="n">
        <v>0</v>
      </c>
      <c r="AX166" s="904" t="n">
        <v>0</v>
      </c>
      <c r="AY166" s="904" t="n">
        <v>0</v>
      </c>
      <c r="AZ166" s="904" t="n">
        <v>0</v>
      </c>
      <c r="BA166" s="904" t="n">
        <v>0</v>
      </c>
      <c r="BB166" s="904" t="n">
        <v>0</v>
      </c>
      <c r="BC166" s="904" t="n">
        <v>0</v>
      </c>
      <c r="BD166" s="904" t="n">
        <v>0</v>
      </c>
      <c r="BE166" s="904" t="n">
        <v>0</v>
      </c>
      <c r="BF166" s="904" t="n"/>
      <c r="BG166" s="919" t="n"/>
    </row>
    <row r="167"/>
    <row r="168" ht="13.8" customHeight="1" s="586">
      <c r="B168" s="813" t="n"/>
      <c r="D168" s="905" t="n"/>
      <c r="E168" s="906" t="n"/>
      <c r="F168" s="906" t="n"/>
      <c r="G168" s="907" t="n"/>
      <c r="H168" s="906" t="n"/>
      <c r="I168" s="815" t="inlineStr">
        <is>
          <t>Transformation</t>
        </is>
      </c>
      <c r="J168" s="907" t="n"/>
      <c r="K168" s="817" t="n"/>
      <c r="L168" s="815" t="n"/>
      <c r="M168" s="815" t="n"/>
      <c r="N168" s="817" t="n"/>
      <c r="O168" s="815" t="n"/>
    </row>
    <row r="169" ht="13.2" customHeight="1" s="586">
      <c r="B169" s="819" t="inlineStr">
        <is>
          <t>Vendor Gamma</t>
        </is>
      </c>
      <c r="C169" s="820" t="n"/>
      <c r="D169" s="820" t="inlineStr">
        <is>
          <t>Month -2</t>
        </is>
      </c>
      <c r="E169" s="821" t="inlineStr">
        <is>
          <t>Month -1</t>
        </is>
      </c>
      <c r="F169" s="821" t="inlineStr">
        <is>
          <t>Month 0</t>
        </is>
      </c>
      <c r="G169" s="821" t="inlineStr">
        <is>
          <t>Month 1</t>
        </is>
      </c>
      <c r="H169" s="822" t="inlineStr">
        <is>
          <t>Month 2</t>
        </is>
      </c>
      <c r="I169" s="822" t="inlineStr">
        <is>
          <t>Month 3</t>
        </is>
      </c>
      <c r="J169" s="822" t="inlineStr">
        <is>
          <t>Month 4</t>
        </is>
      </c>
      <c r="K169" s="822" t="inlineStr">
        <is>
          <t>Month 5</t>
        </is>
      </c>
      <c r="L169" s="822" t="inlineStr">
        <is>
          <t>Month 6</t>
        </is>
      </c>
      <c r="M169" s="822" t="inlineStr">
        <is>
          <t>Month 7</t>
        </is>
      </c>
      <c r="N169" s="822" t="inlineStr">
        <is>
          <t>Month 8</t>
        </is>
      </c>
      <c r="O169" s="822" t="inlineStr">
        <is>
          <t>Month 9</t>
        </is>
      </c>
      <c r="P169" s="822" t="inlineStr">
        <is>
          <t>Month 10</t>
        </is>
      </c>
      <c r="Q169" s="822" t="inlineStr">
        <is>
          <t>Month 11</t>
        </is>
      </c>
      <c r="R169" s="822" t="inlineStr">
        <is>
          <t>Month 12</t>
        </is>
      </c>
      <c r="S169" s="821" t="inlineStr">
        <is>
          <t>Year 1</t>
        </is>
      </c>
      <c r="T169" s="822" t="inlineStr">
        <is>
          <t>Month 13</t>
        </is>
      </c>
      <c r="U169" s="822" t="inlineStr">
        <is>
          <t>Month 14</t>
        </is>
      </c>
      <c r="V169" s="822" t="inlineStr">
        <is>
          <t>Month 15</t>
        </is>
      </c>
      <c r="W169" s="822" t="inlineStr">
        <is>
          <t>Month 16</t>
        </is>
      </c>
      <c r="X169" s="822" t="inlineStr">
        <is>
          <t>Month 17</t>
        </is>
      </c>
      <c r="Y169" s="822" t="inlineStr">
        <is>
          <t>Month 18</t>
        </is>
      </c>
      <c r="Z169" s="822" t="inlineStr">
        <is>
          <t>Month 19</t>
        </is>
      </c>
      <c r="AA169" s="822" t="inlineStr">
        <is>
          <t>Month 20</t>
        </is>
      </c>
      <c r="AB169" s="822" t="inlineStr">
        <is>
          <t>Month 21</t>
        </is>
      </c>
      <c r="AC169" s="822" t="inlineStr">
        <is>
          <t>Month 22</t>
        </is>
      </c>
      <c r="AD169" s="822" t="inlineStr">
        <is>
          <t>Month 23</t>
        </is>
      </c>
      <c r="AE169" s="822" t="inlineStr">
        <is>
          <t>Month 24</t>
        </is>
      </c>
      <c r="AF169" s="822" t="inlineStr">
        <is>
          <t>Year 2</t>
        </is>
      </c>
      <c r="AG169" s="822" t="inlineStr">
        <is>
          <t>Month 25</t>
        </is>
      </c>
      <c r="AH169" s="822" t="inlineStr">
        <is>
          <t>Month 26</t>
        </is>
      </c>
      <c r="AI169" s="822" t="inlineStr">
        <is>
          <t>Month 27</t>
        </is>
      </c>
      <c r="AJ169" s="822" t="inlineStr">
        <is>
          <t>Month 28</t>
        </is>
      </c>
      <c r="AK169" s="822" t="inlineStr">
        <is>
          <t>Month 29</t>
        </is>
      </c>
      <c r="AL169" s="822" t="inlineStr">
        <is>
          <t>Month 30</t>
        </is>
      </c>
      <c r="AM169" s="822" t="inlineStr">
        <is>
          <t>Month 31</t>
        </is>
      </c>
      <c r="AN169" s="822" t="inlineStr">
        <is>
          <t>Month 32</t>
        </is>
      </c>
      <c r="AO169" s="822" t="inlineStr">
        <is>
          <t>Month 33</t>
        </is>
      </c>
      <c r="AP169" s="822" t="inlineStr">
        <is>
          <t>Month 34</t>
        </is>
      </c>
      <c r="AQ169" s="822" t="inlineStr">
        <is>
          <t>Month 35</t>
        </is>
      </c>
      <c r="AR169" s="822" t="inlineStr">
        <is>
          <t>Month 36</t>
        </is>
      </c>
      <c r="AS169" s="822" t="inlineStr">
        <is>
          <t>Year 3</t>
        </is>
      </c>
      <c r="AT169" s="822" t="inlineStr">
        <is>
          <t>Month 37</t>
        </is>
      </c>
      <c r="AU169" s="822" t="inlineStr">
        <is>
          <t>Month 38</t>
        </is>
      </c>
      <c r="AV169" s="822" t="inlineStr">
        <is>
          <t>Month 39</t>
        </is>
      </c>
      <c r="AW169" s="822" t="inlineStr">
        <is>
          <t>Month 40</t>
        </is>
      </c>
      <c r="AX169" s="822" t="inlineStr">
        <is>
          <t>Month 41</t>
        </is>
      </c>
      <c r="AY169" s="822" t="inlineStr">
        <is>
          <t>Month 42</t>
        </is>
      </c>
      <c r="AZ169" s="822" t="inlineStr">
        <is>
          <t>Month 43</t>
        </is>
      </c>
      <c r="BA169" s="822" t="inlineStr">
        <is>
          <t>Month 44</t>
        </is>
      </c>
      <c r="BB169" s="822" t="inlineStr">
        <is>
          <t>Month 45</t>
        </is>
      </c>
      <c r="BC169" s="822" t="inlineStr">
        <is>
          <t>Month 46</t>
        </is>
      </c>
      <c r="BD169" s="822" t="inlineStr">
        <is>
          <t>Month 47</t>
        </is>
      </c>
      <c r="BE169" s="822" t="inlineStr">
        <is>
          <t>Month 48</t>
        </is>
      </c>
      <c r="BF169" s="822" t="inlineStr">
        <is>
          <t>Year 4</t>
        </is>
      </c>
      <c r="BG169" s="821" t="inlineStr">
        <is>
          <t>Total</t>
        </is>
      </c>
    </row>
    <row r="170" ht="14.4" customHeight="1" s="586">
      <c r="B170" s="823" t="n"/>
      <c r="C170" s="824" t="n"/>
      <c r="D170" s="824" t="inlineStr">
        <is>
          <t>(Euro)</t>
        </is>
      </c>
      <c r="E170" s="825" t="inlineStr">
        <is>
          <t>(Euro)</t>
        </is>
      </c>
      <c r="F170" s="825" t="inlineStr">
        <is>
          <t>(Euro)</t>
        </is>
      </c>
      <c r="G170" s="825" t="inlineStr">
        <is>
          <t>(Euro)</t>
        </is>
      </c>
      <c r="H170" s="826" t="inlineStr">
        <is>
          <t>(Euro)</t>
        </is>
      </c>
      <c r="I170" s="826" t="inlineStr">
        <is>
          <t>(Euro)</t>
        </is>
      </c>
      <c r="J170" s="826" t="inlineStr">
        <is>
          <t>(Euro)</t>
        </is>
      </c>
      <c r="K170" s="826" t="inlineStr">
        <is>
          <t>(Euro)</t>
        </is>
      </c>
      <c r="L170" s="826" t="inlineStr">
        <is>
          <t>(Euro)</t>
        </is>
      </c>
      <c r="M170" s="826" t="inlineStr">
        <is>
          <t>(Euro)</t>
        </is>
      </c>
      <c r="N170" s="826" t="inlineStr">
        <is>
          <t>(Euro)</t>
        </is>
      </c>
      <c r="O170" s="826" t="inlineStr">
        <is>
          <t>(Euro)</t>
        </is>
      </c>
      <c r="P170" s="826" t="inlineStr">
        <is>
          <t>(Euro)</t>
        </is>
      </c>
      <c r="Q170" s="826" t="inlineStr">
        <is>
          <t>(Euro)</t>
        </is>
      </c>
      <c r="R170" s="826" t="inlineStr">
        <is>
          <t>(Euro)</t>
        </is>
      </c>
      <c r="S170" s="825" t="inlineStr">
        <is>
          <t>(Euro)</t>
        </is>
      </c>
      <c r="T170" s="826" t="inlineStr">
        <is>
          <t>(Euro)</t>
        </is>
      </c>
      <c r="U170" s="826" t="inlineStr">
        <is>
          <t>(Euro)</t>
        </is>
      </c>
      <c r="V170" s="826" t="inlineStr">
        <is>
          <t>(Euro)</t>
        </is>
      </c>
      <c r="W170" s="826" t="inlineStr">
        <is>
          <t>(Euro)</t>
        </is>
      </c>
      <c r="X170" s="826" t="inlineStr">
        <is>
          <t>(Euro)</t>
        </is>
      </c>
      <c r="Y170" s="826" t="inlineStr">
        <is>
          <t>(Euro)</t>
        </is>
      </c>
      <c r="Z170" s="826" t="inlineStr">
        <is>
          <t>(Euro)</t>
        </is>
      </c>
      <c r="AA170" s="826" t="inlineStr">
        <is>
          <t>(Euro)</t>
        </is>
      </c>
      <c r="AB170" s="826" t="inlineStr">
        <is>
          <t>(Euro)</t>
        </is>
      </c>
      <c r="AC170" s="826" t="inlineStr">
        <is>
          <t>(Euro)</t>
        </is>
      </c>
      <c r="AD170" s="826" t="inlineStr">
        <is>
          <t>(Euro)</t>
        </is>
      </c>
      <c r="AE170" s="826" t="inlineStr">
        <is>
          <t>(Euro)</t>
        </is>
      </c>
      <c r="AF170" s="826" t="inlineStr">
        <is>
          <t>(Euro)</t>
        </is>
      </c>
      <c r="AG170" s="826" t="inlineStr">
        <is>
          <t>(Euro)</t>
        </is>
      </c>
      <c r="AH170" s="826" t="inlineStr">
        <is>
          <t>(Euro)</t>
        </is>
      </c>
      <c r="AI170" s="826" t="inlineStr">
        <is>
          <t>(Euro)</t>
        </is>
      </c>
      <c r="AJ170" s="826" t="inlineStr">
        <is>
          <t>(Euro)</t>
        </is>
      </c>
      <c r="AK170" s="826" t="inlineStr">
        <is>
          <t>(Euro)</t>
        </is>
      </c>
      <c r="AL170" s="826" t="inlineStr">
        <is>
          <t>(Euro)</t>
        </is>
      </c>
      <c r="AM170" s="826" t="inlineStr">
        <is>
          <t>(Euro)</t>
        </is>
      </c>
      <c r="AN170" s="826" t="inlineStr">
        <is>
          <t>(Euro)</t>
        </is>
      </c>
      <c r="AO170" s="826" t="inlineStr">
        <is>
          <t>(Euro)</t>
        </is>
      </c>
      <c r="AP170" s="826" t="inlineStr">
        <is>
          <t>(Euro)</t>
        </is>
      </c>
      <c r="AQ170" s="826" t="inlineStr">
        <is>
          <t>(Euro)</t>
        </is>
      </c>
      <c r="AR170" s="826" t="inlineStr">
        <is>
          <t>(Euro)</t>
        </is>
      </c>
      <c r="AS170" s="826" t="inlineStr">
        <is>
          <t>(Euro)</t>
        </is>
      </c>
      <c r="AT170" s="826" t="inlineStr">
        <is>
          <t>(Euro)</t>
        </is>
      </c>
      <c r="AU170" s="826" t="inlineStr">
        <is>
          <t>(Euro)</t>
        </is>
      </c>
      <c r="AV170" s="826" t="inlineStr">
        <is>
          <t>(Euro)</t>
        </is>
      </c>
      <c r="AW170" s="826" t="inlineStr">
        <is>
          <t>(Euro)</t>
        </is>
      </c>
      <c r="AX170" s="826" t="inlineStr">
        <is>
          <t>(Euro)</t>
        </is>
      </c>
      <c r="AY170" s="826" t="inlineStr">
        <is>
          <t>(Euro)</t>
        </is>
      </c>
      <c r="AZ170" s="826" t="inlineStr">
        <is>
          <t>(Euro)</t>
        </is>
      </c>
      <c r="BA170" s="826" t="inlineStr">
        <is>
          <t>(Euro)</t>
        </is>
      </c>
      <c r="BB170" s="826" t="inlineStr">
        <is>
          <t>(Euro)</t>
        </is>
      </c>
      <c r="BC170" s="826" t="inlineStr">
        <is>
          <t>(Euro)</t>
        </is>
      </c>
      <c r="BD170" s="826" t="inlineStr">
        <is>
          <t>(Euro)</t>
        </is>
      </c>
      <c r="BE170" s="826" t="inlineStr">
        <is>
          <t>(Euro)</t>
        </is>
      </c>
      <c r="BF170" s="826" t="inlineStr">
        <is>
          <t>(Euro)</t>
        </is>
      </c>
      <c r="BG170" s="825" t="inlineStr">
        <is>
          <t>(Euro)</t>
        </is>
      </c>
    </row>
    <row r="171" ht="13.2" customHeight="1" s="586">
      <c r="B171" s="855" t="n"/>
      <c r="C171" s="828" t="n"/>
      <c r="D171" s="829" t="n"/>
      <c r="E171" s="830" t="n"/>
      <c r="F171" s="831" t="n"/>
      <c r="G171" s="830" t="n"/>
      <c r="H171" s="832" t="n"/>
      <c r="I171" s="832" t="n"/>
      <c r="J171" s="832" t="n"/>
      <c r="K171" s="832" t="n"/>
      <c r="L171" s="832" t="n"/>
      <c r="M171" s="832" t="n"/>
      <c r="N171" s="832" t="n"/>
      <c r="O171" s="832" t="n"/>
      <c r="P171" s="832" t="n"/>
      <c r="Q171" s="832" t="n"/>
      <c r="R171" s="832" t="n"/>
      <c r="S171" s="833" t="n"/>
      <c r="T171" s="832" t="n"/>
      <c r="U171" s="832" t="n"/>
      <c r="V171" s="832" t="n"/>
      <c r="W171" s="832" t="n"/>
      <c r="X171" s="832" t="n"/>
      <c r="Y171" s="832" t="n"/>
      <c r="Z171" s="832" t="n"/>
      <c r="AA171" s="832" t="n"/>
      <c r="AB171" s="832" t="n"/>
      <c r="AC171" s="832" t="n"/>
      <c r="AD171" s="832" t="n"/>
      <c r="AE171" s="832" t="n"/>
      <c r="AF171" s="834" t="n"/>
      <c r="AG171" s="832" t="n"/>
      <c r="AH171" s="832" t="n"/>
      <c r="AI171" s="832" t="n"/>
      <c r="AJ171" s="832" t="n"/>
      <c r="AK171" s="832" t="n"/>
      <c r="AL171" s="832" t="n"/>
      <c r="AM171" s="832" t="n"/>
      <c r="AN171" s="832" t="n"/>
      <c r="AO171" s="832" t="n"/>
      <c r="AP171" s="832" t="n"/>
      <c r="AQ171" s="832" t="n"/>
      <c r="AR171" s="832" t="n"/>
      <c r="AS171" s="834" t="n"/>
      <c r="AT171" s="832" t="n"/>
      <c r="AU171" s="832" t="n"/>
      <c r="AV171" s="832" t="n"/>
      <c r="AW171" s="832" t="n"/>
      <c r="AX171" s="832" t="n"/>
      <c r="AY171" s="832" t="n"/>
      <c r="AZ171" s="832" t="n"/>
      <c r="BA171" s="832" t="n"/>
      <c r="BB171" s="832" t="n"/>
      <c r="BC171" s="832" t="n"/>
      <c r="BD171" s="832" t="n"/>
      <c r="BE171" s="832" t="n"/>
      <c r="BF171" s="834" t="n"/>
      <c r="BG171" s="835" t="n"/>
    </row>
    <row r="172" ht="13.2" customHeight="1" s="586">
      <c r="B172" s="882" t="inlineStr">
        <is>
          <t>1. From As to Be</t>
        </is>
      </c>
      <c r="C172" s="837" t="n"/>
      <c r="D172" s="898" t="n"/>
      <c r="E172" s="839" t="n">
        <v>0</v>
      </c>
      <c r="F172" s="910" t="n">
        <v>0</v>
      </c>
      <c r="G172" s="839" t="n">
        <v>0</v>
      </c>
      <c r="H172" s="839" t="n">
        <v>0</v>
      </c>
      <c r="I172" s="839" t="n">
        <v>0</v>
      </c>
      <c r="J172" s="910" t="n">
        <v>211635.2</v>
      </c>
      <c r="K172" s="910" t="n">
        <v>229222.4</v>
      </c>
      <c r="L172" s="910" t="n">
        <v>247020.8</v>
      </c>
      <c r="M172" s="910" t="n">
        <v>217452.8</v>
      </c>
      <c r="N172" s="910" t="n">
        <v>177414.4</v>
      </c>
      <c r="O172" s="910" t="n">
        <v>116726.4</v>
      </c>
      <c r="P172" s="910" t="n">
        <v>0</v>
      </c>
      <c r="Q172" s="910" t="n">
        <v>0</v>
      </c>
      <c r="R172" s="910" t="n">
        <v>0</v>
      </c>
      <c r="S172" s="840">
        <f>SUM(F172:R172)</f>
        <v/>
      </c>
      <c r="T172" s="839" t="n"/>
      <c r="U172" s="839" t="n"/>
      <c r="V172" s="839" t="n"/>
      <c r="W172" s="839" t="n"/>
      <c r="X172" s="839" t="n"/>
      <c r="Y172" s="839" t="n"/>
      <c r="Z172" s="839" t="n"/>
      <c r="AA172" s="839" t="n"/>
      <c r="AB172" s="840" t="n"/>
      <c r="AC172" s="840" t="n"/>
      <c r="AD172" s="840" t="n"/>
      <c r="AE172" s="840" t="n"/>
      <c r="AF172" s="840">
        <f>SUM(T172:AE172)</f>
        <v/>
      </c>
      <c r="AG172" s="841" t="n"/>
      <c r="AH172" s="841" t="n"/>
      <c r="AI172" s="841" t="n"/>
      <c r="AJ172" s="841" t="n"/>
      <c r="AK172" s="841" t="n"/>
      <c r="AL172" s="841" t="n"/>
      <c r="AM172" s="841" t="n"/>
      <c r="AN172" s="841" t="n"/>
      <c r="AO172" s="841" t="n"/>
      <c r="AP172" s="841" t="n"/>
      <c r="AQ172" s="841" t="n"/>
      <c r="AR172" s="841" t="n"/>
      <c r="AS172" s="840">
        <f>SUM(AG172:AR172)</f>
        <v/>
      </c>
      <c r="AT172" s="841" t="n"/>
      <c r="AU172" s="841" t="n"/>
      <c r="AV172" s="841" t="n"/>
      <c r="AW172" s="841" t="n"/>
      <c r="AX172" s="841" t="n"/>
      <c r="AY172" s="841" t="n"/>
      <c r="AZ172" s="841" t="n"/>
      <c r="BA172" s="841" t="n"/>
      <c r="BB172" s="841" t="n"/>
      <c r="BC172" s="841" t="n"/>
      <c r="BD172" s="841" t="n"/>
      <c r="BE172" s="841" t="n"/>
      <c r="BF172" s="840">
        <f>SUM(AT172:BE172)</f>
        <v/>
      </c>
      <c r="BG172" s="840">
        <f>SUM(AS172,AF172,S172,BF172)</f>
        <v/>
      </c>
    </row>
    <row r="173" ht="13.2" customHeight="1" s="586">
      <c r="B173" s="882" t="inlineStr">
        <is>
          <t>2. Consolidation and Near Shore Service Desk</t>
        </is>
      </c>
      <c r="C173" s="842" t="n"/>
      <c r="D173" s="898" t="n"/>
      <c r="E173" s="839" t="n">
        <v>0</v>
      </c>
      <c r="F173" s="910" t="n">
        <v>0</v>
      </c>
      <c r="G173" s="910" t="n">
        <v>0</v>
      </c>
      <c r="H173" s="910" t="n">
        <v>0</v>
      </c>
      <c r="I173" s="910" t="n">
        <v>0</v>
      </c>
      <c r="J173" s="910" t="n">
        <v>0</v>
      </c>
      <c r="K173" s="910" t="n">
        <v>0</v>
      </c>
      <c r="L173" s="910" t="n">
        <v>0</v>
      </c>
      <c r="M173" s="910" t="n">
        <v>0</v>
      </c>
      <c r="N173" s="910" t="n">
        <v>0</v>
      </c>
      <c r="O173" s="910" t="n">
        <v>102995.2</v>
      </c>
      <c r="P173" s="910" t="n">
        <v>181209.6</v>
      </c>
      <c r="Q173" s="910" t="n">
        <v>198316.8</v>
      </c>
      <c r="R173" s="910" t="n">
        <v>206905.6</v>
      </c>
      <c r="S173" s="840">
        <f>SUM(F173:R173)</f>
        <v/>
      </c>
      <c r="T173" s="910" t="n">
        <v>181209.6</v>
      </c>
      <c r="U173" s="910" t="n">
        <v>155443.2</v>
      </c>
      <c r="V173" s="910" t="n">
        <v>134041.6</v>
      </c>
      <c r="W173" s="910" t="n">
        <v>117145.6</v>
      </c>
      <c r="X173" s="910" t="n">
        <v>74201.60000000001</v>
      </c>
      <c r="Y173" s="910" t="n">
        <v>82790.39999999999</v>
      </c>
      <c r="Z173" s="910" t="n">
        <v>82790.39999999999</v>
      </c>
      <c r="AA173" s="910" t="n">
        <v>82790.39999999999</v>
      </c>
      <c r="AB173" s="910" t="n">
        <v>125734.4</v>
      </c>
      <c r="AC173" s="910" t="n">
        <v>125734.4</v>
      </c>
      <c r="AD173" s="910" t="n">
        <v>142912</v>
      </c>
      <c r="AE173" s="910" t="n">
        <v>134323.2</v>
      </c>
      <c r="AF173" s="840">
        <f>SUM(T173:AE173)</f>
        <v/>
      </c>
      <c r="AG173" s="841" t="n"/>
      <c r="AH173" s="841" t="n"/>
      <c r="AI173" s="841" t="n"/>
      <c r="AJ173" s="841" t="n"/>
      <c r="AK173" s="841" t="n"/>
      <c r="AL173" s="841" t="n"/>
      <c r="AM173" s="841" t="n"/>
      <c r="AN173" s="841" t="n"/>
      <c r="AO173" s="841" t="n"/>
      <c r="AP173" s="841" t="n"/>
      <c r="AQ173" s="841" t="n"/>
      <c r="AR173" s="841" t="n"/>
      <c r="AS173" s="840">
        <f>SUM(AG173:AR173)</f>
        <v/>
      </c>
      <c r="AT173" s="841" t="n"/>
      <c r="AU173" s="841" t="n"/>
      <c r="AV173" s="841" t="n"/>
      <c r="AW173" s="841" t="n"/>
      <c r="AX173" s="841" t="n"/>
      <c r="AY173" s="841" t="n"/>
      <c r="AZ173" s="841" t="n"/>
      <c r="BA173" s="841" t="n"/>
      <c r="BB173" s="841" t="n"/>
      <c r="BC173" s="841" t="n"/>
      <c r="BD173" s="841" t="n"/>
      <c r="BE173" s="841" t="n"/>
      <c r="BF173" s="840">
        <f>SUM(AT173:BE173)</f>
        <v/>
      </c>
      <c r="BG173" s="840">
        <f>SUM(AS173,AF173,S173,BF173)</f>
        <v/>
      </c>
      <c r="BH173" s="810" t="n"/>
    </row>
    <row r="174" ht="13.2" customHeight="1" s="586">
      <c r="B174" s="882" t="n"/>
      <c r="C174" s="842" t="n"/>
      <c r="D174" s="898" t="n"/>
      <c r="E174" s="839" t="n">
        <v>0</v>
      </c>
      <c r="F174" s="910" t="n">
        <v>0</v>
      </c>
      <c r="G174" s="910" t="n">
        <v>0</v>
      </c>
      <c r="H174" s="910" t="n">
        <v>0</v>
      </c>
      <c r="I174" s="910" t="n">
        <v>0</v>
      </c>
      <c r="J174" s="910" t="n">
        <v>0</v>
      </c>
      <c r="K174" s="910" t="n">
        <v>0</v>
      </c>
      <c r="L174" s="910" t="n">
        <v>0</v>
      </c>
      <c r="M174" s="910" t="n">
        <v>0</v>
      </c>
      <c r="N174" s="910" t="n">
        <v>0</v>
      </c>
      <c r="O174" s="910" t="n">
        <v>0</v>
      </c>
      <c r="P174" s="910" t="n">
        <v>0</v>
      </c>
      <c r="Q174" s="910" t="n">
        <v>0</v>
      </c>
      <c r="R174" s="910" t="n">
        <v>0</v>
      </c>
      <c r="S174" s="840">
        <f>SUM(F174:R174)</f>
        <v/>
      </c>
      <c r="T174" s="841" t="n"/>
      <c r="U174" s="841" t="n"/>
      <c r="V174" s="841" t="n"/>
      <c r="W174" s="841" t="n"/>
      <c r="X174" s="841" t="n"/>
      <c r="Y174" s="841" t="n"/>
      <c r="Z174" s="841" t="n"/>
      <c r="AA174" s="841" t="n"/>
      <c r="AB174" s="841" t="n"/>
      <c r="AC174" s="841" t="n"/>
      <c r="AD174" s="841" t="n"/>
      <c r="AE174" s="841" t="n"/>
      <c r="AF174" s="840">
        <f>SUM(T174:AE174)</f>
        <v/>
      </c>
      <c r="AG174" s="841" t="n"/>
      <c r="AH174" s="841" t="n"/>
      <c r="AI174" s="841" t="n"/>
      <c r="AJ174" s="841" t="n"/>
      <c r="AK174" s="841" t="n"/>
      <c r="AL174" s="841" t="n"/>
      <c r="AM174" s="841" t="n"/>
      <c r="AN174" s="841" t="n"/>
      <c r="AO174" s="841" t="n"/>
      <c r="AP174" s="841" t="n"/>
      <c r="AQ174" s="841" t="n"/>
      <c r="AR174" s="841" t="n"/>
      <c r="AS174" s="840">
        <f>SUM(AG174:AR174)</f>
        <v/>
      </c>
      <c r="AT174" s="841" t="n"/>
      <c r="AU174" s="841" t="n"/>
      <c r="AV174" s="841" t="n"/>
      <c r="AW174" s="841" t="n"/>
      <c r="AX174" s="841" t="n"/>
      <c r="AY174" s="841" t="n"/>
      <c r="AZ174" s="841" t="n"/>
      <c r="BA174" s="841" t="n"/>
      <c r="BB174" s="841" t="n"/>
      <c r="BC174" s="841" t="n"/>
      <c r="BD174" s="841" t="n"/>
      <c r="BE174" s="841" t="n"/>
      <c r="BF174" s="840">
        <f>SUM(AT174:BE174)</f>
        <v/>
      </c>
      <c r="BG174" s="840">
        <f>SUM(AS174,AF174,S174,BF174)</f>
        <v/>
      </c>
      <c r="BH174" s="810" t="n"/>
    </row>
    <row r="175" ht="13.2" customHeight="1" s="586">
      <c r="B175" s="882" t="n"/>
      <c r="C175" s="842" t="n"/>
      <c r="D175" s="898" t="n"/>
      <c r="E175" s="839" t="n">
        <v>0</v>
      </c>
      <c r="F175" s="910" t="n">
        <v>0</v>
      </c>
      <c r="G175" s="910" t="n">
        <v>0</v>
      </c>
      <c r="H175" s="910" t="n">
        <v>0</v>
      </c>
      <c r="I175" s="910" t="n">
        <v>0</v>
      </c>
      <c r="J175" s="910" t="n">
        <v>0</v>
      </c>
      <c r="K175" s="910" t="n">
        <v>0</v>
      </c>
      <c r="L175" s="910" t="n">
        <v>0</v>
      </c>
      <c r="M175" s="910" t="n">
        <v>0</v>
      </c>
      <c r="N175" s="910" t="n">
        <v>0</v>
      </c>
      <c r="O175" s="910" t="n">
        <v>0</v>
      </c>
      <c r="P175" s="910" t="n">
        <v>0</v>
      </c>
      <c r="Q175" s="910" t="n">
        <v>0</v>
      </c>
      <c r="R175" s="910" t="n">
        <v>0</v>
      </c>
      <c r="S175" s="840">
        <f>SUM(F175:R175)</f>
        <v/>
      </c>
      <c r="T175" s="841" t="n"/>
      <c r="U175" s="841" t="n"/>
      <c r="V175" s="841" t="n"/>
      <c r="W175" s="841" t="n"/>
      <c r="X175" s="841" t="n"/>
      <c r="Y175" s="841" t="n"/>
      <c r="Z175" s="841" t="n"/>
      <c r="AA175" s="841" t="n"/>
      <c r="AB175" s="841" t="n"/>
      <c r="AC175" s="841" t="n"/>
      <c r="AD175" s="841" t="n"/>
      <c r="AE175" s="841" t="n"/>
      <c r="AF175" s="840">
        <f>SUM(T175:AE175)</f>
        <v/>
      </c>
      <c r="AG175" s="841" t="n"/>
      <c r="AH175" s="841" t="n"/>
      <c r="AI175" s="841" t="n"/>
      <c r="AJ175" s="841" t="n"/>
      <c r="AK175" s="841" t="n"/>
      <c r="AL175" s="841" t="n"/>
      <c r="AM175" s="841" t="n"/>
      <c r="AN175" s="841" t="n"/>
      <c r="AO175" s="841" t="n"/>
      <c r="AP175" s="841" t="n"/>
      <c r="AQ175" s="841" t="n"/>
      <c r="AR175" s="841" t="n"/>
      <c r="AS175" s="840">
        <f>SUM(AG175:AR175)</f>
        <v/>
      </c>
      <c r="AT175" s="841" t="n"/>
      <c r="AU175" s="841" t="n"/>
      <c r="AV175" s="841" t="n"/>
      <c r="AW175" s="841" t="n"/>
      <c r="AX175" s="841" t="n"/>
      <c r="AY175" s="841" t="n"/>
      <c r="AZ175" s="841" t="n"/>
      <c r="BA175" s="841" t="n"/>
      <c r="BB175" s="841" t="n"/>
      <c r="BC175" s="841" t="n"/>
      <c r="BD175" s="841" t="n"/>
      <c r="BE175" s="841" t="n"/>
      <c r="BF175" s="840">
        <f>SUM(AT175:BE175)</f>
        <v/>
      </c>
      <c r="BG175" s="840">
        <f>SUM(AS175,AF175,S175,BF175)</f>
        <v/>
      </c>
      <c r="BH175" s="810" t="n"/>
    </row>
    <row r="176" ht="13.2" customHeight="1" s="586">
      <c r="B176" s="882" t="n"/>
      <c r="C176" s="842" t="n"/>
      <c r="D176" s="898" t="n"/>
      <c r="E176" s="839" t="n">
        <v>0</v>
      </c>
      <c r="F176" s="910" t="n">
        <v>0</v>
      </c>
      <c r="G176" s="910" t="n">
        <v>0</v>
      </c>
      <c r="H176" s="910" t="n">
        <v>0</v>
      </c>
      <c r="I176" s="910" t="n">
        <v>0</v>
      </c>
      <c r="J176" s="910" t="n">
        <v>0</v>
      </c>
      <c r="K176" s="910" t="n">
        <v>0</v>
      </c>
      <c r="L176" s="910" t="n">
        <v>0</v>
      </c>
      <c r="M176" s="910" t="n">
        <v>0</v>
      </c>
      <c r="N176" s="910" t="n">
        <v>0</v>
      </c>
      <c r="O176" s="910" t="n">
        <v>0</v>
      </c>
      <c r="P176" s="910" t="n">
        <v>0</v>
      </c>
      <c r="Q176" s="910" t="n">
        <v>0</v>
      </c>
      <c r="R176" s="910" t="n">
        <v>0</v>
      </c>
      <c r="S176" s="840">
        <f>SUM(F176:R176)</f>
        <v/>
      </c>
      <c r="T176" s="841" t="n"/>
      <c r="U176" s="841" t="n"/>
      <c r="V176" s="841" t="n"/>
      <c r="W176" s="841" t="n"/>
      <c r="X176" s="841" t="n"/>
      <c r="Y176" s="841" t="n"/>
      <c r="Z176" s="841" t="n"/>
      <c r="AA176" s="841" t="n"/>
      <c r="AB176" s="841" t="n"/>
      <c r="AC176" s="841" t="n"/>
      <c r="AD176" s="841" t="n"/>
      <c r="AE176" s="841" t="n"/>
      <c r="AF176" s="840">
        <f>SUM(T176:AE176)</f>
        <v/>
      </c>
      <c r="AG176" s="841" t="n"/>
      <c r="AH176" s="841" t="n"/>
      <c r="AI176" s="841" t="n"/>
      <c r="AJ176" s="841" t="n"/>
      <c r="AK176" s="841" t="n"/>
      <c r="AL176" s="841" t="n"/>
      <c r="AM176" s="841" t="n"/>
      <c r="AN176" s="841" t="n"/>
      <c r="AO176" s="841" t="n"/>
      <c r="AP176" s="841" t="n"/>
      <c r="AQ176" s="841" t="n"/>
      <c r="AR176" s="841" t="n"/>
      <c r="AS176" s="840">
        <f>SUM(AG176:AR176)</f>
        <v/>
      </c>
      <c r="AT176" s="841" t="n"/>
      <c r="AU176" s="841" t="n"/>
      <c r="AV176" s="841" t="n"/>
      <c r="AW176" s="841" t="n"/>
      <c r="AX176" s="841" t="n"/>
      <c r="AY176" s="841" t="n"/>
      <c r="AZ176" s="841" t="n"/>
      <c r="BA176" s="841" t="n"/>
      <c r="BB176" s="841" t="n"/>
      <c r="BC176" s="841" t="n"/>
      <c r="BD176" s="841" t="n"/>
      <c r="BE176" s="841" t="n"/>
      <c r="BF176" s="840">
        <f>SUM(AT176:BE176)</f>
        <v/>
      </c>
      <c r="BG176" s="840">
        <f>SUM(AS176,AF176,S176,BF176)</f>
        <v/>
      </c>
      <c r="BH176" s="810" t="n"/>
    </row>
    <row r="177" ht="13.2" customHeight="1" s="586">
      <c r="B177" s="882" t="n"/>
      <c r="C177" s="842" t="n"/>
      <c r="D177" s="898" t="n"/>
      <c r="E177" s="839" t="n">
        <v>0</v>
      </c>
      <c r="F177" s="910" t="n">
        <v>0</v>
      </c>
      <c r="G177" s="910" t="n">
        <v>0</v>
      </c>
      <c r="H177" s="910" t="n">
        <v>0</v>
      </c>
      <c r="I177" s="910" t="n">
        <v>0</v>
      </c>
      <c r="J177" s="910" t="n">
        <v>0</v>
      </c>
      <c r="K177" s="910" t="n">
        <v>0</v>
      </c>
      <c r="L177" s="910" t="n">
        <v>0</v>
      </c>
      <c r="M177" s="910" t="n">
        <v>0</v>
      </c>
      <c r="N177" s="910" t="n">
        <v>0</v>
      </c>
      <c r="O177" s="910" t="n">
        <v>0</v>
      </c>
      <c r="P177" s="910" t="n">
        <v>0</v>
      </c>
      <c r="Q177" s="910" t="n">
        <v>0</v>
      </c>
      <c r="R177" s="910" t="n">
        <v>0</v>
      </c>
      <c r="S177" s="840">
        <f>SUM(F177:R177)</f>
        <v/>
      </c>
      <c r="T177" s="841" t="n"/>
      <c r="U177" s="841" t="n"/>
      <c r="V177" s="841" t="n"/>
      <c r="W177" s="841" t="n"/>
      <c r="X177" s="841" t="n"/>
      <c r="Y177" s="841" t="n"/>
      <c r="Z177" s="841" t="n"/>
      <c r="AA177" s="841" t="n"/>
      <c r="AB177" s="841" t="n"/>
      <c r="AC177" s="841" t="n"/>
      <c r="AD177" s="841" t="n"/>
      <c r="AE177" s="841" t="n"/>
      <c r="AF177" s="840">
        <f>SUM(T177:AE177)</f>
        <v/>
      </c>
      <c r="AG177" s="841" t="n"/>
      <c r="AH177" s="841" t="n"/>
      <c r="AI177" s="841" t="n"/>
      <c r="AJ177" s="841" t="n"/>
      <c r="AK177" s="841" t="n"/>
      <c r="AL177" s="841" t="n"/>
      <c r="AM177" s="841" t="n"/>
      <c r="AN177" s="841" t="n"/>
      <c r="AO177" s="841" t="n"/>
      <c r="AP177" s="841" t="n"/>
      <c r="AQ177" s="841" t="n"/>
      <c r="AR177" s="841" t="n"/>
      <c r="AS177" s="840">
        <f>SUM(AG177:AR177)</f>
        <v/>
      </c>
      <c r="AT177" s="841" t="n"/>
      <c r="AU177" s="841" t="n"/>
      <c r="AV177" s="841" t="n"/>
      <c r="AW177" s="841" t="n"/>
      <c r="AX177" s="841" t="n"/>
      <c r="AY177" s="841" t="n"/>
      <c r="AZ177" s="841" t="n"/>
      <c r="BA177" s="841" t="n"/>
      <c r="BB177" s="841" t="n"/>
      <c r="BC177" s="841" t="n"/>
      <c r="BD177" s="841" t="n"/>
      <c r="BE177" s="841" t="n"/>
      <c r="BF177" s="840">
        <f>SUM(AT177:BE177)</f>
        <v/>
      </c>
      <c r="BG177" s="840">
        <f>SUM(AS177,AF177,S177,BF177)</f>
        <v/>
      </c>
      <c r="BH177" s="810" t="n"/>
    </row>
    <row r="178" ht="13.2" customHeight="1" s="586">
      <c r="B178" s="882" t="n"/>
      <c r="C178" s="842" t="n"/>
      <c r="D178" s="898" t="n"/>
      <c r="E178" s="839" t="n">
        <v>0</v>
      </c>
      <c r="F178" s="910" t="n">
        <v>0</v>
      </c>
      <c r="G178" s="910" t="n">
        <v>0</v>
      </c>
      <c r="H178" s="910" t="n">
        <v>0</v>
      </c>
      <c r="I178" s="910" t="n">
        <v>0</v>
      </c>
      <c r="J178" s="910" t="n">
        <v>0</v>
      </c>
      <c r="K178" s="910" t="n">
        <v>0</v>
      </c>
      <c r="L178" s="910" t="n">
        <v>0</v>
      </c>
      <c r="M178" s="910" t="n">
        <v>0</v>
      </c>
      <c r="N178" s="910" t="n">
        <v>0</v>
      </c>
      <c r="O178" s="910" t="n">
        <v>0</v>
      </c>
      <c r="P178" s="910" t="n">
        <v>0</v>
      </c>
      <c r="Q178" s="910" t="n">
        <v>0</v>
      </c>
      <c r="R178" s="910" t="n">
        <v>0</v>
      </c>
      <c r="S178" s="840">
        <f>SUM(F178:R178)</f>
        <v/>
      </c>
      <c r="T178" s="841" t="n"/>
      <c r="U178" s="841" t="n"/>
      <c r="V178" s="841" t="n"/>
      <c r="W178" s="841" t="n"/>
      <c r="X178" s="841" t="n"/>
      <c r="Y178" s="841" t="n"/>
      <c r="Z178" s="841" t="n"/>
      <c r="AA178" s="841" t="n"/>
      <c r="AB178" s="841" t="n"/>
      <c r="AC178" s="841" t="n"/>
      <c r="AD178" s="841" t="n"/>
      <c r="AE178" s="841" t="n"/>
      <c r="AF178" s="840">
        <f>SUM(T178:AE178)</f>
        <v/>
      </c>
      <c r="AG178" s="841" t="n"/>
      <c r="AH178" s="841" t="n"/>
      <c r="AI178" s="841" t="n"/>
      <c r="AJ178" s="841" t="n"/>
      <c r="AK178" s="841" t="n"/>
      <c r="AL178" s="841" t="n"/>
      <c r="AM178" s="841" t="n"/>
      <c r="AN178" s="841" t="n"/>
      <c r="AO178" s="841" t="n"/>
      <c r="AP178" s="841" t="n"/>
      <c r="AQ178" s="841" t="n"/>
      <c r="AR178" s="841" t="n"/>
      <c r="AS178" s="840">
        <f>SUM(AG178:AR178)</f>
        <v/>
      </c>
      <c r="AT178" s="841" t="n"/>
      <c r="AU178" s="841" t="n"/>
      <c r="AV178" s="841" t="n"/>
      <c r="AW178" s="841" t="n"/>
      <c r="AX178" s="841" t="n"/>
      <c r="AY178" s="841" t="n"/>
      <c r="AZ178" s="841" t="n"/>
      <c r="BA178" s="841" t="n"/>
      <c r="BB178" s="841" t="n"/>
      <c r="BC178" s="841" t="n"/>
      <c r="BD178" s="841" t="n"/>
      <c r="BE178" s="841" t="n"/>
      <c r="BF178" s="840">
        <f>SUM(AT178:BE178)</f>
        <v/>
      </c>
      <c r="BG178" s="840">
        <f>SUM(AS178,AF178,S178,BF178)</f>
        <v/>
      </c>
      <c r="BH178" s="810" t="n"/>
    </row>
    <row r="179" ht="13.8" customHeight="1" s="586">
      <c r="B179" s="885" t="n"/>
      <c r="C179" s="844" t="n"/>
      <c r="D179" s="912" t="n"/>
      <c r="E179" s="846" t="n">
        <v>0</v>
      </c>
      <c r="F179" s="893" t="n">
        <v>0</v>
      </c>
      <c r="G179" s="893" t="n">
        <v>0</v>
      </c>
      <c r="H179" s="893" t="n">
        <v>0</v>
      </c>
      <c r="I179" s="893" t="n">
        <v>0</v>
      </c>
      <c r="J179" s="893" t="n">
        <v>0</v>
      </c>
      <c r="K179" s="893" t="n">
        <v>0</v>
      </c>
      <c r="L179" s="893" t="n">
        <v>0</v>
      </c>
      <c r="M179" s="893" t="n">
        <v>0</v>
      </c>
      <c r="N179" s="893" t="n">
        <v>0</v>
      </c>
      <c r="O179" s="893" t="n">
        <v>0</v>
      </c>
      <c r="P179" s="846" t="n">
        <v>0</v>
      </c>
      <c r="Q179" s="846" t="n">
        <v>0</v>
      </c>
      <c r="R179" s="846" t="n">
        <v>0</v>
      </c>
      <c r="S179" s="847">
        <f>SUM(F179:R179)</f>
        <v/>
      </c>
      <c r="T179" s="848" t="n"/>
      <c r="U179" s="848" t="n"/>
      <c r="V179" s="848" t="n"/>
      <c r="W179" s="848" t="n"/>
      <c r="X179" s="848" t="n"/>
      <c r="Y179" s="848" t="n"/>
      <c r="Z179" s="848" t="n"/>
      <c r="AA179" s="848" t="n"/>
      <c r="AB179" s="848" t="n"/>
      <c r="AC179" s="848" t="n"/>
      <c r="AD179" s="848" t="n"/>
      <c r="AE179" s="848" t="n"/>
      <c r="AF179" s="847">
        <f>SUM(T179:AE179)</f>
        <v/>
      </c>
      <c r="AG179" s="848" t="n"/>
      <c r="AH179" s="848" t="n"/>
      <c r="AI179" s="848" t="n"/>
      <c r="AJ179" s="848" t="n"/>
      <c r="AK179" s="848" t="n"/>
      <c r="AL179" s="848" t="n"/>
      <c r="AM179" s="848" t="n"/>
      <c r="AN179" s="848" t="n"/>
      <c r="AO179" s="848" t="n"/>
      <c r="AP179" s="848" t="n"/>
      <c r="AQ179" s="848" t="n"/>
      <c r="AR179" s="848" t="n"/>
      <c r="AS179" s="847">
        <f>SUM(AG179:AR179)</f>
        <v/>
      </c>
      <c r="AT179" s="848" t="n"/>
      <c r="AU179" s="848" t="n"/>
      <c r="AV179" s="848" t="n"/>
      <c r="AW179" s="848" t="n"/>
      <c r="AX179" s="848" t="n"/>
      <c r="AY179" s="848" t="n"/>
      <c r="AZ179" s="848" t="n"/>
      <c r="BA179" s="848" t="n"/>
      <c r="BB179" s="848" t="n"/>
      <c r="BC179" s="848" t="n"/>
      <c r="BD179" s="848" t="n"/>
      <c r="BE179" s="848" t="n"/>
      <c r="BF179" s="847">
        <f>SUM(AT179:BE179)</f>
        <v/>
      </c>
      <c r="BG179" s="847">
        <f>SUM(AS179,AF179,S179,BF179)</f>
        <v/>
      </c>
      <c r="BH179" s="810" t="n"/>
    </row>
    <row r="180" ht="13.8" customHeight="1" s="586">
      <c r="B180" s="871" t="inlineStr">
        <is>
          <t>TOTAL</t>
        </is>
      </c>
      <c r="C180" s="872" t="n"/>
      <c r="D180" s="873">
        <f>SUM(D172:D179)</f>
        <v/>
      </c>
      <c r="E180" s="873">
        <f>SUM(E172:E179)</f>
        <v/>
      </c>
      <c r="F180" s="873">
        <f>SUM(F172:F179)</f>
        <v/>
      </c>
      <c r="G180" s="873">
        <f>SUM(G172:G179)</f>
        <v/>
      </c>
      <c r="H180" s="873">
        <f>SUM(H172:H179)</f>
        <v/>
      </c>
      <c r="I180" s="873">
        <f>SUM(I172:I179)</f>
        <v/>
      </c>
      <c r="J180" s="873">
        <f>SUM(J172:J179)</f>
        <v/>
      </c>
      <c r="K180" s="873">
        <f>SUM(K172:K179)</f>
        <v/>
      </c>
      <c r="L180" s="873">
        <f>SUM(L172:L179)</f>
        <v/>
      </c>
      <c r="M180" s="873">
        <f>SUM(M172:M179)</f>
        <v/>
      </c>
      <c r="N180" s="873">
        <f>SUM(N172:N179)</f>
        <v/>
      </c>
      <c r="O180" s="873">
        <f>SUM(O172:O179)</f>
        <v/>
      </c>
      <c r="P180" s="873">
        <f>SUM(P172:P179)</f>
        <v/>
      </c>
      <c r="Q180" s="873">
        <f>SUM(Q172:Q179)</f>
        <v/>
      </c>
      <c r="R180" s="873">
        <f>SUM(R172:R179)</f>
        <v/>
      </c>
      <c r="S180" s="873">
        <f>SUM(S171:S179)</f>
        <v/>
      </c>
      <c r="T180" s="873">
        <f>SUM(T171:T179)</f>
        <v/>
      </c>
      <c r="U180" s="873">
        <f>SUM(U171:U179)</f>
        <v/>
      </c>
      <c r="V180" s="873">
        <f>SUM(V171:V179)</f>
        <v/>
      </c>
      <c r="W180" s="873">
        <f>SUM(W171:W179)</f>
        <v/>
      </c>
      <c r="X180" s="873">
        <f>SUM(X171:X179)</f>
        <v/>
      </c>
      <c r="Y180" s="873">
        <f>SUM(Y171:Y179)</f>
        <v/>
      </c>
      <c r="Z180" s="873">
        <f>SUM(Z171:Z179)</f>
        <v/>
      </c>
      <c r="AA180" s="873">
        <f>SUM(AA171:AA179)</f>
        <v/>
      </c>
      <c r="AB180" s="873">
        <f>SUM(AB171:AB179)</f>
        <v/>
      </c>
      <c r="AC180" s="873">
        <f>SUM(AC171:AC179)</f>
        <v/>
      </c>
      <c r="AD180" s="873">
        <f>SUM(AD171:AD179)</f>
        <v/>
      </c>
      <c r="AE180" s="873">
        <f>SUM(AE171:AE179)</f>
        <v/>
      </c>
      <c r="AF180" s="873">
        <f>SUM(AF171:AF179)</f>
        <v/>
      </c>
      <c r="AG180" s="873">
        <f>SUM(AG171:AG179)</f>
        <v/>
      </c>
      <c r="AH180" s="873">
        <f>SUM(AH171:AH179)</f>
        <v/>
      </c>
      <c r="AI180" s="873">
        <f>SUM(AI171:AI179)</f>
        <v/>
      </c>
      <c r="AJ180" s="873">
        <f>SUM(AJ171:AJ179)</f>
        <v/>
      </c>
      <c r="AK180" s="873">
        <f>SUM(AK171:AK179)</f>
        <v/>
      </c>
      <c r="AL180" s="873">
        <f>SUM(AL171:AL179)</f>
        <v/>
      </c>
      <c r="AM180" s="873">
        <f>SUM(AM171:AM179)</f>
        <v/>
      </c>
      <c r="AN180" s="873">
        <f>SUM(AN171:AN179)</f>
        <v/>
      </c>
      <c r="AO180" s="873">
        <f>SUM(AO171:AO179)</f>
        <v/>
      </c>
      <c r="AP180" s="873">
        <f>SUM(AP171:AP179)</f>
        <v/>
      </c>
      <c r="AQ180" s="873">
        <f>SUM(AQ171:AQ179)</f>
        <v/>
      </c>
      <c r="AR180" s="873">
        <f>SUM(AR171:AR179)</f>
        <v/>
      </c>
      <c r="AS180" s="873">
        <f>SUM(AS171:AS179)</f>
        <v/>
      </c>
      <c r="AT180" s="873">
        <f>SUM(AT171:AT179)</f>
        <v/>
      </c>
      <c r="AU180" s="873">
        <f>SUM(AU171:AU179)</f>
        <v/>
      </c>
      <c r="AV180" s="873">
        <f>SUM(AV171:AV179)</f>
        <v/>
      </c>
      <c r="AW180" s="873">
        <f>SUM(AW171:AW179)</f>
        <v/>
      </c>
      <c r="AX180" s="873">
        <f>SUM(AX171:AX179)</f>
        <v/>
      </c>
      <c r="AY180" s="873">
        <f>SUM(AY171:AY179)</f>
        <v/>
      </c>
      <c r="AZ180" s="873">
        <f>SUM(AZ171:AZ179)</f>
        <v/>
      </c>
      <c r="BA180" s="873">
        <f>SUM(BA171:BA179)</f>
        <v/>
      </c>
      <c r="BB180" s="873">
        <f>SUM(BB171:BB179)</f>
        <v/>
      </c>
      <c r="BC180" s="873">
        <f>SUM(BC171:BC179)</f>
        <v/>
      </c>
      <c r="BD180" s="873">
        <f>SUM(BD171:BD179)</f>
        <v/>
      </c>
      <c r="BE180" s="873">
        <f>SUM(BE171:BE179)</f>
        <v/>
      </c>
      <c r="BF180" s="873">
        <f>SUM(BF171:BF179)</f>
        <v/>
      </c>
      <c r="BG180" s="874">
        <f>SUM(BG171:BG179)</f>
        <v/>
      </c>
    </row>
    <row r="181" ht="13.2" customHeight="1" s="586">
      <c r="B181" s="805" t="n"/>
      <c r="C181" s="854" t="n"/>
      <c r="D181" s="854" t="n"/>
      <c r="E181" s="812" t="n"/>
      <c r="F181" s="812" t="n"/>
      <c r="G181" s="812" t="n"/>
      <c r="H181" s="812" t="n"/>
      <c r="I181" s="812" t="n"/>
      <c r="J181" s="812" t="n"/>
      <c r="K181" s="812" t="n"/>
      <c r="L181" s="812" t="n"/>
      <c r="M181" s="812" t="n"/>
      <c r="N181" s="812" t="n"/>
      <c r="O181" s="812" t="n"/>
      <c r="P181" s="812" t="n"/>
      <c r="Q181" s="812" t="n"/>
      <c r="R181" s="812" t="n"/>
      <c r="T181" s="809" t="n"/>
      <c r="U181" s="809" t="n"/>
      <c r="V181" s="809" t="n"/>
      <c r="W181" s="809" t="n"/>
      <c r="X181" s="809" t="n"/>
      <c r="Y181" s="809" t="n"/>
      <c r="Z181" s="809" t="n"/>
      <c r="AA181" s="809" t="n"/>
      <c r="AB181" s="809" t="n"/>
      <c r="AC181" s="809" t="n"/>
      <c r="AD181" s="809" t="n"/>
      <c r="AE181" s="809" t="n"/>
      <c r="AG181" s="809" t="n"/>
      <c r="AH181" s="809" t="n"/>
      <c r="AI181" s="809" t="n"/>
      <c r="AJ181" s="809" t="n"/>
      <c r="AK181" s="809" t="n"/>
      <c r="AL181" s="809" t="n"/>
      <c r="AM181" s="809" t="n"/>
      <c r="AN181" s="809" t="n"/>
      <c r="AO181" s="809" t="n"/>
      <c r="AP181" s="809" t="n"/>
      <c r="AQ181" s="809" t="n"/>
      <c r="AR181" s="809" t="n"/>
      <c r="AT181" s="809" t="n"/>
      <c r="AU181" s="809" t="n"/>
      <c r="AV181" s="809" t="n"/>
      <c r="AW181" s="809" t="n"/>
      <c r="AX181" s="809" t="n"/>
      <c r="AY181" s="809" t="n"/>
      <c r="AZ181" s="809" t="n"/>
      <c r="BA181" s="809" t="n"/>
      <c r="BB181" s="809" t="n"/>
      <c r="BC181" s="809" t="n"/>
      <c r="BD181" s="809" t="n"/>
      <c r="BE181" s="809" t="n"/>
      <c r="BG181" s="809" t="n"/>
      <c r="BH181" s="810" t="n"/>
    </row>
    <row r="182" ht="13.8" customHeight="1" s="586">
      <c r="B182" s="813" t="n"/>
      <c r="D182" s="905" t="n"/>
      <c r="E182" s="906" t="n"/>
      <c r="F182" s="906" t="n"/>
      <c r="G182" s="907" t="n"/>
      <c r="H182" s="906" t="n"/>
      <c r="I182" s="815" t="inlineStr">
        <is>
          <t>Transformation</t>
        </is>
      </c>
      <c r="J182" s="907" t="n"/>
      <c r="K182" s="817" t="n"/>
      <c r="L182" s="815" t="n"/>
      <c r="M182" s="815" t="n"/>
      <c r="N182" s="817" t="n"/>
      <c r="O182" s="815" t="n"/>
    </row>
    <row r="183" ht="13.2" customHeight="1" s="586">
      <c r="A183" s="855" t="n"/>
      <c r="B183" s="856" t="inlineStr">
        <is>
          <t>Vendor Gamma</t>
        </is>
      </c>
      <c r="C183" s="857" t="n"/>
      <c r="D183" s="820" t="n"/>
      <c r="E183" s="821" t="inlineStr">
        <is>
          <t>Month -1</t>
        </is>
      </c>
      <c r="F183" s="821" t="inlineStr">
        <is>
          <t>Month 0</t>
        </is>
      </c>
      <c r="G183" s="821" t="inlineStr">
        <is>
          <t>Month 1</t>
        </is>
      </c>
      <c r="H183" s="822" t="inlineStr">
        <is>
          <t>Month 2</t>
        </is>
      </c>
      <c r="I183" s="822" t="inlineStr">
        <is>
          <t>Month 3</t>
        </is>
      </c>
      <c r="J183" s="822" t="inlineStr">
        <is>
          <t>Month 4</t>
        </is>
      </c>
      <c r="K183" s="822" t="inlineStr">
        <is>
          <t>Month 5</t>
        </is>
      </c>
      <c r="L183" s="822" t="inlineStr">
        <is>
          <t>Month 6</t>
        </is>
      </c>
      <c r="M183" s="822" t="inlineStr">
        <is>
          <t>Month 7</t>
        </is>
      </c>
      <c r="N183" s="822" t="inlineStr">
        <is>
          <t>Month 8</t>
        </is>
      </c>
      <c r="O183" s="822" t="inlineStr">
        <is>
          <t>Month 9</t>
        </is>
      </c>
      <c r="P183" s="822" t="inlineStr">
        <is>
          <t>Month 10</t>
        </is>
      </c>
      <c r="Q183" s="822" t="inlineStr">
        <is>
          <t>Month 11</t>
        </is>
      </c>
      <c r="R183" s="822" t="inlineStr">
        <is>
          <t>Month 12</t>
        </is>
      </c>
      <c r="S183" s="821" t="n"/>
      <c r="T183" s="822" t="inlineStr">
        <is>
          <t>Month 13</t>
        </is>
      </c>
      <c r="U183" s="822" t="inlineStr">
        <is>
          <t>Month 14</t>
        </is>
      </c>
      <c r="V183" s="822" t="inlineStr">
        <is>
          <t>Month 15</t>
        </is>
      </c>
      <c r="W183" s="822" t="inlineStr">
        <is>
          <t>Month 16</t>
        </is>
      </c>
      <c r="X183" s="822" t="inlineStr">
        <is>
          <t>Month 17</t>
        </is>
      </c>
      <c r="Y183" s="822" t="inlineStr">
        <is>
          <t>Month 18</t>
        </is>
      </c>
      <c r="Z183" s="822" t="inlineStr">
        <is>
          <t>Month 19</t>
        </is>
      </c>
      <c r="AA183" s="822" t="inlineStr">
        <is>
          <t>Month 20</t>
        </is>
      </c>
      <c r="AB183" s="822" t="inlineStr">
        <is>
          <t>Month 21</t>
        </is>
      </c>
      <c r="AC183" s="822" t="inlineStr">
        <is>
          <t>Month 22</t>
        </is>
      </c>
      <c r="AD183" s="822" t="inlineStr">
        <is>
          <t>Month 23</t>
        </is>
      </c>
      <c r="AE183" s="822" t="inlineStr">
        <is>
          <t>Month 24</t>
        </is>
      </c>
      <c r="AF183" s="822" t="n"/>
      <c r="AG183" s="822" t="inlineStr">
        <is>
          <t>Month 25</t>
        </is>
      </c>
      <c r="AH183" s="822" t="inlineStr">
        <is>
          <t>Month 26</t>
        </is>
      </c>
      <c r="AI183" s="822" t="inlineStr">
        <is>
          <t>Month 27</t>
        </is>
      </c>
      <c r="AJ183" s="822" t="inlineStr">
        <is>
          <t>Month 28</t>
        </is>
      </c>
      <c r="AK183" s="822" t="inlineStr">
        <is>
          <t>Month 29</t>
        </is>
      </c>
      <c r="AL183" s="822" t="inlineStr">
        <is>
          <t>Month 30</t>
        </is>
      </c>
      <c r="AM183" s="822" t="inlineStr">
        <is>
          <t>Month 31</t>
        </is>
      </c>
      <c r="AN183" s="822" t="inlineStr">
        <is>
          <t>Month 32</t>
        </is>
      </c>
      <c r="AO183" s="822" t="inlineStr">
        <is>
          <t>Month 33</t>
        </is>
      </c>
      <c r="AP183" s="822" t="inlineStr">
        <is>
          <t>Month 34</t>
        </is>
      </c>
      <c r="AQ183" s="822" t="inlineStr">
        <is>
          <t>Month 35</t>
        </is>
      </c>
      <c r="AR183" s="822" t="inlineStr">
        <is>
          <t>Month 36</t>
        </is>
      </c>
      <c r="AS183" s="822" t="n"/>
      <c r="AT183" s="822" t="inlineStr">
        <is>
          <t>Month 37</t>
        </is>
      </c>
      <c r="AU183" s="822" t="inlineStr">
        <is>
          <t>Month 38</t>
        </is>
      </c>
      <c r="AV183" s="822" t="inlineStr">
        <is>
          <t>Month 39</t>
        </is>
      </c>
      <c r="AW183" s="822" t="inlineStr">
        <is>
          <t>Month 40</t>
        </is>
      </c>
      <c r="AX183" s="822" t="inlineStr">
        <is>
          <t>Month 41</t>
        </is>
      </c>
      <c r="AY183" s="822" t="inlineStr">
        <is>
          <t>Month 42</t>
        </is>
      </c>
      <c r="AZ183" s="822" t="inlineStr">
        <is>
          <t>Month 43</t>
        </is>
      </c>
      <c r="BA183" s="822" t="inlineStr">
        <is>
          <t>Month 44</t>
        </is>
      </c>
      <c r="BB183" s="822" t="inlineStr">
        <is>
          <t>Month 45</t>
        </is>
      </c>
      <c r="BC183" s="822" t="inlineStr">
        <is>
          <t>Month 46</t>
        </is>
      </c>
      <c r="BD183" s="822" t="inlineStr">
        <is>
          <t>Month 47</t>
        </is>
      </c>
      <c r="BE183" s="822" t="inlineStr">
        <is>
          <t>Month 48</t>
        </is>
      </c>
      <c r="BF183" s="822" t="n"/>
      <c r="BG183" s="822" t="n"/>
    </row>
    <row r="184" ht="14.4" customHeight="1" s="586">
      <c r="A184" s="858" t="n"/>
      <c r="B184" s="859" t="n"/>
      <c r="C184" s="860" t="n"/>
      <c r="D184" s="824" t="n"/>
      <c r="E184" s="825" t="inlineStr">
        <is>
          <t>FTE's</t>
        </is>
      </c>
      <c r="F184" s="825" t="inlineStr">
        <is>
          <t>FTE's</t>
        </is>
      </c>
      <c r="G184" s="825" t="inlineStr">
        <is>
          <t>FTE's</t>
        </is>
      </c>
      <c r="H184" s="825" t="inlineStr">
        <is>
          <t>FTE's</t>
        </is>
      </c>
      <c r="I184" s="825" t="inlineStr">
        <is>
          <t>FTE's</t>
        </is>
      </c>
      <c r="J184" s="825" t="inlineStr">
        <is>
          <t>FTE's</t>
        </is>
      </c>
      <c r="K184" s="825" t="inlineStr">
        <is>
          <t>FTE's</t>
        </is>
      </c>
      <c r="L184" s="825" t="inlineStr">
        <is>
          <t>FTE's</t>
        </is>
      </c>
      <c r="M184" s="825" t="inlineStr">
        <is>
          <t>FTE's</t>
        </is>
      </c>
      <c r="N184" s="825" t="inlineStr">
        <is>
          <t>FTE's</t>
        </is>
      </c>
      <c r="O184" s="825" t="inlineStr">
        <is>
          <t>FTE's</t>
        </is>
      </c>
      <c r="P184" s="825" t="inlineStr">
        <is>
          <t>FTE's</t>
        </is>
      </c>
      <c r="Q184" s="825" t="inlineStr">
        <is>
          <t>FTE's</t>
        </is>
      </c>
      <c r="R184" s="825" t="inlineStr">
        <is>
          <t>FTE's</t>
        </is>
      </c>
      <c r="S184" s="825" t="n"/>
      <c r="T184" s="825" t="inlineStr">
        <is>
          <t>FTE's</t>
        </is>
      </c>
      <c r="U184" s="825" t="inlineStr">
        <is>
          <t>FTE's</t>
        </is>
      </c>
      <c r="V184" s="825" t="inlineStr">
        <is>
          <t>FTE's</t>
        </is>
      </c>
      <c r="W184" s="825" t="inlineStr">
        <is>
          <t>FTE's</t>
        </is>
      </c>
      <c r="X184" s="825" t="inlineStr">
        <is>
          <t>FTE's</t>
        </is>
      </c>
      <c r="Y184" s="825" t="inlineStr">
        <is>
          <t>FTE's</t>
        </is>
      </c>
      <c r="Z184" s="825" t="inlineStr">
        <is>
          <t>FTE's</t>
        </is>
      </c>
      <c r="AA184" s="825" t="inlineStr">
        <is>
          <t>FTE's</t>
        </is>
      </c>
      <c r="AB184" s="825" t="inlineStr">
        <is>
          <t>FTE's</t>
        </is>
      </c>
      <c r="AC184" s="825" t="inlineStr">
        <is>
          <t>FTE's</t>
        </is>
      </c>
      <c r="AD184" s="825" t="inlineStr">
        <is>
          <t>FTE's</t>
        </is>
      </c>
      <c r="AE184" s="825" t="inlineStr">
        <is>
          <t>FTE's</t>
        </is>
      </c>
      <c r="AF184" s="825" t="n"/>
      <c r="AG184" s="825" t="inlineStr">
        <is>
          <t>FTE's</t>
        </is>
      </c>
      <c r="AH184" s="825" t="inlineStr">
        <is>
          <t>FTE's</t>
        </is>
      </c>
      <c r="AI184" s="825" t="inlineStr">
        <is>
          <t>FTE's</t>
        </is>
      </c>
      <c r="AJ184" s="825" t="inlineStr">
        <is>
          <t>FTE's</t>
        </is>
      </c>
      <c r="AK184" s="825" t="inlineStr">
        <is>
          <t>FTE's</t>
        </is>
      </c>
      <c r="AL184" s="825" t="inlineStr">
        <is>
          <t>FTE's</t>
        </is>
      </c>
      <c r="AM184" s="825" t="inlineStr">
        <is>
          <t>FTE's</t>
        </is>
      </c>
      <c r="AN184" s="825" t="inlineStr">
        <is>
          <t>FTE's</t>
        </is>
      </c>
      <c r="AO184" s="825" t="inlineStr">
        <is>
          <t>FTE's</t>
        </is>
      </c>
      <c r="AP184" s="825" t="inlineStr">
        <is>
          <t>FTE's</t>
        </is>
      </c>
      <c r="AQ184" s="825" t="inlineStr">
        <is>
          <t>FTE's</t>
        </is>
      </c>
      <c r="AR184" s="825" t="inlineStr">
        <is>
          <t>FTE's</t>
        </is>
      </c>
      <c r="AS184" s="825" t="n"/>
      <c r="AT184" s="825" t="inlineStr">
        <is>
          <t>FTE's</t>
        </is>
      </c>
      <c r="AU184" s="825" t="inlineStr">
        <is>
          <t>FTE's</t>
        </is>
      </c>
      <c r="AV184" s="825" t="inlineStr">
        <is>
          <t>FTE's</t>
        </is>
      </c>
      <c r="AW184" s="825" t="inlineStr">
        <is>
          <t>FTE's</t>
        </is>
      </c>
      <c r="AX184" s="825" t="inlineStr">
        <is>
          <t>FTE's</t>
        </is>
      </c>
      <c r="AY184" s="825" t="inlineStr">
        <is>
          <t>FTE's</t>
        </is>
      </c>
      <c r="AZ184" s="825" t="inlineStr">
        <is>
          <t>FTE's</t>
        </is>
      </c>
      <c r="BA184" s="825" t="inlineStr">
        <is>
          <t>FTE's</t>
        </is>
      </c>
      <c r="BB184" s="825" t="inlineStr">
        <is>
          <t>FTE's</t>
        </is>
      </c>
      <c r="BC184" s="825" t="inlineStr">
        <is>
          <t>FTE's</t>
        </is>
      </c>
      <c r="BD184" s="825" t="inlineStr">
        <is>
          <t>FTE's</t>
        </is>
      </c>
      <c r="BE184" s="825" t="inlineStr">
        <is>
          <t>FTE's</t>
        </is>
      </c>
      <c r="BF184" s="825" t="n"/>
      <c r="BG184" s="825" t="n"/>
    </row>
    <row r="185" ht="13.2" customHeight="1" s="586">
      <c r="A185" s="858" t="n"/>
      <c r="B185" s="855" t="n"/>
      <c r="C185" s="862" t="n"/>
      <c r="D185" s="862" t="n"/>
      <c r="E185" s="830" t="n"/>
      <c r="F185" s="830" t="n"/>
      <c r="G185" s="830" t="n"/>
      <c r="H185" s="832" t="n"/>
      <c r="I185" s="832" t="n"/>
      <c r="J185" s="832" t="n"/>
      <c r="K185" s="832" t="n"/>
      <c r="L185" s="832" t="n"/>
      <c r="M185" s="832" t="n"/>
      <c r="N185" s="832" t="n"/>
      <c r="O185" s="832" t="n"/>
      <c r="P185" s="832" t="n"/>
      <c r="Q185" s="832" t="n"/>
      <c r="R185" s="832" t="n"/>
      <c r="S185" s="833" t="n"/>
      <c r="T185" s="832" t="n"/>
      <c r="U185" s="832" t="n"/>
      <c r="V185" s="832" t="n"/>
      <c r="W185" s="832" t="n"/>
      <c r="X185" s="832" t="n"/>
      <c r="Y185" s="832" t="n"/>
      <c r="Z185" s="832" t="n"/>
      <c r="AA185" s="832" t="n"/>
      <c r="AB185" s="832" t="n"/>
      <c r="AC185" s="832" t="n"/>
      <c r="AD185" s="832" t="n"/>
      <c r="AE185" s="832" t="n"/>
      <c r="AF185" s="834" t="n"/>
      <c r="AG185" s="832" t="n"/>
      <c r="AH185" s="832" t="n"/>
      <c r="AI185" s="832" t="n"/>
      <c r="AJ185" s="832" t="n"/>
      <c r="AK185" s="832" t="n"/>
      <c r="AL185" s="832" t="n"/>
      <c r="AM185" s="832" t="n"/>
      <c r="AN185" s="832" t="n"/>
      <c r="AO185" s="832" t="n"/>
      <c r="AP185" s="832" t="n"/>
      <c r="AQ185" s="832" t="n"/>
      <c r="AR185" s="832" t="n"/>
      <c r="AS185" s="834" t="n"/>
      <c r="AT185" s="832" t="n"/>
      <c r="AU185" s="832" t="n"/>
      <c r="AV185" s="832" t="n"/>
      <c r="AW185" s="832" t="n"/>
      <c r="AX185" s="832" t="n"/>
      <c r="AY185" s="832" t="n"/>
      <c r="AZ185" s="832" t="n"/>
      <c r="BA185" s="832" t="n"/>
      <c r="BB185" s="832" t="n"/>
      <c r="BC185" s="832" t="n"/>
      <c r="BD185" s="832" t="n"/>
      <c r="BE185" s="832" t="n"/>
      <c r="BF185" s="834" t="n"/>
      <c r="BG185" s="832" t="n"/>
    </row>
    <row r="186" ht="13.2" customHeight="1" s="586">
      <c r="A186" s="858" t="n"/>
      <c r="B186" s="882" t="inlineStr">
        <is>
          <t>1. From As to Be</t>
        </is>
      </c>
      <c r="C186" s="864" t="inlineStr">
        <is>
          <t xml:space="preserve"> </t>
        </is>
      </c>
      <c r="D186" s="864" t="n"/>
      <c r="E186" s="865" t="n"/>
      <c r="F186" s="865" t="n"/>
      <c r="G186" s="865" t="n"/>
      <c r="H186" s="865" t="n"/>
      <c r="I186" s="890" t="n"/>
      <c r="J186" s="890" t="n">
        <v>12.3</v>
      </c>
      <c r="K186" s="890" t="n">
        <v>11.625</v>
      </c>
      <c r="L186" s="890" t="n">
        <v>13.125</v>
      </c>
      <c r="M186" s="890" t="n">
        <v>14.175</v>
      </c>
      <c r="N186" s="890" t="n">
        <v>7.35</v>
      </c>
      <c r="O186" s="890" t="n">
        <v>12</v>
      </c>
      <c r="P186" s="890" t="n">
        <v>2.1</v>
      </c>
      <c r="Q186" s="890" t="n">
        <v>5.55</v>
      </c>
      <c r="R186" s="890" t="n">
        <v>3.6</v>
      </c>
      <c r="S186" s="913" t="n"/>
      <c r="T186" s="914" t="n"/>
      <c r="U186" s="914" t="n"/>
      <c r="V186" s="914" t="n"/>
      <c r="W186" s="914" t="n"/>
      <c r="X186" s="914" t="n"/>
      <c r="Y186" s="914" t="n"/>
      <c r="Z186" s="914" t="n"/>
      <c r="AA186" s="914" t="n"/>
      <c r="AB186" s="914" t="n"/>
      <c r="AC186" s="914" t="n"/>
      <c r="AD186" s="914" t="n"/>
      <c r="AE186" s="914" t="n"/>
      <c r="AF186" s="915" t="n"/>
      <c r="AG186" s="914" t="n"/>
      <c r="AH186" s="914" t="n"/>
      <c r="AI186" s="914" t="n"/>
      <c r="AJ186" s="914" t="n"/>
      <c r="AK186" s="914" t="n"/>
      <c r="AL186" s="914" t="n"/>
      <c r="AM186" s="914" t="n"/>
      <c r="AN186" s="914" t="n"/>
      <c r="AO186" s="914" t="n"/>
      <c r="AP186" s="914" t="n"/>
      <c r="AQ186" s="914" t="n"/>
      <c r="AR186" s="914" t="n"/>
      <c r="AS186" s="915" t="n"/>
      <c r="AT186" s="914" t="n"/>
      <c r="AU186" s="914" t="n"/>
      <c r="AV186" s="914" t="n"/>
      <c r="AW186" s="914" t="n"/>
      <c r="AX186" s="914" t="n"/>
      <c r="AY186" s="914" t="n"/>
      <c r="AZ186" s="914" t="n"/>
      <c r="BA186" s="914" t="n"/>
      <c r="BB186" s="914" t="n"/>
      <c r="BC186" s="914" t="n"/>
      <c r="BD186" s="914" t="n"/>
      <c r="BE186" s="914" t="n"/>
      <c r="BF186" s="915" t="n"/>
      <c r="BG186" s="914" t="n"/>
    </row>
    <row r="187" ht="13.2" customHeight="1" s="586">
      <c r="A187" s="858" t="n"/>
      <c r="B187" s="858" t="inlineStr">
        <is>
          <t>2. Consolidation and Near Shore Service Desk</t>
        </is>
      </c>
      <c r="C187" s="864" t="inlineStr">
        <is>
          <t xml:space="preserve"> </t>
        </is>
      </c>
      <c r="D187" s="864" t="n"/>
      <c r="E187" s="865" t="n"/>
      <c r="F187" s="865" t="n"/>
      <c r="G187" s="865" t="n"/>
      <c r="H187" s="865" t="n"/>
      <c r="I187" s="890" t="n"/>
      <c r="J187" s="890" t="n"/>
      <c r="K187" s="890" t="n"/>
      <c r="L187" s="890" t="n"/>
      <c r="M187" s="890" t="n"/>
      <c r="N187" s="890" t="n"/>
      <c r="O187" s="890" t="n">
        <v>15.18</v>
      </c>
      <c r="P187" s="890" t="n">
        <v>26.4</v>
      </c>
      <c r="Q187" s="890" t="n">
        <v>28.38</v>
      </c>
      <c r="R187" s="890" t="n">
        <v>29.7</v>
      </c>
      <c r="S187" s="913" t="n"/>
      <c r="T187" s="890" t="n">
        <v>22.44</v>
      </c>
      <c r="U187" s="890" t="n">
        <v>19.8</v>
      </c>
      <c r="V187" s="890" t="n">
        <v>17.16</v>
      </c>
      <c r="W187" s="890" t="n">
        <v>10.56</v>
      </c>
      <c r="X187" s="890" t="n">
        <v>11.88</v>
      </c>
      <c r="Y187" s="890" t="n">
        <v>11.88</v>
      </c>
      <c r="Z187" s="890" t="n">
        <v>11.88</v>
      </c>
      <c r="AA187" s="890" t="n">
        <v>18.48</v>
      </c>
      <c r="AB187" s="890" t="n">
        <v>18.48</v>
      </c>
      <c r="AC187" s="890" t="n">
        <v>21.12</v>
      </c>
      <c r="AD187" s="890" t="n">
        <v>22.44</v>
      </c>
      <c r="AE187" s="890" t="n">
        <v>0</v>
      </c>
      <c r="AF187" s="915" t="n"/>
      <c r="AG187" s="914" t="n"/>
      <c r="AH187" s="914" t="n"/>
      <c r="AI187" s="914" t="n"/>
      <c r="AJ187" s="914" t="n"/>
      <c r="AK187" s="914" t="n"/>
      <c r="AL187" s="914" t="n"/>
      <c r="AM187" s="914" t="n"/>
      <c r="AN187" s="914" t="n"/>
      <c r="AO187" s="914" t="n"/>
      <c r="AP187" s="914" t="n"/>
      <c r="AQ187" s="914" t="n"/>
      <c r="AR187" s="914" t="n"/>
      <c r="AS187" s="915" t="n"/>
      <c r="AT187" s="914" t="n"/>
      <c r="AU187" s="914" t="n"/>
      <c r="AV187" s="914" t="n"/>
      <c r="AW187" s="914" t="n"/>
      <c r="AX187" s="914" t="n"/>
      <c r="AY187" s="914" t="n"/>
      <c r="AZ187" s="914" t="n"/>
      <c r="BA187" s="914" t="n"/>
      <c r="BB187" s="914" t="n"/>
      <c r="BC187" s="914" t="n"/>
      <c r="BD187" s="914" t="n"/>
      <c r="BE187" s="914" t="n"/>
      <c r="BF187" s="915" t="n"/>
      <c r="BG187" s="914" t="n"/>
    </row>
    <row r="188" ht="13.2" customHeight="1" s="586">
      <c r="A188" s="858" t="n"/>
      <c r="B188" s="858" t="n"/>
      <c r="C188" s="864" t="inlineStr">
        <is>
          <t xml:space="preserve"> </t>
        </is>
      </c>
      <c r="D188" s="864" t="n"/>
      <c r="E188" s="865" t="n"/>
      <c r="F188" s="865" t="n"/>
      <c r="G188" s="865" t="n"/>
      <c r="H188" s="865" t="n"/>
      <c r="I188" s="890" t="n"/>
      <c r="J188" s="890" t="n"/>
      <c r="K188" s="890" t="n"/>
      <c r="L188" s="890" t="n"/>
      <c r="M188" s="890" t="n"/>
      <c r="N188" s="890" t="n"/>
      <c r="O188" s="890" t="n"/>
      <c r="P188" s="890" t="n"/>
      <c r="Q188" s="890" t="n"/>
      <c r="R188" s="890" t="n"/>
      <c r="S188" s="913" t="n"/>
      <c r="T188" s="914" t="n"/>
      <c r="U188" s="914" t="n"/>
      <c r="V188" s="914" t="n"/>
      <c r="W188" s="914" t="n"/>
      <c r="X188" s="914" t="n"/>
      <c r="Y188" s="914" t="n"/>
      <c r="Z188" s="914" t="n"/>
      <c r="AA188" s="914" t="n"/>
      <c r="AB188" s="914" t="n"/>
      <c r="AC188" s="914" t="n"/>
      <c r="AD188" s="914" t="n"/>
      <c r="AE188" s="914" t="n"/>
      <c r="AF188" s="915" t="n"/>
      <c r="AG188" s="914" t="n"/>
      <c r="AH188" s="914" t="n"/>
      <c r="AI188" s="914" t="n"/>
      <c r="AJ188" s="914" t="n"/>
      <c r="AK188" s="914" t="n"/>
      <c r="AL188" s="914" t="n"/>
      <c r="AM188" s="914" t="n"/>
      <c r="AN188" s="914" t="n"/>
      <c r="AO188" s="914" t="n"/>
      <c r="AP188" s="914" t="n"/>
      <c r="AQ188" s="914" t="n"/>
      <c r="AR188" s="914" t="n"/>
      <c r="AS188" s="915" t="n"/>
      <c r="AT188" s="914" t="n"/>
      <c r="AU188" s="914" t="n"/>
      <c r="AV188" s="914" t="n"/>
      <c r="AW188" s="914" t="n"/>
      <c r="AX188" s="914" t="n"/>
      <c r="AY188" s="914" t="n"/>
      <c r="AZ188" s="914" t="n"/>
      <c r="BA188" s="914" t="n"/>
      <c r="BB188" s="914" t="n"/>
      <c r="BC188" s="914" t="n"/>
      <c r="BD188" s="914" t="n"/>
      <c r="BE188" s="914" t="n"/>
      <c r="BF188" s="915" t="n"/>
      <c r="BG188" s="914" t="n"/>
    </row>
    <row r="189" ht="13.2" customHeight="1" s="586">
      <c r="A189" s="858" t="n"/>
      <c r="B189" s="858" t="n"/>
      <c r="C189" s="864" t="inlineStr">
        <is>
          <t xml:space="preserve"> </t>
        </is>
      </c>
      <c r="D189" s="864" t="n"/>
      <c r="E189" s="865" t="n"/>
      <c r="F189" s="865" t="n"/>
      <c r="G189" s="865" t="n"/>
      <c r="H189" s="865" t="n"/>
      <c r="I189" s="890" t="n"/>
      <c r="J189" s="890" t="n"/>
      <c r="K189" s="890" t="n"/>
      <c r="L189" s="890" t="n"/>
      <c r="M189" s="890" t="n"/>
      <c r="N189" s="890" t="n"/>
      <c r="O189" s="890" t="n"/>
      <c r="P189" s="890" t="n"/>
      <c r="Q189" s="890" t="n"/>
      <c r="R189" s="890" t="n"/>
      <c r="S189" s="913" t="n"/>
      <c r="T189" s="914" t="n"/>
      <c r="U189" s="914" t="n"/>
      <c r="V189" s="914" t="n"/>
      <c r="W189" s="914" t="n"/>
      <c r="X189" s="914" t="n"/>
      <c r="Y189" s="914" t="n"/>
      <c r="Z189" s="914" t="n"/>
      <c r="AA189" s="914" t="n"/>
      <c r="AB189" s="914" t="n"/>
      <c r="AC189" s="914" t="n"/>
      <c r="AD189" s="914" t="n"/>
      <c r="AE189" s="914" t="n"/>
      <c r="AF189" s="915" t="n"/>
      <c r="AG189" s="914" t="n"/>
      <c r="AH189" s="914" t="n"/>
      <c r="AI189" s="914" t="n"/>
      <c r="AJ189" s="914" t="n"/>
      <c r="AK189" s="914" t="n"/>
      <c r="AL189" s="914" t="n"/>
      <c r="AM189" s="914" t="n"/>
      <c r="AN189" s="914" t="n"/>
      <c r="AO189" s="914" t="n"/>
      <c r="AP189" s="914" t="n"/>
      <c r="AQ189" s="914" t="n"/>
      <c r="AR189" s="914" t="n"/>
      <c r="AS189" s="915" t="n"/>
      <c r="AT189" s="914" t="n"/>
      <c r="AU189" s="914" t="n"/>
      <c r="AV189" s="914" t="n"/>
      <c r="AW189" s="914" t="n"/>
      <c r="AX189" s="914" t="n"/>
      <c r="AY189" s="914" t="n"/>
      <c r="AZ189" s="914" t="n"/>
      <c r="BA189" s="914" t="n"/>
      <c r="BB189" s="914" t="n"/>
      <c r="BC189" s="914" t="n"/>
      <c r="BD189" s="914" t="n"/>
      <c r="BE189" s="914" t="n"/>
      <c r="BF189" s="915" t="n"/>
      <c r="BG189" s="914" t="n"/>
    </row>
    <row r="190" ht="13.2" customHeight="1" s="586">
      <c r="A190" s="858" t="n"/>
      <c r="B190" s="858" t="n"/>
      <c r="C190" s="864" t="n"/>
      <c r="D190" s="864" t="n"/>
      <c r="E190" s="865" t="n"/>
      <c r="F190" s="865" t="n"/>
      <c r="G190" s="865" t="n"/>
      <c r="H190" s="865" t="n"/>
      <c r="I190" s="890" t="n"/>
      <c r="J190" s="890" t="n"/>
      <c r="K190" s="890" t="n"/>
      <c r="L190" s="890" t="n"/>
      <c r="M190" s="890" t="n"/>
      <c r="N190" s="890" t="n"/>
      <c r="O190" s="890" t="n"/>
      <c r="P190" s="890" t="n"/>
      <c r="Q190" s="890" t="n"/>
      <c r="R190" s="890" t="n"/>
      <c r="S190" s="913" t="n"/>
      <c r="T190" s="914" t="n"/>
      <c r="U190" s="914" t="n"/>
      <c r="V190" s="914" t="n"/>
      <c r="W190" s="914" t="n"/>
      <c r="X190" s="914" t="n"/>
      <c r="Y190" s="914" t="n"/>
      <c r="Z190" s="914" t="n"/>
      <c r="AA190" s="914" t="n"/>
      <c r="AB190" s="914" t="n"/>
      <c r="AC190" s="914" t="n"/>
      <c r="AD190" s="914" t="n"/>
      <c r="AE190" s="914" t="n"/>
      <c r="AF190" s="915" t="n"/>
      <c r="AG190" s="914" t="n"/>
      <c r="AH190" s="914" t="n"/>
      <c r="AI190" s="914" t="n"/>
      <c r="AJ190" s="914" t="n"/>
      <c r="AK190" s="914" t="n"/>
      <c r="AL190" s="914" t="n"/>
      <c r="AM190" s="914" t="n"/>
      <c r="AN190" s="914" t="n"/>
      <c r="AO190" s="914" t="n"/>
      <c r="AP190" s="914" t="n"/>
      <c r="AQ190" s="914" t="n"/>
      <c r="AR190" s="914" t="n"/>
      <c r="AS190" s="915" t="n"/>
      <c r="AT190" s="914" t="n"/>
      <c r="AU190" s="914" t="n"/>
      <c r="AV190" s="914" t="n"/>
      <c r="AW190" s="914" t="n"/>
      <c r="AX190" s="914" t="n"/>
      <c r="AY190" s="914" t="n"/>
      <c r="AZ190" s="914" t="n"/>
      <c r="BA190" s="914" t="n"/>
      <c r="BB190" s="914" t="n"/>
      <c r="BC190" s="914" t="n"/>
      <c r="BD190" s="914" t="n"/>
      <c r="BE190" s="914" t="n"/>
      <c r="BF190" s="915" t="n"/>
      <c r="BG190" s="914" t="n"/>
    </row>
    <row r="191" ht="13.2" customHeight="1" s="586">
      <c r="A191" s="858" t="n"/>
      <c r="B191" s="858" t="n"/>
      <c r="C191" s="864" t="n"/>
      <c r="D191" s="864" t="n"/>
      <c r="E191" s="865" t="n"/>
      <c r="F191" s="865" t="n"/>
      <c r="G191" s="865" t="n"/>
      <c r="H191" s="865" t="n"/>
      <c r="I191" s="890" t="n"/>
      <c r="J191" s="890" t="n"/>
      <c r="K191" s="890" t="n"/>
      <c r="L191" s="890" t="n"/>
      <c r="M191" s="890" t="n"/>
      <c r="N191" s="890" t="n"/>
      <c r="O191" s="890" t="n"/>
      <c r="P191" s="890" t="n"/>
      <c r="Q191" s="890" t="n"/>
      <c r="R191" s="890" t="n"/>
      <c r="S191" s="913" t="n"/>
      <c r="T191" s="914" t="n"/>
      <c r="U191" s="914" t="n"/>
      <c r="V191" s="914" t="n"/>
      <c r="W191" s="914" t="n"/>
      <c r="X191" s="914" t="n"/>
      <c r="Y191" s="914" t="n"/>
      <c r="Z191" s="914" t="n"/>
      <c r="AA191" s="914" t="n"/>
      <c r="AB191" s="914" t="n"/>
      <c r="AC191" s="914" t="n"/>
      <c r="AD191" s="914" t="n"/>
      <c r="AE191" s="914" t="n"/>
      <c r="AF191" s="915" t="n"/>
      <c r="AG191" s="914" t="n"/>
      <c r="AH191" s="914" t="n"/>
      <c r="AI191" s="914" t="n"/>
      <c r="AJ191" s="914" t="n"/>
      <c r="AK191" s="914" t="n"/>
      <c r="AL191" s="914" t="n"/>
      <c r="AM191" s="914" t="n"/>
      <c r="AN191" s="914" t="n"/>
      <c r="AO191" s="914" t="n"/>
      <c r="AP191" s="914" t="n"/>
      <c r="AQ191" s="914" t="n"/>
      <c r="AR191" s="914" t="n"/>
      <c r="AS191" s="915" t="n"/>
      <c r="AT191" s="914" t="n"/>
      <c r="AU191" s="914" t="n"/>
      <c r="AV191" s="914" t="n"/>
      <c r="AW191" s="914" t="n"/>
      <c r="AX191" s="914" t="n"/>
      <c r="AY191" s="914" t="n"/>
      <c r="AZ191" s="914" t="n"/>
      <c r="BA191" s="914" t="n"/>
      <c r="BB191" s="914" t="n"/>
      <c r="BC191" s="914" t="n"/>
      <c r="BD191" s="914" t="n"/>
      <c r="BE191" s="914" t="n"/>
      <c r="BF191" s="915" t="n"/>
      <c r="BG191" s="914" t="n"/>
    </row>
    <row r="192" ht="13.2" customHeight="1" s="586">
      <c r="A192" s="858" t="n"/>
      <c r="B192" s="858" t="n"/>
      <c r="C192" s="864" t="inlineStr">
        <is>
          <t xml:space="preserve"> </t>
        </is>
      </c>
      <c r="D192" s="864" t="n"/>
      <c r="E192" s="865" t="n"/>
      <c r="F192" s="865" t="n"/>
      <c r="G192" s="865" t="n"/>
      <c r="H192" s="865" t="n"/>
      <c r="I192" s="890" t="n"/>
      <c r="J192" s="890" t="n"/>
      <c r="K192" s="890" t="n"/>
      <c r="L192" s="890" t="n"/>
      <c r="M192" s="890" t="n"/>
      <c r="N192" s="890" t="n"/>
      <c r="O192" s="890" t="n"/>
      <c r="P192" s="890" t="n"/>
      <c r="Q192" s="890" t="n"/>
      <c r="R192" s="890" t="n"/>
      <c r="S192" s="913" t="n"/>
      <c r="T192" s="914" t="n"/>
      <c r="U192" s="914" t="n"/>
      <c r="V192" s="914" t="n"/>
      <c r="W192" s="914" t="n"/>
      <c r="X192" s="914" t="n"/>
      <c r="Y192" s="914" t="n"/>
      <c r="Z192" s="914" t="n"/>
      <c r="AA192" s="914" t="n"/>
      <c r="AB192" s="914" t="n"/>
      <c r="AC192" s="914" t="n"/>
      <c r="AD192" s="914" t="n"/>
      <c r="AE192" s="914" t="n"/>
      <c r="AF192" s="915" t="n"/>
      <c r="AG192" s="914" t="n"/>
      <c r="AH192" s="914" t="n"/>
      <c r="AI192" s="914" t="n"/>
      <c r="AJ192" s="914" t="n"/>
      <c r="AK192" s="914" t="n"/>
      <c r="AL192" s="914" t="n"/>
      <c r="AM192" s="914" t="n"/>
      <c r="AN192" s="914" t="n"/>
      <c r="AO192" s="914" t="n"/>
      <c r="AP192" s="914" t="n"/>
      <c r="AQ192" s="914" t="n"/>
      <c r="AR192" s="914" t="n"/>
      <c r="AS192" s="915" t="n"/>
      <c r="AT192" s="914" t="n"/>
      <c r="AU192" s="914" t="n"/>
      <c r="AV192" s="914" t="n"/>
      <c r="AW192" s="914" t="n"/>
      <c r="AX192" s="914" t="n"/>
      <c r="AY192" s="914" t="n"/>
      <c r="AZ192" s="914" t="n"/>
      <c r="BA192" s="914" t="n"/>
      <c r="BB192" s="914" t="n"/>
      <c r="BC192" s="914" t="n"/>
      <c r="BD192" s="914" t="n"/>
      <c r="BE192" s="914" t="n"/>
      <c r="BF192" s="915" t="n"/>
      <c r="BG192" s="914" t="n"/>
    </row>
    <row r="193" ht="13.2" customHeight="1" s="586">
      <c r="A193" s="858" t="n"/>
      <c r="B193" s="858" t="n"/>
      <c r="C193" s="864" t="inlineStr">
        <is>
          <t xml:space="preserve"> </t>
        </is>
      </c>
      <c r="D193" s="864" t="n"/>
      <c r="E193" s="865" t="n"/>
      <c r="F193" s="865" t="n"/>
      <c r="G193" s="865" t="n"/>
      <c r="H193" s="865" t="n"/>
      <c r="I193" s="890" t="n"/>
      <c r="J193" s="890" t="n"/>
      <c r="K193" s="890" t="n"/>
      <c r="L193" s="890" t="n"/>
      <c r="M193" s="890" t="n"/>
      <c r="N193" s="890" t="n"/>
      <c r="O193" s="890" t="n"/>
      <c r="P193" s="890" t="n"/>
      <c r="Q193" s="890" t="n"/>
      <c r="R193" s="890" t="n"/>
      <c r="S193" s="913" t="n"/>
      <c r="T193" s="914" t="n"/>
      <c r="U193" s="914" t="n"/>
      <c r="V193" s="914" t="n"/>
      <c r="W193" s="914" t="n"/>
      <c r="X193" s="914" t="n"/>
      <c r="Y193" s="914" t="n"/>
      <c r="Z193" s="914" t="n"/>
      <c r="AA193" s="914" t="n"/>
      <c r="AB193" s="914" t="n"/>
      <c r="AC193" s="914" t="n"/>
      <c r="AD193" s="914" t="n"/>
      <c r="AE193" s="914" t="n"/>
      <c r="AF193" s="915" t="n"/>
      <c r="AG193" s="914" t="n"/>
      <c r="AH193" s="914" t="n"/>
      <c r="AI193" s="914" t="n"/>
      <c r="AJ193" s="914" t="n"/>
      <c r="AK193" s="914" t="n"/>
      <c r="AL193" s="914" t="n"/>
      <c r="AM193" s="914" t="n"/>
      <c r="AN193" s="914" t="n"/>
      <c r="AO193" s="914" t="n"/>
      <c r="AP193" s="914" t="n"/>
      <c r="AQ193" s="914" t="n"/>
      <c r="AR193" s="914" t="n"/>
      <c r="AS193" s="915" t="n"/>
      <c r="AT193" s="914" t="n"/>
      <c r="AU193" s="914" t="n"/>
      <c r="AV193" s="914" t="n"/>
      <c r="AW193" s="914" t="n"/>
      <c r="AX193" s="914" t="n"/>
      <c r="AY193" s="914" t="n"/>
      <c r="AZ193" s="914" t="n"/>
      <c r="BA193" s="914" t="n"/>
      <c r="BB193" s="914" t="n"/>
      <c r="BC193" s="914" t="n"/>
      <c r="BD193" s="914" t="n"/>
      <c r="BE193" s="914" t="n"/>
      <c r="BF193" s="915" t="n"/>
      <c r="BG193" s="914" t="n"/>
    </row>
    <row r="194" ht="13.8" customHeight="1" s="586">
      <c r="A194" s="858" t="n"/>
      <c r="B194" s="885" t="n"/>
      <c r="C194" s="868" t="inlineStr">
        <is>
          <t xml:space="preserve"> </t>
        </is>
      </c>
      <c r="D194" s="868" t="n"/>
      <c r="E194" s="869" t="n"/>
      <c r="F194" s="869" t="n"/>
      <c r="G194" s="869" t="n"/>
      <c r="H194" s="869" t="n"/>
      <c r="I194" s="891" t="n"/>
      <c r="J194" s="891" t="n"/>
      <c r="K194" s="891" t="n"/>
      <c r="L194" s="891" t="n"/>
      <c r="M194" s="891" t="n"/>
      <c r="N194" s="891" t="n"/>
      <c r="O194" s="891" t="n"/>
      <c r="P194" s="891" t="n"/>
      <c r="Q194" s="891" t="n"/>
      <c r="R194" s="891" t="n"/>
      <c r="S194" s="916" t="n"/>
      <c r="T194" s="917" t="n"/>
      <c r="U194" s="917" t="n"/>
      <c r="V194" s="917" t="n"/>
      <c r="W194" s="917" t="n"/>
      <c r="X194" s="917" t="n"/>
      <c r="Y194" s="917" t="n"/>
      <c r="Z194" s="917" t="n"/>
      <c r="AA194" s="917" t="n"/>
      <c r="AB194" s="917" t="n"/>
      <c r="AC194" s="917" t="n"/>
      <c r="AD194" s="917" t="n"/>
      <c r="AE194" s="917" t="n"/>
      <c r="AF194" s="918" t="n"/>
      <c r="AG194" s="917" t="n"/>
      <c r="AH194" s="917" t="n"/>
      <c r="AI194" s="917" t="n"/>
      <c r="AJ194" s="917" t="n"/>
      <c r="AK194" s="917" t="n"/>
      <c r="AL194" s="917" t="n"/>
      <c r="AM194" s="917" t="n"/>
      <c r="AN194" s="917" t="n"/>
      <c r="AO194" s="917" t="n"/>
      <c r="AP194" s="917" t="n"/>
      <c r="AQ194" s="917" t="n"/>
      <c r="AR194" s="917" t="n"/>
      <c r="AS194" s="918" t="n"/>
      <c r="AT194" s="917" t="n"/>
      <c r="AU194" s="917" t="n"/>
      <c r="AV194" s="917" t="n"/>
      <c r="AW194" s="917" t="n"/>
      <c r="AX194" s="917" t="n"/>
      <c r="AY194" s="917" t="n"/>
      <c r="AZ194" s="917" t="n"/>
      <c r="BA194" s="917" t="n"/>
      <c r="BB194" s="917" t="n"/>
      <c r="BC194" s="917" t="n"/>
      <c r="BD194" s="917" t="n"/>
      <c r="BE194" s="917" t="n"/>
      <c r="BF194" s="918" t="n"/>
      <c r="BG194" s="917" t="n"/>
    </row>
    <row r="195" ht="13.8" customHeight="1" s="586">
      <c r="A195" s="849" t="n"/>
      <c r="B195" s="871" t="inlineStr">
        <is>
          <t>TOTAL</t>
        </is>
      </c>
      <c r="C195" s="872" t="n"/>
      <c r="D195" s="872" t="n"/>
      <c r="E195" s="873" t="n">
        <v>0</v>
      </c>
      <c r="F195" s="873" t="n">
        <v>0</v>
      </c>
      <c r="G195" s="873" t="n">
        <v>0</v>
      </c>
      <c r="H195" s="873" t="n">
        <v>0</v>
      </c>
      <c r="I195" s="904" t="n">
        <v>0</v>
      </c>
      <c r="J195" s="904" t="n">
        <v>12.3</v>
      </c>
      <c r="K195" s="904" t="n">
        <v>11.625</v>
      </c>
      <c r="L195" s="904" t="n">
        <v>13.125</v>
      </c>
      <c r="M195" s="904" t="n">
        <v>14.175</v>
      </c>
      <c r="N195" s="904" t="n">
        <v>7.35</v>
      </c>
      <c r="O195" s="904" t="n">
        <v>27.18</v>
      </c>
      <c r="P195" s="904" t="n">
        <v>28.5</v>
      </c>
      <c r="Q195" s="904" t="n">
        <v>33.93</v>
      </c>
      <c r="R195" s="904" t="n">
        <v>33.3</v>
      </c>
      <c r="S195" s="904" t="n"/>
      <c r="T195" s="904" t="n">
        <v>22.44</v>
      </c>
      <c r="U195" s="904" t="n">
        <v>19.8</v>
      </c>
      <c r="V195" s="904" t="n">
        <v>17.16</v>
      </c>
      <c r="W195" s="904" t="n">
        <v>10.56</v>
      </c>
      <c r="X195" s="904" t="n">
        <v>11.88</v>
      </c>
      <c r="Y195" s="904" t="n">
        <v>11.88</v>
      </c>
      <c r="Z195" s="904" t="n">
        <v>11.88</v>
      </c>
      <c r="AA195" s="904" t="n">
        <v>18.48</v>
      </c>
      <c r="AB195" s="904" t="n">
        <v>18.48</v>
      </c>
      <c r="AC195" s="904" t="n">
        <v>21.12</v>
      </c>
      <c r="AD195" s="904" t="n">
        <v>22.44</v>
      </c>
      <c r="AE195" s="904" t="n">
        <v>0</v>
      </c>
      <c r="AF195" s="904" t="n"/>
      <c r="AG195" s="904" t="n">
        <v>0</v>
      </c>
      <c r="AH195" s="904" t="n">
        <v>0</v>
      </c>
      <c r="AI195" s="904" t="n">
        <v>0</v>
      </c>
      <c r="AJ195" s="904" t="n">
        <v>0</v>
      </c>
      <c r="AK195" s="904" t="n">
        <v>0</v>
      </c>
      <c r="AL195" s="904" t="n">
        <v>0</v>
      </c>
      <c r="AM195" s="904" t="n">
        <v>0</v>
      </c>
      <c r="AN195" s="904" t="n">
        <v>0</v>
      </c>
      <c r="AO195" s="904" t="n">
        <v>0</v>
      </c>
      <c r="AP195" s="904" t="n">
        <v>0</v>
      </c>
      <c r="AQ195" s="904" t="n">
        <v>0</v>
      </c>
      <c r="AR195" s="904" t="n">
        <v>0</v>
      </c>
      <c r="AS195" s="904" t="n"/>
      <c r="AT195" s="904" t="n">
        <v>0</v>
      </c>
      <c r="AU195" s="904" t="n">
        <v>0</v>
      </c>
      <c r="AV195" s="904" t="n">
        <v>0</v>
      </c>
      <c r="AW195" s="904" t="n">
        <v>0</v>
      </c>
      <c r="AX195" s="904" t="n">
        <v>0</v>
      </c>
      <c r="AY195" s="904" t="n">
        <v>0</v>
      </c>
      <c r="AZ195" s="904" t="n">
        <v>0</v>
      </c>
      <c r="BA195" s="904" t="n">
        <v>0</v>
      </c>
      <c r="BB195" s="904" t="n">
        <v>0</v>
      </c>
      <c r="BC195" s="904" t="n">
        <v>0</v>
      </c>
      <c r="BD195" s="904" t="n">
        <v>0</v>
      </c>
      <c r="BE195" s="904" t="n">
        <v>0</v>
      </c>
      <c r="BF195" s="904" t="n"/>
      <c r="BG195" s="919" t="n"/>
    </row>
    <row r="196"/>
    <row r="197" ht="13.8" customHeight="1" s="586">
      <c r="B197" s="813" t="n"/>
      <c r="D197" s="905" t="n"/>
      <c r="E197" s="906" t="n"/>
      <c r="F197" s="906" t="n"/>
      <c r="G197" s="907" t="n"/>
      <c r="H197" s="906" t="n"/>
      <c r="I197" s="815" t="inlineStr">
        <is>
          <t>Transformation</t>
        </is>
      </c>
      <c r="J197" s="907" t="n"/>
      <c r="K197" s="817" t="n"/>
      <c r="L197" s="815" t="n"/>
      <c r="M197" s="815" t="n"/>
      <c r="N197" s="817" t="n"/>
      <c r="O197" s="815" t="n"/>
    </row>
    <row r="198" ht="13.2" customHeight="1" s="586">
      <c r="B198" s="819" t="inlineStr">
        <is>
          <t>TelCo</t>
        </is>
      </c>
      <c r="C198" s="820" t="n"/>
      <c r="D198" s="820" t="inlineStr">
        <is>
          <t>Month -2</t>
        </is>
      </c>
      <c r="E198" s="821" t="inlineStr">
        <is>
          <t>Month -1</t>
        </is>
      </c>
      <c r="F198" s="821" t="inlineStr">
        <is>
          <t>Month 0</t>
        </is>
      </c>
      <c r="G198" s="821" t="inlineStr">
        <is>
          <t>Month 1</t>
        </is>
      </c>
      <c r="H198" s="822" t="inlineStr">
        <is>
          <t>Month 2</t>
        </is>
      </c>
      <c r="I198" s="822" t="inlineStr">
        <is>
          <t>Month 3</t>
        </is>
      </c>
      <c r="J198" s="822" t="inlineStr">
        <is>
          <t>Month 4</t>
        </is>
      </c>
      <c r="K198" s="822" t="inlineStr">
        <is>
          <t>Month 5</t>
        </is>
      </c>
      <c r="L198" s="822" t="inlineStr">
        <is>
          <t>Month 6</t>
        </is>
      </c>
      <c r="M198" s="822" t="inlineStr">
        <is>
          <t>Month 7</t>
        </is>
      </c>
      <c r="N198" s="822" t="inlineStr">
        <is>
          <t>Month 8</t>
        </is>
      </c>
      <c r="O198" s="822" t="inlineStr">
        <is>
          <t>Month 9</t>
        </is>
      </c>
      <c r="P198" s="822" t="inlineStr">
        <is>
          <t>Month 10</t>
        </is>
      </c>
      <c r="Q198" s="822" t="inlineStr">
        <is>
          <t>Month 11</t>
        </is>
      </c>
      <c r="R198" s="822" t="inlineStr">
        <is>
          <t>Month 12</t>
        </is>
      </c>
      <c r="S198" s="821" t="inlineStr">
        <is>
          <t>Year 1</t>
        </is>
      </c>
      <c r="T198" s="822" t="inlineStr">
        <is>
          <t>Month 13</t>
        </is>
      </c>
      <c r="U198" s="822" t="inlineStr">
        <is>
          <t>Month 14</t>
        </is>
      </c>
      <c r="V198" s="822" t="inlineStr">
        <is>
          <t>Month 15</t>
        </is>
      </c>
      <c r="W198" s="822" t="inlineStr">
        <is>
          <t>Month 16</t>
        </is>
      </c>
      <c r="X198" s="822" t="inlineStr">
        <is>
          <t>Month 17</t>
        </is>
      </c>
      <c r="Y198" s="822" t="inlineStr">
        <is>
          <t>Month 18</t>
        </is>
      </c>
      <c r="Z198" s="822" t="inlineStr">
        <is>
          <t>Month 19</t>
        </is>
      </c>
      <c r="AA198" s="822" t="inlineStr">
        <is>
          <t>Month 20</t>
        </is>
      </c>
      <c r="AB198" s="822" t="inlineStr">
        <is>
          <t>Month 21</t>
        </is>
      </c>
      <c r="AC198" s="822" t="inlineStr">
        <is>
          <t>Month 22</t>
        </is>
      </c>
      <c r="AD198" s="822" t="inlineStr">
        <is>
          <t>Month 23</t>
        </is>
      </c>
      <c r="AE198" s="822" t="inlineStr">
        <is>
          <t>Month 24</t>
        </is>
      </c>
      <c r="AF198" s="822" t="inlineStr">
        <is>
          <t>Year 2</t>
        </is>
      </c>
      <c r="AG198" s="822" t="inlineStr">
        <is>
          <t>Month 25</t>
        </is>
      </c>
      <c r="AH198" s="822" t="inlineStr">
        <is>
          <t>Month 26</t>
        </is>
      </c>
      <c r="AI198" s="822" t="inlineStr">
        <is>
          <t>Month 27</t>
        </is>
      </c>
      <c r="AJ198" s="822" t="inlineStr">
        <is>
          <t>Month 28</t>
        </is>
      </c>
      <c r="AK198" s="822" t="inlineStr">
        <is>
          <t>Month 29</t>
        </is>
      </c>
      <c r="AL198" s="822" t="inlineStr">
        <is>
          <t>Month 30</t>
        </is>
      </c>
      <c r="AM198" s="822" t="inlineStr">
        <is>
          <t>Month 31</t>
        </is>
      </c>
      <c r="AN198" s="822" t="inlineStr">
        <is>
          <t>Month 32</t>
        </is>
      </c>
      <c r="AO198" s="822" t="inlineStr">
        <is>
          <t>Month 33</t>
        </is>
      </c>
      <c r="AP198" s="822" t="inlineStr">
        <is>
          <t>Month 34</t>
        </is>
      </c>
      <c r="AQ198" s="822" t="inlineStr">
        <is>
          <t>Month 35</t>
        </is>
      </c>
      <c r="AR198" s="822" t="inlineStr">
        <is>
          <t>Month 36</t>
        </is>
      </c>
      <c r="AS198" s="822" t="inlineStr">
        <is>
          <t>Year 3</t>
        </is>
      </c>
      <c r="AT198" s="822" t="inlineStr">
        <is>
          <t>Month 37</t>
        </is>
      </c>
      <c r="AU198" s="822" t="inlineStr">
        <is>
          <t>Month 38</t>
        </is>
      </c>
      <c r="AV198" s="822" t="inlineStr">
        <is>
          <t>Month 39</t>
        </is>
      </c>
      <c r="AW198" s="822" t="inlineStr">
        <is>
          <t>Month 40</t>
        </is>
      </c>
      <c r="AX198" s="822" t="inlineStr">
        <is>
          <t>Month 41</t>
        </is>
      </c>
      <c r="AY198" s="822" t="inlineStr">
        <is>
          <t>Month 42</t>
        </is>
      </c>
      <c r="AZ198" s="822" t="inlineStr">
        <is>
          <t>Month 43</t>
        </is>
      </c>
      <c r="BA198" s="822" t="inlineStr">
        <is>
          <t>Month 44</t>
        </is>
      </c>
      <c r="BB198" s="822" t="inlineStr">
        <is>
          <t>Month 45</t>
        </is>
      </c>
      <c r="BC198" s="822" t="inlineStr">
        <is>
          <t>Month 46</t>
        </is>
      </c>
      <c r="BD198" s="822" t="inlineStr">
        <is>
          <t>Month 47</t>
        </is>
      </c>
      <c r="BE198" s="822" t="inlineStr">
        <is>
          <t>Month 48</t>
        </is>
      </c>
      <c r="BF198" s="822" t="inlineStr">
        <is>
          <t>Year 4</t>
        </is>
      </c>
      <c r="BG198" s="821" t="inlineStr">
        <is>
          <t>Total</t>
        </is>
      </c>
    </row>
    <row r="199" ht="14.4" customHeight="1" s="586">
      <c r="B199" s="823" t="n"/>
      <c r="C199" s="824" t="n"/>
      <c r="D199" s="824" t="inlineStr">
        <is>
          <t>(Euro)</t>
        </is>
      </c>
      <c r="E199" s="825" t="inlineStr">
        <is>
          <t>(Euro)</t>
        </is>
      </c>
      <c r="F199" s="825" t="inlineStr">
        <is>
          <t>(Euro)</t>
        </is>
      </c>
      <c r="G199" s="825" t="inlineStr">
        <is>
          <t>(Euro)</t>
        </is>
      </c>
      <c r="H199" s="826" t="inlineStr">
        <is>
          <t>(Euro)</t>
        </is>
      </c>
      <c r="I199" s="826" t="inlineStr">
        <is>
          <t>(Euro)</t>
        </is>
      </c>
      <c r="J199" s="826" t="inlineStr">
        <is>
          <t>(Euro)</t>
        </is>
      </c>
      <c r="K199" s="826" t="inlineStr">
        <is>
          <t>(Euro)</t>
        </is>
      </c>
      <c r="L199" s="826" t="inlineStr">
        <is>
          <t>(Euro)</t>
        </is>
      </c>
      <c r="M199" s="826" t="inlineStr">
        <is>
          <t>(Euro)</t>
        </is>
      </c>
      <c r="N199" s="826" t="inlineStr">
        <is>
          <t>(Euro)</t>
        </is>
      </c>
      <c r="O199" s="826" t="inlineStr">
        <is>
          <t>(Euro)</t>
        </is>
      </c>
      <c r="P199" s="826" t="inlineStr">
        <is>
          <t>(Euro)</t>
        </is>
      </c>
      <c r="Q199" s="826" t="inlineStr">
        <is>
          <t>(Euro)</t>
        </is>
      </c>
      <c r="R199" s="826" t="inlineStr">
        <is>
          <t>(Euro)</t>
        </is>
      </c>
      <c r="S199" s="825" t="inlineStr">
        <is>
          <t>(Euro)</t>
        </is>
      </c>
      <c r="T199" s="826" t="inlineStr">
        <is>
          <t>(Euro)</t>
        </is>
      </c>
      <c r="U199" s="826" t="inlineStr">
        <is>
          <t>(Euro)</t>
        </is>
      </c>
      <c r="V199" s="826" t="inlineStr">
        <is>
          <t>(Euro)</t>
        </is>
      </c>
      <c r="W199" s="826" t="inlineStr">
        <is>
          <t>(Euro)</t>
        </is>
      </c>
      <c r="X199" s="826" t="inlineStr">
        <is>
          <t>(Euro)</t>
        </is>
      </c>
      <c r="Y199" s="826" t="inlineStr">
        <is>
          <t>(Euro)</t>
        </is>
      </c>
      <c r="Z199" s="826" t="inlineStr">
        <is>
          <t>(Euro)</t>
        </is>
      </c>
      <c r="AA199" s="826" t="inlineStr">
        <is>
          <t>(Euro)</t>
        </is>
      </c>
      <c r="AB199" s="826" t="inlineStr">
        <is>
          <t>(Euro)</t>
        </is>
      </c>
      <c r="AC199" s="826" t="inlineStr">
        <is>
          <t>(Euro)</t>
        </is>
      </c>
      <c r="AD199" s="826" t="inlineStr">
        <is>
          <t>(Euro)</t>
        </is>
      </c>
      <c r="AE199" s="826" t="inlineStr">
        <is>
          <t>(Euro)</t>
        </is>
      </c>
      <c r="AF199" s="826" t="inlineStr">
        <is>
          <t>(Euro)</t>
        </is>
      </c>
      <c r="AG199" s="826" t="inlineStr">
        <is>
          <t>(Euro)</t>
        </is>
      </c>
      <c r="AH199" s="826" t="inlineStr">
        <is>
          <t>(Euro)</t>
        </is>
      </c>
      <c r="AI199" s="826" t="inlineStr">
        <is>
          <t>(Euro)</t>
        </is>
      </c>
      <c r="AJ199" s="826" t="inlineStr">
        <is>
          <t>(Euro)</t>
        </is>
      </c>
      <c r="AK199" s="826" t="inlineStr">
        <is>
          <t>(Euro)</t>
        </is>
      </c>
      <c r="AL199" s="826" t="inlineStr">
        <is>
          <t>(Euro)</t>
        </is>
      </c>
      <c r="AM199" s="826" t="inlineStr">
        <is>
          <t>(Euro)</t>
        </is>
      </c>
      <c r="AN199" s="826" t="inlineStr">
        <is>
          <t>(Euro)</t>
        </is>
      </c>
      <c r="AO199" s="826" t="inlineStr">
        <is>
          <t>(Euro)</t>
        </is>
      </c>
      <c r="AP199" s="826" t="inlineStr">
        <is>
          <t>(Euro)</t>
        </is>
      </c>
      <c r="AQ199" s="826" t="inlineStr">
        <is>
          <t>(Euro)</t>
        </is>
      </c>
      <c r="AR199" s="826" t="inlineStr">
        <is>
          <t>(Euro)</t>
        </is>
      </c>
      <c r="AS199" s="826" t="inlineStr">
        <is>
          <t>(Euro)</t>
        </is>
      </c>
      <c r="AT199" s="826" t="inlineStr">
        <is>
          <t>(Euro)</t>
        </is>
      </c>
      <c r="AU199" s="826" t="inlineStr">
        <is>
          <t>(Euro)</t>
        </is>
      </c>
      <c r="AV199" s="826" t="inlineStr">
        <is>
          <t>(Euro)</t>
        </is>
      </c>
      <c r="AW199" s="826" t="inlineStr">
        <is>
          <t>(Euro)</t>
        </is>
      </c>
      <c r="AX199" s="826" t="inlineStr">
        <is>
          <t>(Euro)</t>
        </is>
      </c>
      <c r="AY199" s="826" t="inlineStr">
        <is>
          <t>(Euro)</t>
        </is>
      </c>
      <c r="AZ199" s="826" t="inlineStr">
        <is>
          <t>(Euro)</t>
        </is>
      </c>
      <c r="BA199" s="826" t="inlineStr">
        <is>
          <t>(Euro)</t>
        </is>
      </c>
      <c r="BB199" s="826" t="inlineStr">
        <is>
          <t>(Euro)</t>
        </is>
      </c>
      <c r="BC199" s="826" t="inlineStr">
        <is>
          <t>(Euro)</t>
        </is>
      </c>
      <c r="BD199" s="826" t="inlineStr">
        <is>
          <t>(Euro)</t>
        </is>
      </c>
      <c r="BE199" s="826" t="inlineStr">
        <is>
          <t>(Euro)</t>
        </is>
      </c>
      <c r="BF199" s="826" t="inlineStr">
        <is>
          <t>(Euro)</t>
        </is>
      </c>
      <c r="BG199" s="825" t="inlineStr">
        <is>
          <t>(Euro)</t>
        </is>
      </c>
    </row>
    <row r="200" ht="13.2" customHeight="1" s="586">
      <c r="B200" s="855" t="n"/>
      <c r="C200" s="828" t="n"/>
      <c r="D200" s="829" t="n"/>
      <c r="E200" s="830" t="n"/>
      <c r="F200" s="831" t="n"/>
      <c r="G200" s="830" t="n"/>
      <c r="H200" s="832" t="n"/>
      <c r="I200" s="832" t="n"/>
      <c r="J200" s="832" t="n"/>
      <c r="K200" s="832" t="n"/>
      <c r="L200" s="832" t="n"/>
      <c r="M200" s="832" t="n"/>
      <c r="N200" s="832" t="n"/>
      <c r="O200" s="832" t="n"/>
      <c r="P200" s="832" t="n"/>
      <c r="Q200" s="832" t="n"/>
      <c r="R200" s="832" t="n"/>
      <c r="S200" s="833" t="n"/>
      <c r="T200" s="832" t="n"/>
      <c r="U200" s="832" t="n"/>
      <c r="V200" s="832" t="n"/>
      <c r="W200" s="832" t="n"/>
      <c r="X200" s="832" t="n"/>
      <c r="Y200" s="832" t="n"/>
      <c r="Z200" s="832" t="n"/>
      <c r="AA200" s="832" t="n"/>
      <c r="AB200" s="832" t="n"/>
      <c r="AC200" s="832" t="n"/>
      <c r="AD200" s="832" t="n"/>
      <c r="AE200" s="832" t="n"/>
      <c r="AF200" s="834" t="n"/>
      <c r="AG200" s="832" t="n"/>
      <c r="AH200" s="832" t="n"/>
      <c r="AI200" s="832" t="n"/>
      <c r="AJ200" s="832" t="n"/>
      <c r="AK200" s="832" t="n"/>
      <c r="AL200" s="832" t="n"/>
      <c r="AM200" s="832" t="n"/>
      <c r="AN200" s="832" t="n"/>
      <c r="AO200" s="832" t="n"/>
      <c r="AP200" s="832" t="n"/>
      <c r="AQ200" s="832" t="n"/>
      <c r="AR200" s="832" t="n"/>
      <c r="AS200" s="834" t="n"/>
      <c r="AT200" s="832" t="n"/>
      <c r="AU200" s="832" t="n"/>
      <c r="AV200" s="832" t="n"/>
      <c r="AW200" s="832" t="n"/>
      <c r="AX200" s="832" t="n"/>
      <c r="AY200" s="832" t="n"/>
      <c r="AZ200" s="832" t="n"/>
      <c r="BA200" s="832" t="n"/>
      <c r="BB200" s="832" t="n"/>
      <c r="BC200" s="832" t="n"/>
      <c r="BD200" s="832" t="n"/>
      <c r="BE200" s="832" t="n"/>
      <c r="BF200" s="834" t="n"/>
      <c r="BG200" s="835" t="n"/>
    </row>
    <row r="201" ht="13.2" customHeight="1" s="586">
      <c r="B201" s="882" t="inlineStr">
        <is>
          <t>1. From As to Be</t>
        </is>
      </c>
      <c r="C201" s="920" t="n"/>
      <c r="D201" s="921" t="n"/>
      <c r="E201" s="839" t="n">
        <v>0</v>
      </c>
      <c r="F201" s="910" t="n">
        <v>0</v>
      </c>
      <c r="G201" s="839" t="n">
        <v>0</v>
      </c>
      <c r="H201" s="839" t="n">
        <v>0</v>
      </c>
      <c r="I201" s="839" t="n">
        <v>0</v>
      </c>
      <c r="J201" s="839" t="n">
        <v>235260</v>
      </c>
      <c r="K201" s="839" t="n">
        <v>226260</v>
      </c>
      <c r="L201" s="839" t="n">
        <v>199260</v>
      </c>
      <c r="M201" s="839" t="n">
        <v>154260</v>
      </c>
      <c r="N201" s="839" t="n">
        <v>127260</v>
      </c>
      <c r="O201" s="839" t="n">
        <v>118170</v>
      </c>
      <c r="P201" s="839" t="n">
        <v>0</v>
      </c>
      <c r="Q201" s="839" t="n">
        <v>0</v>
      </c>
      <c r="R201" s="839" t="n">
        <v>0</v>
      </c>
      <c r="S201" s="840">
        <f>SUM(D201:R201)</f>
        <v/>
      </c>
      <c r="T201" s="839" t="n"/>
      <c r="U201" s="839" t="n"/>
      <c r="V201" s="839" t="n"/>
      <c r="W201" s="839" t="n"/>
      <c r="X201" s="839" t="n"/>
      <c r="Y201" s="839" t="n"/>
      <c r="Z201" s="839" t="n"/>
      <c r="AA201" s="839" t="n"/>
      <c r="AB201" s="840" t="n"/>
      <c r="AC201" s="840" t="n"/>
      <c r="AD201" s="840" t="n"/>
      <c r="AE201" s="840" t="n"/>
      <c r="AF201" s="840">
        <f>SUM(T201:AE201)</f>
        <v/>
      </c>
      <c r="AG201" s="841" t="n"/>
      <c r="AH201" s="841" t="n"/>
      <c r="AI201" s="841" t="n"/>
      <c r="AJ201" s="841" t="n"/>
      <c r="AK201" s="841" t="n"/>
      <c r="AL201" s="841" t="n"/>
      <c r="AM201" s="841" t="n"/>
      <c r="AN201" s="841" t="n"/>
      <c r="AO201" s="841" t="n"/>
      <c r="AP201" s="841" t="n"/>
      <c r="AQ201" s="841" t="n"/>
      <c r="AR201" s="841" t="n"/>
      <c r="AS201" s="840">
        <f>SUM(AG201:AR201)</f>
        <v/>
      </c>
      <c r="AT201" s="841" t="n"/>
      <c r="AU201" s="841" t="n"/>
      <c r="AV201" s="841" t="n"/>
      <c r="AW201" s="841" t="n"/>
      <c r="AX201" s="841" t="n"/>
      <c r="AY201" s="841" t="n"/>
      <c r="AZ201" s="841" t="n"/>
      <c r="BA201" s="841" t="n"/>
      <c r="BB201" s="841" t="n"/>
      <c r="BC201" s="841" t="n"/>
      <c r="BD201" s="841" t="n"/>
      <c r="BE201" s="841" t="n"/>
      <c r="BF201" s="840">
        <f>SUM(AT201:BE201)</f>
        <v/>
      </c>
      <c r="BG201" s="840">
        <f>SUM(AS201,AF201,S201,BF201)</f>
        <v/>
      </c>
    </row>
    <row r="202" ht="13.2" customHeight="1" s="586">
      <c r="B202" s="882" t="inlineStr">
        <is>
          <t>2. Voice N-1</t>
        </is>
      </c>
      <c r="C202" s="922" t="n"/>
      <c r="D202" s="921" t="n"/>
      <c r="E202" s="839" t="n">
        <v>0</v>
      </c>
      <c r="F202" s="910" t="n">
        <v>0</v>
      </c>
      <c r="G202" s="910" t="n">
        <v>2800</v>
      </c>
      <c r="H202" s="910" t="n">
        <v>17360</v>
      </c>
      <c r="I202" s="910" t="n">
        <v>17360</v>
      </c>
      <c r="J202" s="910" t="n">
        <v>11200</v>
      </c>
      <c r="K202" s="910" t="n">
        <v>28000</v>
      </c>
      <c r="L202" s="910" t="n">
        <v>49000</v>
      </c>
      <c r="M202" s="910" t="n">
        <v>49000</v>
      </c>
      <c r="N202" s="910" t="n">
        <v>49000</v>
      </c>
      <c r="O202" s="910" t="n">
        <v>26600</v>
      </c>
      <c r="P202" s="910" t="n">
        <v>0</v>
      </c>
      <c r="Q202" s="910" t="n">
        <v>0</v>
      </c>
      <c r="R202" s="910" t="n">
        <v>0</v>
      </c>
      <c r="S202" s="840">
        <f>SUM(D202:R202)</f>
        <v/>
      </c>
      <c r="T202" s="910" t="n">
        <v>0</v>
      </c>
      <c r="U202" s="910" t="n">
        <v>0</v>
      </c>
      <c r="V202" s="910" t="n">
        <v>0</v>
      </c>
      <c r="W202" s="910" t="n">
        <v>0</v>
      </c>
      <c r="X202" s="910" t="n">
        <v>0</v>
      </c>
      <c r="Y202" s="910" t="n">
        <v>0</v>
      </c>
      <c r="Z202" s="910" t="n">
        <v>0</v>
      </c>
      <c r="AA202" s="910" t="n">
        <v>0</v>
      </c>
      <c r="AB202" s="910" t="n">
        <v>0</v>
      </c>
      <c r="AC202" s="910" t="n">
        <v>0</v>
      </c>
      <c r="AD202" s="910" t="n">
        <v>0</v>
      </c>
      <c r="AE202" s="910" t="n">
        <v>0</v>
      </c>
      <c r="AF202" s="840">
        <f>SUM(T202:AE202)</f>
        <v/>
      </c>
      <c r="AG202" s="841" t="n"/>
      <c r="AH202" s="841" t="n"/>
      <c r="AI202" s="841" t="n"/>
      <c r="AJ202" s="841" t="n"/>
      <c r="AK202" s="841" t="n"/>
      <c r="AL202" s="841" t="n"/>
      <c r="AM202" s="841" t="n"/>
      <c r="AN202" s="841" t="n"/>
      <c r="AO202" s="841" t="n"/>
      <c r="AP202" s="841" t="n"/>
      <c r="AQ202" s="841" t="n"/>
      <c r="AR202" s="841" t="n"/>
      <c r="AS202" s="840">
        <f>SUM(AG202:AR202)</f>
        <v/>
      </c>
      <c r="AT202" s="841" t="n"/>
      <c r="AU202" s="841" t="n"/>
      <c r="AV202" s="841" t="n"/>
      <c r="AW202" s="841" t="n"/>
      <c r="AX202" s="841" t="n"/>
      <c r="AY202" s="841" t="n"/>
      <c r="AZ202" s="841" t="n"/>
      <c r="BA202" s="841" t="n"/>
      <c r="BB202" s="841" t="n"/>
      <c r="BC202" s="841" t="n"/>
      <c r="BD202" s="841" t="n"/>
      <c r="BE202" s="841" t="n"/>
      <c r="BF202" s="840">
        <f>SUM(AT202:BE202)</f>
        <v/>
      </c>
      <c r="BG202" s="840">
        <f>SUM(AS202,AF202,S202,BF202)</f>
        <v/>
      </c>
      <c r="BH202" s="810" t="n"/>
    </row>
    <row r="203" ht="13.2" customHeight="1" s="586">
      <c r="B203" s="882" t="n"/>
      <c r="C203" s="922" t="n"/>
      <c r="D203" s="921" t="n"/>
      <c r="E203" s="839" t="n">
        <v>0</v>
      </c>
      <c r="F203" s="910" t="n">
        <v>0</v>
      </c>
      <c r="G203" s="910" t="n">
        <v>0</v>
      </c>
      <c r="H203" s="910" t="n">
        <v>0</v>
      </c>
      <c r="I203" s="910" t="n">
        <v>0</v>
      </c>
      <c r="J203" s="910" t="n">
        <v>0</v>
      </c>
      <c r="K203" s="910" t="n">
        <v>0</v>
      </c>
      <c r="L203" s="910" t="n">
        <v>0</v>
      </c>
      <c r="M203" s="910" t="n">
        <v>0</v>
      </c>
      <c r="N203" s="910" t="n">
        <v>0</v>
      </c>
      <c r="O203" s="910" t="n">
        <v>0</v>
      </c>
      <c r="P203" s="910" t="n">
        <v>0</v>
      </c>
      <c r="Q203" s="910" t="n">
        <v>0</v>
      </c>
      <c r="R203" s="910" t="n">
        <v>0</v>
      </c>
      <c r="S203" s="840">
        <f>SUM(D203:R203)</f>
        <v/>
      </c>
      <c r="T203" s="841" t="n"/>
      <c r="U203" s="841" t="n"/>
      <c r="V203" s="841" t="n"/>
      <c r="W203" s="841" t="n"/>
      <c r="X203" s="841" t="n"/>
      <c r="Y203" s="841" t="n"/>
      <c r="Z203" s="841" t="n"/>
      <c r="AA203" s="841" t="n"/>
      <c r="AB203" s="841" t="n"/>
      <c r="AC203" s="841" t="n"/>
      <c r="AD203" s="841" t="n"/>
      <c r="AE203" s="841" t="n"/>
      <c r="AF203" s="840">
        <f>SUM(T203:AE203)</f>
        <v/>
      </c>
      <c r="AG203" s="841" t="n"/>
      <c r="AH203" s="841" t="n"/>
      <c r="AI203" s="841" t="n"/>
      <c r="AJ203" s="841" t="n"/>
      <c r="AK203" s="841" t="n"/>
      <c r="AL203" s="841" t="n"/>
      <c r="AM203" s="841" t="n"/>
      <c r="AN203" s="841" t="n"/>
      <c r="AO203" s="841" t="n"/>
      <c r="AP203" s="841" t="n"/>
      <c r="AQ203" s="841" t="n"/>
      <c r="AR203" s="841" t="n"/>
      <c r="AS203" s="840">
        <f>SUM(AG203:AR203)</f>
        <v/>
      </c>
      <c r="AT203" s="841" t="n"/>
      <c r="AU203" s="841" t="n"/>
      <c r="AV203" s="841" t="n"/>
      <c r="AW203" s="841" t="n"/>
      <c r="AX203" s="841" t="n"/>
      <c r="AY203" s="841" t="n"/>
      <c r="AZ203" s="841" t="n"/>
      <c r="BA203" s="841" t="n"/>
      <c r="BB203" s="841" t="n"/>
      <c r="BC203" s="841" t="n"/>
      <c r="BD203" s="841" t="n"/>
      <c r="BE203" s="841" t="n"/>
      <c r="BF203" s="840">
        <f>SUM(AT203:BE203)</f>
        <v/>
      </c>
      <c r="BG203" s="840">
        <f>SUM(AS203,AF203,S203,BF203)</f>
        <v/>
      </c>
      <c r="BH203" s="810" t="n"/>
    </row>
    <row r="204" ht="13.2" customHeight="1" s="586">
      <c r="B204" s="882" t="n"/>
      <c r="C204" s="922" t="n"/>
      <c r="D204" s="921" t="n"/>
      <c r="E204" s="839" t="n">
        <v>0</v>
      </c>
      <c r="F204" s="910" t="n">
        <v>0</v>
      </c>
      <c r="G204" s="910" t="n">
        <v>0</v>
      </c>
      <c r="H204" s="910" t="n">
        <v>0</v>
      </c>
      <c r="I204" s="910" t="n">
        <v>0</v>
      </c>
      <c r="J204" s="910" t="n">
        <v>0</v>
      </c>
      <c r="K204" s="910" t="n">
        <v>0</v>
      </c>
      <c r="L204" s="910" t="n">
        <v>0</v>
      </c>
      <c r="M204" s="910" t="n">
        <v>0</v>
      </c>
      <c r="N204" s="910" t="n">
        <v>0</v>
      </c>
      <c r="O204" s="910" t="n">
        <v>0</v>
      </c>
      <c r="P204" s="910" t="n">
        <v>0</v>
      </c>
      <c r="Q204" s="910" t="n">
        <v>0</v>
      </c>
      <c r="R204" s="910" t="n">
        <v>0</v>
      </c>
      <c r="S204" s="840">
        <f>SUM(D204:R204)</f>
        <v/>
      </c>
      <c r="T204" s="841" t="n"/>
      <c r="U204" s="841" t="n"/>
      <c r="V204" s="841" t="n"/>
      <c r="W204" s="841" t="n"/>
      <c r="X204" s="841" t="n"/>
      <c r="Y204" s="841" t="n"/>
      <c r="Z204" s="841" t="n"/>
      <c r="AA204" s="841" t="n"/>
      <c r="AB204" s="841" t="n"/>
      <c r="AC204" s="841" t="n"/>
      <c r="AD204" s="841" t="n"/>
      <c r="AE204" s="841" t="n"/>
      <c r="AF204" s="840">
        <f>SUM(T204:AE204)</f>
        <v/>
      </c>
      <c r="AG204" s="841" t="n"/>
      <c r="AH204" s="841" t="n"/>
      <c r="AI204" s="841" t="n"/>
      <c r="AJ204" s="841" t="n"/>
      <c r="AK204" s="841" t="n"/>
      <c r="AL204" s="841" t="n"/>
      <c r="AM204" s="841" t="n"/>
      <c r="AN204" s="841" t="n"/>
      <c r="AO204" s="841" t="n"/>
      <c r="AP204" s="841" t="n"/>
      <c r="AQ204" s="841" t="n"/>
      <c r="AR204" s="841" t="n"/>
      <c r="AS204" s="840">
        <f>SUM(AG204:AR204)</f>
        <v/>
      </c>
      <c r="AT204" s="841" t="n"/>
      <c r="AU204" s="841" t="n"/>
      <c r="AV204" s="841" t="n"/>
      <c r="AW204" s="841" t="n"/>
      <c r="AX204" s="841" t="n"/>
      <c r="AY204" s="841" t="n"/>
      <c r="AZ204" s="841" t="n"/>
      <c r="BA204" s="841" t="n"/>
      <c r="BB204" s="841" t="n"/>
      <c r="BC204" s="841" t="n"/>
      <c r="BD204" s="841" t="n"/>
      <c r="BE204" s="841" t="n"/>
      <c r="BF204" s="840">
        <f>SUM(AT204:BE204)</f>
        <v/>
      </c>
      <c r="BG204" s="840">
        <f>SUM(AS204,AF204,S204,BF204)</f>
        <v/>
      </c>
      <c r="BH204" s="810" t="n"/>
    </row>
    <row r="205" ht="13.2" customHeight="1" s="586">
      <c r="B205" s="882" t="n"/>
      <c r="C205" s="922" t="n"/>
      <c r="D205" s="921" t="n"/>
      <c r="E205" s="839" t="n">
        <v>0</v>
      </c>
      <c r="F205" s="910" t="n">
        <v>0</v>
      </c>
      <c r="G205" s="910" t="n">
        <v>0</v>
      </c>
      <c r="H205" s="910" t="n">
        <v>0</v>
      </c>
      <c r="I205" s="910" t="n">
        <v>0</v>
      </c>
      <c r="J205" s="910" t="n">
        <v>0</v>
      </c>
      <c r="K205" s="910" t="n">
        <v>0</v>
      </c>
      <c r="L205" s="910" t="n">
        <v>0</v>
      </c>
      <c r="M205" s="910" t="n">
        <v>0</v>
      </c>
      <c r="N205" s="910" t="n">
        <v>0</v>
      </c>
      <c r="O205" s="910" t="n">
        <v>0</v>
      </c>
      <c r="P205" s="910" t="n">
        <v>0</v>
      </c>
      <c r="Q205" s="910" t="n">
        <v>0</v>
      </c>
      <c r="R205" s="910" t="n">
        <v>0</v>
      </c>
      <c r="S205" s="840">
        <f>SUM(D205:R205)</f>
        <v/>
      </c>
      <c r="T205" s="841" t="n"/>
      <c r="U205" s="841" t="n"/>
      <c r="V205" s="841" t="n"/>
      <c r="W205" s="841" t="n"/>
      <c r="X205" s="841" t="n"/>
      <c r="Y205" s="841" t="n"/>
      <c r="Z205" s="841" t="n"/>
      <c r="AA205" s="841" t="n"/>
      <c r="AB205" s="841" t="n"/>
      <c r="AC205" s="841" t="n"/>
      <c r="AD205" s="841" t="n"/>
      <c r="AE205" s="841" t="n"/>
      <c r="AF205" s="840">
        <f>SUM(T205:AE205)</f>
        <v/>
      </c>
      <c r="AG205" s="841" t="n"/>
      <c r="AH205" s="841" t="n"/>
      <c r="AI205" s="841" t="n"/>
      <c r="AJ205" s="841" t="n"/>
      <c r="AK205" s="841" t="n"/>
      <c r="AL205" s="841" t="n"/>
      <c r="AM205" s="841" t="n"/>
      <c r="AN205" s="841" t="n"/>
      <c r="AO205" s="841" t="n"/>
      <c r="AP205" s="841" t="n"/>
      <c r="AQ205" s="841" t="n"/>
      <c r="AR205" s="841" t="n"/>
      <c r="AS205" s="840">
        <f>SUM(AG205:AR205)</f>
        <v/>
      </c>
      <c r="AT205" s="841" t="n"/>
      <c r="AU205" s="841" t="n"/>
      <c r="AV205" s="841" t="n"/>
      <c r="AW205" s="841" t="n"/>
      <c r="AX205" s="841" t="n"/>
      <c r="AY205" s="841" t="n"/>
      <c r="AZ205" s="841" t="n"/>
      <c r="BA205" s="841" t="n"/>
      <c r="BB205" s="841" t="n"/>
      <c r="BC205" s="841" t="n"/>
      <c r="BD205" s="841" t="n"/>
      <c r="BE205" s="841" t="n"/>
      <c r="BF205" s="840">
        <f>SUM(AT205:BE205)</f>
        <v/>
      </c>
      <c r="BG205" s="840">
        <f>SUM(AS205,AF205,S205,BF205)</f>
        <v/>
      </c>
      <c r="BH205" s="810" t="n"/>
    </row>
    <row r="206" ht="13.2" customHeight="1" s="586">
      <c r="B206" s="882" t="n"/>
      <c r="C206" s="922" t="n"/>
      <c r="D206" s="921" t="n"/>
      <c r="E206" s="839" t="n">
        <v>0</v>
      </c>
      <c r="F206" s="910" t="n">
        <v>0</v>
      </c>
      <c r="G206" s="910" t="n">
        <v>0</v>
      </c>
      <c r="H206" s="910" t="n">
        <v>0</v>
      </c>
      <c r="I206" s="910" t="n">
        <v>0</v>
      </c>
      <c r="J206" s="910" t="n">
        <v>0</v>
      </c>
      <c r="K206" s="910" t="n">
        <v>0</v>
      </c>
      <c r="L206" s="910" t="n">
        <v>0</v>
      </c>
      <c r="M206" s="910" t="n">
        <v>0</v>
      </c>
      <c r="N206" s="910" t="n">
        <v>0</v>
      </c>
      <c r="O206" s="910" t="n">
        <v>0</v>
      </c>
      <c r="P206" s="910" t="n">
        <v>0</v>
      </c>
      <c r="Q206" s="910" t="n">
        <v>0</v>
      </c>
      <c r="R206" s="910" t="n">
        <v>0</v>
      </c>
      <c r="S206" s="840">
        <f>SUM(D206:R206)</f>
        <v/>
      </c>
      <c r="T206" s="841" t="n"/>
      <c r="U206" s="841" t="n"/>
      <c r="V206" s="841" t="n"/>
      <c r="W206" s="841" t="n"/>
      <c r="X206" s="841" t="n"/>
      <c r="Y206" s="841" t="n"/>
      <c r="Z206" s="841" t="n"/>
      <c r="AA206" s="841" t="n"/>
      <c r="AB206" s="841" t="n"/>
      <c r="AC206" s="841" t="n"/>
      <c r="AD206" s="841" t="n"/>
      <c r="AE206" s="841" t="n"/>
      <c r="AF206" s="840">
        <f>SUM(T206:AE206)</f>
        <v/>
      </c>
      <c r="AG206" s="841" t="n"/>
      <c r="AH206" s="841" t="n"/>
      <c r="AI206" s="841" t="n"/>
      <c r="AJ206" s="841" t="n"/>
      <c r="AK206" s="841" t="n"/>
      <c r="AL206" s="841" t="n"/>
      <c r="AM206" s="841" t="n"/>
      <c r="AN206" s="841" t="n"/>
      <c r="AO206" s="841" t="n"/>
      <c r="AP206" s="841" t="n"/>
      <c r="AQ206" s="841" t="n"/>
      <c r="AR206" s="841" t="n"/>
      <c r="AS206" s="840">
        <f>SUM(AG206:AR206)</f>
        <v/>
      </c>
      <c r="AT206" s="841" t="n"/>
      <c r="AU206" s="841" t="n"/>
      <c r="AV206" s="841" t="n"/>
      <c r="AW206" s="841" t="n"/>
      <c r="AX206" s="841" t="n"/>
      <c r="AY206" s="841" t="n"/>
      <c r="AZ206" s="841" t="n"/>
      <c r="BA206" s="841" t="n"/>
      <c r="BB206" s="841" t="n"/>
      <c r="BC206" s="841" t="n"/>
      <c r="BD206" s="841" t="n"/>
      <c r="BE206" s="841" t="n"/>
      <c r="BF206" s="840">
        <f>SUM(AT206:BE206)</f>
        <v/>
      </c>
      <c r="BG206" s="840">
        <f>SUM(AS206,AF206,S206,BF206)</f>
        <v/>
      </c>
      <c r="BH206" s="810" t="n"/>
    </row>
    <row r="207" ht="13.2" customHeight="1" s="586">
      <c r="B207" s="882" t="n"/>
      <c r="C207" s="922" t="n"/>
      <c r="D207" s="921" t="n"/>
      <c r="E207" s="839" t="n">
        <v>0</v>
      </c>
      <c r="F207" s="910" t="n">
        <v>0</v>
      </c>
      <c r="G207" s="910" t="n">
        <v>0</v>
      </c>
      <c r="H207" s="910" t="n">
        <v>0</v>
      </c>
      <c r="I207" s="910" t="n">
        <v>0</v>
      </c>
      <c r="J207" s="910" t="n">
        <v>0</v>
      </c>
      <c r="K207" s="910" t="n">
        <v>0</v>
      </c>
      <c r="L207" s="910" t="n">
        <v>0</v>
      </c>
      <c r="M207" s="910" t="n">
        <v>0</v>
      </c>
      <c r="N207" s="910" t="n">
        <v>0</v>
      </c>
      <c r="O207" s="910" t="n">
        <v>0</v>
      </c>
      <c r="P207" s="910" t="n">
        <v>0</v>
      </c>
      <c r="Q207" s="910" t="n">
        <v>0</v>
      </c>
      <c r="R207" s="910" t="n">
        <v>0</v>
      </c>
      <c r="S207" s="840">
        <f>SUM(D207:R207)</f>
        <v/>
      </c>
      <c r="T207" s="841" t="n"/>
      <c r="U207" s="841" t="n"/>
      <c r="V207" s="841" t="n"/>
      <c r="W207" s="841" t="n"/>
      <c r="X207" s="841" t="n"/>
      <c r="Y207" s="841" t="n"/>
      <c r="Z207" s="841" t="n"/>
      <c r="AA207" s="841" t="n"/>
      <c r="AB207" s="841" t="n"/>
      <c r="AC207" s="841" t="n"/>
      <c r="AD207" s="841" t="n"/>
      <c r="AE207" s="841" t="n"/>
      <c r="AF207" s="840">
        <f>SUM(T207:AE207)</f>
        <v/>
      </c>
      <c r="AG207" s="841" t="n"/>
      <c r="AH207" s="841" t="n"/>
      <c r="AI207" s="841" t="n"/>
      <c r="AJ207" s="841" t="n"/>
      <c r="AK207" s="841" t="n"/>
      <c r="AL207" s="841" t="n"/>
      <c r="AM207" s="841" t="n"/>
      <c r="AN207" s="841" t="n"/>
      <c r="AO207" s="841" t="n"/>
      <c r="AP207" s="841" t="n"/>
      <c r="AQ207" s="841" t="n"/>
      <c r="AR207" s="841" t="n"/>
      <c r="AS207" s="840">
        <f>SUM(AG207:AR207)</f>
        <v/>
      </c>
      <c r="AT207" s="841" t="n"/>
      <c r="AU207" s="841" t="n"/>
      <c r="AV207" s="841" t="n"/>
      <c r="AW207" s="841" t="n"/>
      <c r="AX207" s="841" t="n"/>
      <c r="AY207" s="841" t="n"/>
      <c r="AZ207" s="841" t="n"/>
      <c r="BA207" s="841" t="n"/>
      <c r="BB207" s="841" t="n"/>
      <c r="BC207" s="841" t="n"/>
      <c r="BD207" s="841" t="n"/>
      <c r="BE207" s="841" t="n"/>
      <c r="BF207" s="840">
        <f>SUM(AT207:BE207)</f>
        <v/>
      </c>
      <c r="BG207" s="840">
        <f>SUM(AS207,AF207,S207,BF207)</f>
        <v/>
      </c>
      <c r="BH207" s="810" t="n"/>
    </row>
    <row r="208" ht="13.2" customHeight="1" s="586">
      <c r="B208" s="882" t="n"/>
      <c r="C208" s="922" t="n"/>
      <c r="D208" s="921" t="n"/>
      <c r="E208" s="839" t="n">
        <v>0</v>
      </c>
      <c r="F208" s="910" t="n">
        <v>0</v>
      </c>
      <c r="G208" s="910" t="n">
        <v>0</v>
      </c>
      <c r="H208" s="910" t="n">
        <v>0</v>
      </c>
      <c r="I208" s="910" t="n">
        <v>0</v>
      </c>
      <c r="J208" s="910" t="n">
        <v>0</v>
      </c>
      <c r="K208" s="910" t="n">
        <v>0</v>
      </c>
      <c r="L208" s="910" t="n">
        <v>0</v>
      </c>
      <c r="M208" s="910" t="n">
        <v>0</v>
      </c>
      <c r="N208" s="910" t="n">
        <v>0</v>
      </c>
      <c r="O208" s="910" t="n">
        <v>0</v>
      </c>
      <c r="P208" s="910" t="n">
        <v>0</v>
      </c>
      <c r="Q208" s="910" t="n">
        <v>0</v>
      </c>
      <c r="R208" s="910" t="n">
        <v>0</v>
      </c>
      <c r="S208" s="840">
        <f>SUM(D208:R208)</f>
        <v/>
      </c>
      <c r="T208" s="841" t="n"/>
      <c r="U208" s="841" t="n"/>
      <c r="V208" s="841" t="n"/>
      <c r="W208" s="841" t="n"/>
      <c r="X208" s="841" t="n"/>
      <c r="Y208" s="841" t="n"/>
      <c r="Z208" s="841" t="n"/>
      <c r="AA208" s="841" t="n"/>
      <c r="AB208" s="841" t="n"/>
      <c r="AC208" s="841" t="n"/>
      <c r="AD208" s="841" t="n"/>
      <c r="AE208" s="841" t="n"/>
      <c r="AF208" s="840">
        <f>SUM(T208:AE208)</f>
        <v/>
      </c>
      <c r="AG208" s="841" t="n"/>
      <c r="AH208" s="841" t="n"/>
      <c r="AI208" s="841" t="n"/>
      <c r="AJ208" s="841" t="n"/>
      <c r="AK208" s="841" t="n"/>
      <c r="AL208" s="841" t="n"/>
      <c r="AM208" s="841" t="n"/>
      <c r="AN208" s="841" t="n"/>
      <c r="AO208" s="841" t="n"/>
      <c r="AP208" s="841" t="n"/>
      <c r="AQ208" s="841" t="n"/>
      <c r="AR208" s="841" t="n"/>
      <c r="AS208" s="840">
        <f>SUM(AG208:AR208)</f>
        <v/>
      </c>
      <c r="AT208" s="841" t="n"/>
      <c r="AU208" s="841" t="n"/>
      <c r="AV208" s="841" t="n"/>
      <c r="AW208" s="841" t="n"/>
      <c r="AX208" s="841" t="n"/>
      <c r="AY208" s="841" t="n"/>
      <c r="AZ208" s="841" t="n"/>
      <c r="BA208" s="841" t="n"/>
      <c r="BB208" s="841" t="n"/>
      <c r="BC208" s="841" t="n"/>
      <c r="BD208" s="841" t="n"/>
      <c r="BE208" s="841" t="n"/>
      <c r="BF208" s="840">
        <f>SUM(AT208:BE208)</f>
        <v/>
      </c>
      <c r="BG208" s="840">
        <f>SUM(AS208,AF208,S208,BF208)</f>
        <v/>
      </c>
      <c r="BH208" s="810" t="n"/>
    </row>
    <row r="209" ht="13.8" customHeight="1" s="586">
      <c r="B209" s="885" t="n"/>
      <c r="C209" s="923" t="n"/>
      <c r="D209" s="924" t="n"/>
      <c r="E209" s="846" t="n">
        <v>0</v>
      </c>
      <c r="F209" s="893" t="n">
        <v>0</v>
      </c>
      <c r="G209" s="893" t="n">
        <v>0</v>
      </c>
      <c r="H209" s="893" t="n">
        <v>0</v>
      </c>
      <c r="I209" s="893" t="n">
        <v>0</v>
      </c>
      <c r="J209" s="893" t="n">
        <v>0</v>
      </c>
      <c r="K209" s="893" t="n">
        <v>0</v>
      </c>
      <c r="L209" s="893" t="n">
        <v>0</v>
      </c>
      <c r="M209" s="893" t="n">
        <v>0</v>
      </c>
      <c r="N209" s="893" t="n">
        <v>0</v>
      </c>
      <c r="O209" s="893" t="n">
        <v>0</v>
      </c>
      <c r="P209" s="846" t="n">
        <v>0</v>
      </c>
      <c r="Q209" s="846" t="n">
        <v>0</v>
      </c>
      <c r="R209" s="846" t="n">
        <v>0</v>
      </c>
      <c r="S209" s="847">
        <f>SUM(D209:R209)</f>
        <v/>
      </c>
      <c r="T209" s="848" t="n"/>
      <c r="U209" s="848" t="n"/>
      <c r="V209" s="848" t="n"/>
      <c r="W209" s="848" t="n"/>
      <c r="X209" s="848" t="n"/>
      <c r="Y209" s="848" t="n"/>
      <c r="Z209" s="848" t="n"/>
      <c r="AA209" s="848" t="n"/>
      <c r="AB209" s="848" t="n"/>
      <c r="AC209" s="848" t="n"/>
      <c r="AD209" s="848" t="n"/>
      <c r="AE209" s="848" t="n"/>
      <c r="AF209" s="847">
        <f>SUM(T209:AE209)</f>
        <v/>
      </c>
      <c r="AG209" s="848" t="n"/>
      <c r="AH209" s="848" t="n"/>
      <c r="AI209" s="848" t="n"/>
      <c r="AJ209" s="848" t="n"/>
      <c r="AK209" s="848" t="n"/>
      <c r="AL209" s="848" t="n"/>
      <c r="AM209" s="848" t="n"/>
      <c r="AN209" s="848" t="n"/>
      <c r="AO209" s="848" t="n"/>
      <c r="AP209" s="848" t="n"/>
      <c r="AQ209" s="848" t="n"/>
      <c r="AR209" s="848" t="n"/>
      <c r="AS209" s="847">
        <f>SUM(AG209:AR209)</f>
        <v/>
      </c>
      <c r="AT209" s="848" t="n"/>
      <c r="AU209" s="848" t="n"/>
      <c r="AV209" s="848" t="n"/>
      <c r="AW209" s="848" t="n"/>
      <c r="AX209" s="848" t="n"/>
      <c r="AY209" s="848" t="n"/>
      <c r="AZ209" s="848" t="n"/>
      <c r="BA209" s="848" t="n"/>
      <c r="BB209" s="848" t="n"/>
      <c r="BC209" s="848" t="n"/>
      <c r="BD209" s="848" t="n"/>
      <c r="BE209" s="848" t="n"/>
      <c r="BF209" s="847">
        <f>SUM(AT209:BE209)</f>
        <v/>
      </c>
      <c r="BG209" s="847">
        <f>SUM(AS209,AF209,S209,BF209)</f>
        <v/>
      </c>
      <c r="BH209" s="810" t="n"/>
    </row>
    <row r="210" ht="13.8" customHeight="1" s="586">
      <c r="B210" s="871" t="inlineStr">
        <is>
          <t>TOTAL</t>
        </is>
      </c>
      <c r="C210" s="925" t="n"/>
      <c r="D210" s="925">
        <f>SUM(D200:D209)</f>
        <v/>
      </c>
      <c r="E210" s="873">
        <f>SUM(E200:E209)</f>
        <v/>
      </c>
      <c r="F210" s="873">
        <f>SUM(F200:F209)</f>
        <v/>
      </c>
      <c r="G210" s="873">
        <f>SUM(G200:G209)</f>
        <v/>
      </c>
      <c r="H210" s="873">
        <f>SUM(H200:H209)</f>
        <v/>
      </c>
      <c r="I210" s="873">
        <f>SUM(I200:I209)</f>
        <v/>
      </c>
      <c r="J210" s="873">
        <f>SUM(J200:J209)</f>
        <v/>
      </c>
      <c r="K210" s="873">
        <f>SUM(K200:K209)</f>
        <v/>
      </c>
      <c r="L210" s="873">
        <f>SUM(L200:L209)</f>
        <v/>
      </c>
      <c r="M210" s="873">
        <f>SUM(M200:M209)</f>
        <v/>
      </c>
      <c r="N210" s="873">
        <f>SUM(N200:N209)</f>
        <v/>
      </c>
      <c r="O210" s="873">
        <f>SUM(O200:O209)</f>
        <v/>
      </c>
      <c r="P210" s="873">
        <f>SUM(P200:P209)</f>
        <v/>
      </c>
      <c r="Q210" s="873">
        <f>SUM(Q200:Q209)</f>
        <v/>
      </c>
      <c r="R210" s="873">
        <f>SUM(R200:R209)</f>
        <v/>
      </c>
      <c r="S210" s="873">
        <f>SUM(S200:S209)</f>
        <v/>
      </c>
      <c r="T210" s="873">
        <f>SUM(T200:T209)</f>
        <v/>
      </c>
      <c r="U210" s="873">
        <f>SUM(U200:U209)</f>
        <v/>
      </c>
      <c r="V210" s="873">
        <f>SUM(V200:V209)</f>
        <v/>
      </c>
      <c r="W210" s="873">
        <f>SUM(W200:W209)</f>
        <v/>
      </c>
      <c r="X210" s="873">
        <f>SUM(X200:X209)</f>
        <v/>
      </c>
      <c r="Y210" s="873">
        <f>SUM(Y200:Y209)</f>
        <v/>
      </c>
      <c r="Z210" s="873">
        <f>SUM(Z200:Z209)</f>
        <v/>
      </c>
      <c r="AA210" s="873">
        <f>SUM(AA200:AA209)</f>
        <v/>
      </c>
      <c r="AB210" s="873">
        <f>SUM(AB200:AB209)</f>
        <v/>
      </c>
      <c r="AC210" s="873">
        <f>SUM(AC200:AC209)</f>
        <v/>
      </c>
      <c r="AD210" s="873">
        <f>SUM(AD200:AD209)</f>
        <v/>
      </c>
      <c r="AE210" s="873">
        <f>SUM(AE200:AE209)</f>
        <v/>
      </c>
      <c r="AF210" s="873">
        <f>SUM(AF200:AF209)</f>
        <v/>
      </c>
      <c r="AG210" s="873">
        <f>SUM(AG200:AG209)</f>
        <v/>
      </c>
      <c r="AH210" s="873">
        <f>SUM(AH200:AH209)</f>
        <v/>
      </c>
      <c r="AI210" s="873">
        <f>SUM(AI200:AI209)</f>
        <v/>
      </c>
      <c r="AJ210" s="873">
        <f>SUM(AJ200:AJ209)</f>
        <v/>
      </c>
      <c r="AK210" s="873">
        <f>SUM(AK200:AK209)</f>
        <v/>
      </c>
      <c r="AL210" s="873">
        <f>SUM(AL200:AL209)</f>
        <v/>
      </c>
      <c r="AM210" s="873">
        <f>SUM(AM200:AM209)</f>
        <v/>
      </c>
      <c r="AN210" s="873">
        <f>SUM(AN200:AN209)</f>
        <v/>
      </c>
      <c r="AO210" s="873">
        <f>SUM(AO200:AO209)</f>
        <v/>
      </c>
      <c r="AP210" s="873">
        <f>SUM(AP200:AP209)</f>
        <v/>
      </c>
      <c r="AQ210" s="873">
        <f>SUM(AQ200:AQ209)</f>
        <v/>
      </c>
      <c r="AR210" s="873">
        <f>SUM(AR200:AR209)</f>
        <v/>
      </c>
      <c r="AS210" s="873">
        <f>SUM(AS200:AS209)</f>
        <v/>
      </c>
      <c r="AT210" s="873">
        <f>SUM(AT200:AT209)</f>
        <v/>
      </c>
      <c r="AU210" s="873">
        <f>SUM(AU200:AU209)</f>
        <v/>
      </c>
      <c r="AV210" s="873">
        <f>SUM(AV200:AV209)</f>
        <v/>
      </c>
      <c r="AW210" s="873">
        <f>SUM(AW200:AW209)</f>
        <v/>
      </c>
      <c r="AX210" s="873">
        <f>SUM(AX200:AX209)</f>
        <v/>
      </c>
      <c r="AY210" s="873">
        <f>SUM(AY200:AY209)</f>
        <v/>
      </c>
      <c r="AZ210" s="873">
        <f>SUM(AZ200:AZ209)</f>
        <v/>
      </c>
      <c r="BA210" s="873">
        <f>SUM(BA200:BA209)</f>
        <v/>
      </c>
      <c r="BB210" s="873">
        <f>SUM(BB200:BB209)</f>
        <v/>
      </c>
      <c r="BC210" s="873">
        <f>SUM(BC200:BC209)</f>
        <v/>
      </c>
      <c r="BD210" s="873">
        <f>SUM(BD200:BD209)</f>
        <v/>
      </c>
      <c r="BE210" s="873">
        <f>SUM(BE200:BE209)</f>
        <v/>
      </c>
      <c r="BF210" s="873">
        <f>SUM(BF200:BF209)</f>
        <v/>
      </c>
      <c r="BG210" s="874">
        <f>SUM(BG200:BG209)</f>
        <v/>
      </c>
    </row>
    <row r="211" ht="13.2" customHeight="1" s="586">
      <c r="B211" s="805" t="n"/>
      <c r="C211" s="854" t="n"/>
      <c r="D211" s="854" t="n"/>
      <c r="E211" s="812" t="n"/>
      <c r="F211" s="812" t="n"/>
      <c r="G211" s="812" t="n"/>
      <c r="H211" s="812" t="n"/>
      <c r="I211" s="812" t="n"/>
      <c r="J211" s="812" t="n"/>
      <c r="K211" s="812" t="n"/>
      <c r="L211" s="812" t="n"/>
      <c r="M211" s="812" t="n"/>
      <c r="N211" s="812" t="n"/>
      <c r="O211" s="812" t="n"/>
      <c r="P211" s="812" t="n"/>
      <c r="Q211" s="812" t="n"/>
      <c r="R211" s="812" t="n"/>
      <c r="T211" s="809" t="n"/>
      <c r="U211" s="809" t="n"/>
      <c r="V211" s="809" t="n"/>
      <c r="W211" s="809" t="n"/>
      <c r="X211" s="809" t="n"/>
      <c r="Y211" s="809" t="n"/>
      <c r="Z211" s="809" t="n"/>
      <c r="AA211" s="809" t="n"/>
      <c r="AB211" s="809" t="n"/>
      <c r="AC211" s="809" t="n"/>
      <c r="AD211" s="809" t="n"/>
      <c r="AE211" s="809" t="n"/>
      <c r="AG211" s="809" t="n"/>
      <c r="AH211" s="809" t="n"/>
      <c r="AI211" s="809" t="n"/>
      <c r="AJ211" s="809" t="n"/>
      <c r="AK211" s="809" t="n"/>
      <c r="AL211" s="809" t="n"/>
      <c r="AM211" s="809" t="n"/>
      <c r="AN211" s="809" t="n"/>
      <c r="AO211" s="809" t="n"/>
      <c r="AP211" s="809" t="n"/>
      <c r="AQ211" s="809" t="n"/>
      <c r="AR211" s="809" t="n"/>
      <c r="AT211" s="809" t="n"/>
      <c r="AU211" s="809" t="n"/>
      <c r="AV211" s="809" t="n"/>
      <c r="AW211" s="809" t="n"/>
      <c r="AX211" s="809" t="n"/>
      <c r="AY211" s="809" t="n"/>
      <c r="AZ211" s="809" t="n"/>
      <c r="BA211" s="809" t="n"/>
      <c r="BB211" s="809" t="n"/>
      <c r="BC211" s="809" t="n"/>
      <c r="BD211" s="809" t="n"/>
      <c r="BE211" s="809" t="n"/>
      <c r="BG211" s="809" t="n"/>
      <c r="BH211" s="810" t="n"/>
    </row>
    <row r="212" ht="13.8" customHeight="1" s="586">
      <c r="B212" s="813" t="n"/>
      <c r="D212" s="905" t="n"/>
      <c r="E212" s="906" t="n"/>
      <c r="F212" s="906" t="n"/>
      <c r="G212" s="907" t="n"/>
      <c r="H212" s="906" t="n"/>
      <c r="I212" s="815" t="inlineStr">
        <is>
          <t>Transformation</t>
        </is>
      </c>
      <c r="J212" s="907" t="n"/>
      <c r="K212" s="817" t="n"/>
      <c r="L212" s="815" t="n"/>
      <c r="M212" s="815" t="n"/>
      <c r="N212" s="817" t="n"/>
      <c r="O212" s="815" t="n"/>
    </row>
    <row r="213" ht="13.2" customHeight="1" s="586">
      <c r="A213" s="855" t="n"/>
      <c r="B213" s="856" t="inlineStr">
        <is>
          <t>TelCo</t>
        </is>
      </c>
      <c r="C213" s="857" t="n"/>
      <c r="D213" s="820" t="n"/>
      <c r="E213" s="821" t="inlineStr">
        <is>
          <t>Month -1</t>
        </is>
      </c>
      <c r="F213" s="821" t="inlineStr">
        <is>
          <t>Month 0</t>
        </is>
      </c>
      <c r="G213" s="821" t="inlineStr">
        <is>
          <t>Month 1</t>
        </is>
      </c>
      <c r="H213" s="822" t="inlineStr">
        <is>
          <t>Month 2</t>
        </is>
      </c>
      <c r="I213" s="822" t="inlineStr">
        <is>
          <t>Month 3</t>
        </is>
      </c>
      <c r="J213" s="822" t="inlineStr">
        <is>
          <t>Month 4</t>
        </is>
      </c>
      <c r="K213" s="822" t="inlineStr">
        <is>
          <t>Month 5</t>
        </is>
      </c>
      <c r="L213" s="822" t="inlineStr">
        <is>
          <t>Month 6</t>
        </is>
      </c>
      <c r="M213" s="822" t="inlineStr">
        <is>
          <t>Month 7</t>
        </is>
      </c>
      <c r="N213" s="822" t="inlineStr">
        <is>
          <t>Month 8</t>
        </is>
      </c>
      <c r="O213" s="822" t="inlineStr">
        <is>
          <t>Month 9</t>
        </is>
      </c>
      <c r="P213" s="822" t="inlineStr">
        <is>
          <t>Month 10</t>
        </is>
      </c>
      <c r="Q213" s="822" t="inlineStr">
        <is>
          <t>Month 11</t>
        </is>
      </c>
      <c r="R213" s="822" t="inlineStr">
        <is>
          <t>Month 12</t>
        </is>
      </c>
      <c r="S213" s="821" t="n"/>
      <c r="T213" s="822" t="inlineStr">
        <is>
          <t>Month 13</t>
        </is>
      </c>
      <c r="U213" s="822" t="inlineStr">
        <is>
          <t>Month 14</t>
        </is>
      </c>
      <c r="V213" s="822" t="inlineStr">
        <is>
          <t>Month 15</t>
        </is>
      </c>
      <c r="W213" s="822" t="inlineStr">
        <is>
          <t>Month 16</t>
        </is>
      </c>
      <c r="X213" s="822" t="inlineStr">
        <is>
          <t>Month 17</t>
        </is>
      </c>
      <c r="Y213" s="822" t="inlineStr">
        <is>
          <t>Month 18</t>
        </is>
      </c>
      <c r="Z213" s="822" t="inlineStr">
        <is>
          <t>Month 19</t>
        </is>
      </c>
      <c r="AA213" s="822" t="inlineStr">
        <is>
          <t>Month 20</t>
        </is>
      </c>
      <c r="AB213" s="822" t="inlineStr">
        <is>
          <t>Month 21</t>
        </is>
      </c>
      <c r="AC213" s="822" t="inlineStr">
        <is>
          <t>Month 22</t>
        </is>
      </c>
      <c r="AD213" s="822" t="inlineStr">
        <is>
          <t>Month 23</t>
        </is>
      </c>
      <c r="AE213" s="822" t="inlineStr">
        <is>
          <t>Month 24</t>
        </is>
      </c>
      <c r="AF213" s="822" t="n"/>
      <c r="AG213" s="822" t="inlineStr">
        <is>
          <t>Month 25</t>
        </is>
      </c>
      <c r="AH213" s="822" t="inlineStr">
        <is>
          <t>Month 26</t>
        </is>
      </c>
      <c r="AI213" s="822" t="inlineStr">
        <is>
          <t>Month 27</t>
        </is>
      </c>
      <c r="AJ213" s="822" t="inlineStr">
        <is>
          <t>Month 28</t>
        </is>
      </c>
      <c r="AK213" s="822" t="inlineStr">
        <is>
          <t>Month 29</t>
        </is>
      </c>
      <c r="AL213" s="822" t="inlineStr">
        <is>
          <t>Month 30</t>
        </is>
      </c>
      <c r="AM213" s="822" t="inlineStr">
        <is>
          <t>Month 31</t>
        </is>
      </c>
      <c r="AN213" s="822" t="inlineStr">
        <is>
          <t>Month 32</t>
        </is>
      </c>
      <c r="AO213" s="822" t="inlineStr">
        <is>
          <t>Month 33</t>
        </is>
      </c>
      <c r="AP213" s="822" t="inlineStr">
        <is>
          <t>Month 34</t>
        </is>
      </c>
      <c r="AQ213" s="822" t="inlineStr">
        <is>
          <t>Month 35</t>
        </is>
      </c>
      <c r="AR213" s="822" t="inlineStr">
        <is>
          <t>Month 36</t>
        </is>
      </c>
      <c r="AS213" s="822" t="n"/>
      <c r="AT213" s="822" t="inlineStr">
        <is>
          <t>Month 37</t>
        </is>
      </c>
      <c r="AU213" s="822" t="inlineStr">
        <is>
          <t>Month 38</t>
        </is>
      </c>
      <c r="AV213" s="822" t="inlineStr">
        <is>
          <t>Month 39</t>
        </is>
      </c>
      <c r="AW213" s="822" t="inlineStr">
        <is>
          <t>Month 40</t>
        </is>
      </c>
      <c r="AX213" s="822" t="inlineStr">
        <is>
          <t>Month 41</t>
        </is>
      </c>
      <c r="AY213" s="822" t="inlineStr">
        <is>
          <t>Month 42</t>
        </is>
      </c>
      <c r="AZ213" s="822" t="inlineStr">
        <is>
          <t>Month 43</t>
        </is>
      </c>
      <c r="BA213" s="822" t="inlineStr">
        <is>
          <t>Month 44</t>
        </is>
      </c>
      <c r="BB213" s="822" t="inlineStr">
        <is>
          <t>Month 45</t>
        </is>
      </c>
      <c r="BC213" s="822" t="inlineStr">
        <is>
          <t>Month 46</t>
        </is>
      </c>
      <c r="BD213" s="822" t="inlineStr">
        <is>
          <t>Month 47</t>
        </is>
      </c>
      <c r="BE213" s="822" t="inlineStr">
        <is>
          <t>Month 48</t>
        </is>
      </c>
      <c r="BF213" s="822" t="n"/>
      <c r="BG213" s="822" t="n"/>
    </row>
    <row r="214" ht="14.4" customHeight="1" s="586">
      <c r="A214" s="858" t="n"/>
      <c r="B214" s="859" t="n"/>
      <c r="C214" s="860" t="n"/>
      <c r="D214" s="824" t="n"/>
      <c r="E214" s="825" t="inlineStr">
        <is>
          <t>FTE's</t>
        </is>
      </c>
      <c r="F214" s="825" t="inlineStr">
        <is>
          <t>FTE's</t>
        </is>
      </c>
      <c r="G214" s="825" t="inlineStr">
        <is>
          <t>FTE's</t>
        </is>
      </c>
      <c r="H214" s="825" t="inlineStr">
        <is>
          <t>FTE's</t>
        </is>
      </c>
      <c r="I214" s="825" t="inlineStr">
        <is>
          <t>FTE's</t>
        </is>
      </c>
      <c r="J214" s="825" t="inlineStr">
        <is>
          <t>FTE's</t>
        </is>
      </c>
      <c r="K214" s="825" t="inlineStr">
        <is>
          <t>FTE's</t>
        </is>
      </c>
      <c r="L214" s="825" t="inlineStr">
        <is>
          <t>FTE's</t>
        </is>
      </c>
      <c r="M214" s="825" t="inlineStr">
        <is>
          <t>FTE's</t>
        </is>
      </c>
      <c r="N214" s="825" t="inlineStr">
        <is>
          <t>FTE's</t>
        </is>
      </c>
      <c r="O214" s="825" t="inlineStr">
        <is>
          <t>FTE's</t>
        </is>
      </c>
      <c r="P214" s="825" t="inlineStr">
        <is>
          <t>FTE's</t>
        </is>
      </c>
      <c r="Q214" s="825" t="inlineStr">
        <is>
          <t>FTE's</t>
        </is>
      </c>
      <c r="R214" s="825" t="inlineStr">
        <is>
          <t>FTE's</t>
        </is>
      </c>
      <c r="S214" s="825" t="n"/>
      <c r="T214" s="825" t="inlineStr">
        <is>
          <t>FTE's</t>
        </is>
      </c>
      <c r="U214" s="825" t="inlineStr">
        <is>
          <t>FTE's</t>
        </is>
      </c>
      <c r="V214" s="825" t="inlineStr">
        <is>
          <t>FTE's</t>
        </is>
      </c>
      <c r="W214" s="825" t="inlineStr">
        <is>
          <t>FTE's</t>
        </is>
      </c>
      <c r="X214" s="825" t="inlineStr">
        <is>
          <t>FTE's</t>
        </is>
      </c>
      <c r="Y214" s="825" t="inlineStr">
        <is>
          <t>FTE's</t>
        </is>
      </c>
      <c r="Z214" s="825" t="inlineStr">
        <is>
          <t>FTE's</t>
        </is>
      </c>
      <c r="AA214" s="825" t="inlineStr">
        <is>
          <t>FTE's</t>
        </is>
      </c>
      <c r="AB214" s="825" t="inlineStr">
        <is>
          <t>FTE's</t>
        </is>
      </c>
      <c r="AC214" s="825" t="inlineStr">
        <is>
          <t>FTE's</t>
        </is>
      </c>
      <c r="AD214" s="825" t="inlineStr">
        <is>
          <t>FTE's</t>
        </is>
      </c>
      <c r="AE214" s="825" t="inlineStr">
        <is>
          <t>FTE's</t>
        </is>
      </c>
      <c r="AF214" s="825" t="n"/>
      <c r="AG214" s="825" t="inlineStr">
        <is>
          <t>FTE's</t>
        </is>
      </c>
      <c r="AH214" s="825" t="inlineStr">
        <is>
          <t>FTE's</t>
        </is>
      </c>
      <c r="AI214" s="825" t="inlineStr">
        <is>
          <t>FTE's</t>
        </is>
      </c>
      <c r="AJ214" s="825" t="inlineStr">
        <is>
          <t>FTE's</t>
        </is>
      </c>
      <c r="AK214" s="825" t="inlineStr">
        <is>
          <t>FTE's</t>
        </is>
      </c>
      <c r="AL214" s="825" t="inlineStr">
        <is>
          <t>FTE's</t>
        </is>
      </c>
      <c r="AM214" s="825" t="inlineStr">
        <is>
          <t>FTE's</t>
        </is>
      </c>
      <c r="AN214" s="825" t="inlineStr">
        <is>
          <t>FTE's</t>
        </is>
      </c>
      <c r="AO214" s="825" t="inlineStr">
        <is>
          <t>FTE's</t>
        </is>
      </c>
      <c r="AP214" s="825" t="inlineStr">
        <is>
          <t>FTE's</t>
        </is>
      </c>
      <c r="AQ214" s="825" t="inlineStr">
        <is>
          <t>FTE's</t>
        </is>
      </c>
      <c r="AR214" s="825" t="inlineStr">
        <is>
          <t>FTE's</t>
        </is>
      </c>
      <c r="AS214" s="825" t="n"/>
      <c r="AT214" s="825" t="inlineStr">
        <is>
          <t>FTE's</t>
        </is>
      </c>
      <c r="AU214" s="825" t="inlineStr">
        <is>
          <t>FTE's</t>
        </is>
      </c>
      <c r="AV214" s="825" t="inlineStr">
        <is>
          <t>FTE's</t>
        </is>
      </c>
      <c r="AW214" s="825" t="inlineStr">
        <is>
          <t>FTE's</t>
        </is>
      </c>
      <c r="AX214" s="825" t="inlineStr">
        <is>
          <t>FTE's</t>
        </is>
      </c>
      <c r="AY214" s="825" t="inlineStr">
        <is>
          <t>FTE's</t>
        </is>
      </c>
      <c r="AZ214" s="825" t="inlineStr">
        <is>
          <t>FTE's</t>
        </is>
      </c>
      <c r="BA214" s="825" t="inlineStr">
        <is>
          <t>FTE's</t>
        </is>
      </c>
      <c r="BB214" s="825" t="inlineStr">
        <is>
          <t>FTE's</t>
        </is>
      </c>
      <c r="BC214" s="825" t="inlineStr">
        <is>
          <t>FTE's</t>
        </is>
      </c>
      <c r="BD214" s="825" t="inlineStr">
        <is>
          <t>FTE's</t>
        </is>
      </c>
      <c r="BE214" s="825" t="inlineStr">
        <is>
          <t>FTE's</t>
        </is>
      </c>
      <c r="BF214" s="825" t="n"/>
      <c r="BG214" s="825" t="n"/>
    </row>
    <row r="215" ht="13.2" customHeight="1" s="586">
      <c r="A215" s="858" t="n"/>
      <c r="B215" s="855" t="n"/>
      <c r="C215" s="862" t="n"/>
      <c r="D215" s="862" t="n"/>
      <c r="E215" s="830" t="n"/>
      <c r="F215" s="830" t="n"/>
      <c r="G215" s="830" t="n"/>
      <c r="H215" s="832" t="n"/>
      <c r="I215" s="832" t="n"/>
      <c r="J215" s="832" t="n"/>
      <c r="K215" s="832" t="n"/>
      <c r="L215" s="832" t="n"/>
      <c r="M215" s="832" t="n"/>
      <c r="N215" s="832" t="n"/>
      <c r="O215" s="832" t="n"/>
      <c r="P215" s="832" t="n"/>
      <c r="Q215" s="832" t="n"/>
      <c r="R215" s="832" t="n"/>
      <c r="S215" s="833" t="n"/>
      <c r="T215" s="832" t="n"/>
      <c r="U215" s="832" t="n"/>
      <c r="V215" s="832" t="n"/>
      <c r="W215" s="832" t="n"/>
      <c r="X215" s="832" t="n"/>
      <c r="Y215" s="832" t="n"/>
      <c r="Z215" s="832" t="n"/>
      <c r="AA215" s="832" t="n"/>
      <c r="AB215" s="832" t="n"/>
      <c r="AC215" s="832" t="n"/>
      <c r="AD215" s="832" t="n"/>
      <c r="AE215" s="832" t="n"/>
      <c r="AF215" s="834" t="n"/>
      <c r="AG215" s="832" t="n"/>
      <c r="AH215" s="832" t="n"/>
      <c r="AI215" s="832" t="n"/>
      <c r="AJ215" s="832" t="n"/>
      <c r="AK215" s="832" t="n"/>
      <c r="AL215" s="832" t="n"/>
      <c r="AM215" s="832" t="n"/>
      <c r="AN215" s="832" t="n"/>
      <c r="AO215" s="832" t="n"/>
      <c r="AP215" s="832" t="n"/>
      <c r="AQ215" s="832" t="n"/>
      <c r="AR215" s="832" t="n"/>
      <c r="AS215" s="834" t="n"/>
      <c r="AT215" s="832" t="n"/>
      <c r="AU215" s="832" t="n"/>
      <c r="AV215" s="832" t="n"/>
      <c r="AW215" s="832" t="n"/>
      <c r="AX215" s="832" t="n"/>
      <c r="AY215" s="832" t="n"/>
      <c r="AZ215" s="832" t="n"/>
      <c r="BA215" s="832" t="n"/>
      <c r="BB215" s="832" t="n"/>
      <c r="BC215" s="832" t="n"/>
      <c r="BD215" s="832" t="n"/>
      <c r="BE215" s="832" t="n"/>
      <c r="BF215" s="834" t="n"/>
      <c r="BG215" s="832" t="n"/>
    </row>
    <row r="216" ht="13.2" customHeight="1" s="586">
      <c r="A216" s="858" t="n"/>
      <c r="B216" s="882" t="inlineStr">
        <is>
          <t>1. From As to Be</t>
        </is>
      </c>
      <c r="C216" s="864" t="inlineStr">
        <is>
          <t xml:space="preserve"> </t>
        </is>
      </c>
      <c r="D216" s="864" t="n"/>
      <c r="E216" s="865" t="n"/>
      <c r="F216" s="865" t="n"/>
      <c r="G216" s="890" t="n"/>
      <c r="H216" s="890" t="n"/>
      <c r="I216" s="890" t="n"/>
      <c r="J216" s="890" t="n">
        <v>19.605</v>
      </c>
      <c r="K216" s="890" t="n">
        <v>18.855</v>
      </c>
      <c r="L216" s="890" t="n">
        <v>16.605</v>
      </c>
      <c r="M216" s="890" t="n">
        <v>12.855</v>
      </c>
      <c r="N216" s="890" t="n">
        <v>10.605</v>
      </c>
      <c r="O216" s="890" t="n">
        <v>9.8475</v>
      </c>
      <c r="P216" s="890" t="n">
        <v>0</v>
      </c>
      <c r="Q216" s="890" t="n">
        <v>0</v>
      </c>
      <c r="R216" s="890" t="n">
        <v>0</v>
      </c>
      <c r="S216" s="913" t="n"/>
      <c r="T216" s="914" t="n"/>
      <c r="U216" s="914" t="n"/>
      <c r="V216" s="914" t="n"/>
      <c r="W216" s="914" t="n"/>
      <c r="X216" s="914" t="n"/>
      <c r="Y216" s="914" t="n"/>
      <c r="Z216" s="914" t="n"/>
      <c r="AA216" s="914" t="n"/>
      <c r="AB216" s="914" t="n"/>
      <c r="AC216" s="914" t="n"/>
      <c r="AD216" s="914" t="n"/>
      <c r="AE216" s="914" t="n"/>
      <c r="AF216" s="915" t="n"/>
      <c r="AG216" s="914" t="n"/>
      <c r="AH216" s="914" t="n"/>
      <c r="AI216" s="914" t="n"/>
      <c r="AJ216" s="914" t="n"/>
      <c r="AK216" s="914" t="n"/>
      <c r="AL216" s="914" t="n"/>
      <c r="AM216" s="914" t="n"/>
      <c r="AN216" s="914" t="n"/>
      <c r="AO216" s="914" t="n"/>
      <c r="AP216" s="914" t="n"/>
      <c r="AQ216" s="914" t="n"/>
      <c r="AR216" s="914" t="n"/>
      <c r="AS216" s="915" t="n"/>
      <c r="AT216" s="914" t="n"/>
      <c r="AU216" s="914" t="n"/>
      <c r="AV216" s="914" t="n"/>
      <c r="AW216" s="914" t="n"/>
      <c r="AX216" s="914" t="n"/>
      <c r="AY216" s="914" t="n"/>
      <c r="AZ216" s="914" t="n"/>
      <c r="BA216" s="914" t="n"/>
      <c r="BB216" s="914" t="n"/>
      <c r="BC216" s="914" t="n"/>
      <c r="BD216" s="914" t="n"/>
      <c r="BE216" s="914" t="n"/>
      <c r="BF216" s="915" t="n"/>
      <c r="BG216" s="841" t="n"/>
    </row>
    <row r="217" ht="13.2" customHeight="1" s="586">
      <c r="A217" s="858" t="n"/>
      <c r="B217" s="858" t="inlineStr">
        <is>
          <t>2. Voice N-1</t>
        </is>
      </c>
      <c r="C217" s="864" t="inlineStr">
        <is>
          <t xml:space="preserve"> </t>
        </is>
      </c>
      <c r="D217" s="864" t="n"/>
      <c r="E217" s="865" t="n"/>
      <c r="F217" s="865" t="n"/>
      <c r="G217" s="890" t="n">
        <v>0.3</v>
      </c>
      <c r="H217" s="890" t="n">
        <v>1.86</v>
      </c>
      <c r="I217" s="890" t="n">
        <v>1.86</v>
      </c>
      <c r="J217" s="890" t="n">
        <v>1.2</v>
      </c>
      <c r="K217" s="890" t="n">
        <v>3</v>
      </c>
      <c r="L217" s="890" t="n">
        <v>5.25</v>
      </c>
      <c r="M217" s="890" t="n">
        <v>5.25</v>
      </c>
      <c r="N217" s="890" t="n">
        <v>5.25</v>
      </c>
      <c r="O217" s="890" t="n">
        <v>2.85</v>
      </c>
      <c r="P217" s="890" t="n">
        <v>0</v>
      </c>
      <c r="Q217" s="890" t="n">
        <v>0</v>
      </c>
      <c r="R217" s="890" t="n">
        <v>0</v>
      </c>
      <c r="S217" s="913" t="n"/>
      <c r="T217" s="890" t="n">
        <v>0</v>
      </c>
      <c r="U217" s="890" t="n">
        <v>0</v>
      </c>
      <c r="V217" s="890" t="n">
        <v>0</v>
      </c>
      <c r="W217" s="890" t="n">
        <v>0</v>
      </c>
      <c r="X217" s="890" t="n">
        <v>0</v>
      </c>
      <c r="Y217" s="890" t="n">
        <v>0</v>
      </c>
      <c r="Z217" s="890" t="n">
        <v>0</v>
      </c>
      <c r="AA217" s="890" t="n">
        <v>0</v>
      </c>
      <c r="AB217" s="890" t="n">
        <v>0</v>
      </c>
      <c r="AC217" s="890" t="n">
        <v>0</v>
      </c>
      <c r="AD217" s="890" t="n">
        <v>0</v>
      </c>
      <c r="AE217" s="890" t="n">
        <v>0</v>
      </c>
      <c r="AF217" s="915" t="n"/>
      <c r="AG217" s="914" t="n"/>
      <c r="AH217" s="914" t="n"/>
      <c r="AI217" s="914" t="n"/>
      <c r="AJ217" s="914" t="n"/>
      <c r="AK217" s="914" t="n"/>
      <c r="AL217" s="914" t="n"/>
      <c r="AM217" s="914" t="n"/>
      <c r="AN217" s="914" t="n"/>
      <c r="AO217" s="914" t="n"/>
      <c r="AP217" s="914" t="n"/>
      <c r="AQ217" s="914" t="n"/>
      <c r="AR217" s="914" t="n"/>
      <c r="AS217" s="915" t="n"/>
      <c r="AT217" s="914" t="n"/>
      <c r="AU217" s="914" t="n"/>
      <c r="AV217" s="914" t="n"/>
      <c r="AW217" s="914" t="n"/>
      <c r="AX217" s="914" t="n"/>
      <c r="AY217" s="914" t="n"/>
      <c r="AZ217" s="914" t="n"/>
      <c r="BA217" s="914" t="n"/>
      <c r="BB217" s="914" t="n"/>
      <c r="BC217" s="914" t="n"/>
      <c r="BD217" s="914" t="n"/>
      <c r="BE217" s="914" t="n"/>
      <c r="BF217" s="915" t="n"/>
      <c r="BG217" s="914" t="n"/>
    </row>
    <row r="218" ht="13.2" customHeight="1" s="586">
      <c r="A218" s="858" t="n"/>
      <c r="B218" s="858" t="n"/>
      <c r="C218" s="864" t="inlineStr">
        <is>
          <t xml:space="preserve"> </t>
        </is>
      </c>
      <c r="D218" s="864" t="n"/>
      <c r="E218" s="865" t="n"/>
      <c r="F218" s="865" t="n"/>
      <c r="G218" s="890" t="n"/>
      <c r="H218" s="890" t="n"/>
      <c r="I218" s="890" t="n"/>
      <c r="J218" s="890" t="n"/>
      <c r="K218" s="890" t="n"/>
      <c r="L218" s="890" t="n"/>
      <c r="M218" s="890" t="n"/>
      <c r="N218" s="890" t="n"/>
      <c r="O218" s="890" t="n"/>
      <c r="P218" s="890" t="n"/>
      <c r="Q218" s="890" t="n"/>
      <c r="R218" s="890" t="n"/>
      <c r="S218" s="913" t="n"/>
      <c r="T218" s="914" t="n"/>
      <c r="U218" s="914" t="n"/>
      <c r="V218" s="914" t="n"/>
      <c r="W218" s="914" t="n"/>
      <c r="X218" s="914" t="n"/>
      <c r="Y218" s="914" t="n"/>
      <c r="Z218" s="914" t="n"/>
      <c r="AA218" s="914" t="n"/>
      <c r="AB218" s="914" t="n"/>
      <c r="AC218" s="914" t="n"/>
      <c r="AD218" s="914" t="n"/>
      <c r="AE218" s="914" t="n"/>
      <c r="AF218" s="915" t="n"/>
      <c r="AG218" s="914" t="n"/>
      <c r="AH218" s="914" t="n"/>
      <c r="AI218" s="914" t="n"/>
      <c r="AJ218" s="914" t="n"/>
      <c r="AK218" s="914" t="n"/>
      <c r="AL218" s="914" t="n"/>
      <c r="AM218" s="914" t="n"/>
      <c r="AN218" s="914" t="n"/>
      <c r="AO218" s="914" t="n"/>
      <c r="AP218" s="914" t="n"/>
      <c r="AQ218" s="914" t="n"/>
      <c r="AR218" s="914" t="n"/>
      <c r="AS218" s="915" t="n"/>
      <c r="AT218" s="914" t="n"/>
      <c r="AU218" s="914" t="n"/>
      <c r="AV218" s="914" t="n"/>
      <c r="AW218" s="914" t="n"/>
      <c r="AX218" s="914" t="n"/>
      <c r="AY218" s="914" t="n"/>
      <c r="AZ218" s="914" t="n"/>
      <c r="BA218" s="914" t="n"/>
      <c r="BB218" s="914" t="n"/>
      <c r="BC218" s="914" t="n"/>
      <c r="BD218" s="914" t="n"/>
      <c r="BE218" s="914" t="n"/>
      <c r="BF218" s="915" t="n"/>
      <c r="BG218" s="914" t="n"/>
    </row>
    <row r="219" ht="13.2" customHeight="1" s="586">
      <c r="A219" s="858" t="n"/>
      <c r="B219" s="858" t="n"/>
      <c r="C219" s="864" t="inlineStr">
        <is>
          <t xml:space="preserve"> </t>
        </is>
      </c>
      <c r="D219" s="864" t="n"/>
      <c r="E219" s="865" t="n"/>
      <c r="F219" s="865" t="n"/>
      <c r="G219" s="890" t="n"/>
      <c r="H219" s="890" t="n"/>
      <c r="I219" s="890" t="n"/>
      <c r="J219" s="890" t="n"/>
      <c r="K219" s="890" t="n"/>
      <c r="L219" s="890" t="n"/>
      <c r="M219" s="890" t="n"/>
      <c r="N219" s="890" t="n"/>
      <c r="O219" s="890" t="n"/>
      <c r="P219" s="890" t="n"/>
      <c r="Q219" s="890" t="n"/>
      <c r="R219" s="890" t="n"/>
      <c r="S219" s="913" t="n"/>
      <c r="T219" s="914" t="n"/>
      <c r="U219" s="914" t="n"/>
      <c r="V219" s="914" t="n"/>
      <c r="W219" s="914" t="n"/>
      <c r="X219" s="914" t="n"/>
      <c r="Y219" s="914" t="n"/>
      <c r="Z219" s="914" t="n"/>
      <c r="AA219" s="914" t="n"/>
      <c r="AB219" s="914" t="n"/>
      <c r="AC219" s="914" t="n"/>
      <c r="AD219" s="914" t="n"/>
      <c r="AE219" s="914" t="n"/>
      <c r="AF219" s="915" t="n"/>
      <c r="AG219" s="914" t="n"/>
      <c r="AH219" s="914" t="n"/>
      <c r="AI219" s="914" t="n"/>
      <c r="AJ219" s="914" t="n"/>
      <c r="AK219" s="914" t="n"/>
      <c r="AL219" s="914" t="n"/>
      <c r="AM219" s="914" t="n"/>
      <c r="AN219" s="914" t="n"/>
      <c r="AO219" s="914" t="n"/>
      <c r="AP219" s="914" t="n"/>
      <c r="AQ219" s="914" t="n"/>
      <c r="AR219" s="914" t="n"/>
      <c r="AS219" s="915" t="n"/>
      <c r="AT219" s="914" t="n"/>
      <c r="AU219" s="914" t="n"/>
      <c r="AV219" s="914" t="n"/>
      <c r="AW219" s="914" t="n"/>
      <c r="AX219" s="914" t="n"/>
      <c r="AY219" s="914" t="n"/>
      <c r="AZ219" s="914" t="n"/>
      <c r="BA219" s="914" t="n"/>
      <c r="BB219" s="914" t="n"/>
      <c r="BC219" s="914" t="n"/>
      <c r="BD219" s="914" t="n"/>
      <c r="BE219" s="914" t="n"/>
      <c r="BF219" s="915" t="n"/>
      <c r="BG219" s="914" t="n"/>
    </row>
    <row r="220" ht="13.2" customHeight="1" s="586">
      <c r="A220" s="858" t="n"/>
      <c r="B220" s="858" t="n"/>
      <c r="C220" s="864" t="n"/>
      <c r="D220" s="864" t="n"/>
      <c r="E220" s="865" t="n"/>
      <c r="F220" s="865" t="n"/>
      <c r="G220" s="890" t="n"/>
      <c r="H220" s="890" t="n"/>
      <c r="I220" s="890" t="n"/>
      <c r="J220" s="890" t="n"/>
      <c r="K220" s="890" t="n"/>
      <c r="L220" s="890" t="n"/>
      <c r="M220" s="890" t="n"/>
      <c r="N220" s="890" t="n"/>
      <c r="O220" s="890" t="n"/>
      <c r="P220" s="890" t="n"/>
      <c r="Q220" s="890" t="n"/>
      <c r="R220" s="890" t="n"/>
      <c r="S220" s="913" t="n"/>
      <c r="T220" s="914" t="n"/>
      <c r="U220" s="914" t="n"/>
      <c r="V220" s="914" t="n"/>
      <c r="W220" s="914" t="n"/>
      <c r="X220" s="914" t="n"/>
      <c r="Y220" s="914" t="n"/>
      <c r="Z220" s="914" t="n"/>
      <c r="AA220" s="914" t="n"/>
      <c r="AB220" s="914" t="n"/>
      <c r="AC220" s="914" t="n"/>
      <c r="AD220" s="914" t="n"/>
      <c r="AE220" s="914" t="n"/>
      <c r="AF220" s="915" t="n"/>
      <c r="AG220" s="914" t="n"/>
      <c r="AH220" s="914" t="n"/>
      <c r="AI220" s="914" t="n"/>
      <c r="AJ220" s="914" t="n"/>
      <c r="AK220" s="914" t="n"/>
      <c r="AL220" s="914" t="n"/>
      <c r="AM220" s="914" t="n"/>
      <c r="AN220" s="914" t="n"/>
      <c r="AO220" s="914" t="n"/>
      <c r="AP220" s="914" t="n"/>
      <c r="AQ220" s="914" t="n"/>
      <c r="AR220" s="914" t="n"/>
      <c r="AS220" s="915" t="n"/>
      <c r="AT220" s="914" t="n"/>
      <c r="AU220" s="914" t="n"/>
      <c r="AV220" s="914" t="n"/>
      <c r="AW220" s="914" t="n"/>
      <c r="AX220" s="914" t="n"/>
      <c r="AY220" s="914" t="n"/>
      <c r="AZ220" s="914" t="n"/>
      <c r="BA220" s="914" t="n"/>
      <c r="BB220" s="914" t="n"/>
      <c r="BC220" s="914" t="n"/>
      <c r="BD220" s="914" t="n"/>
      <c r="BE220" s="914" t="n"/>
      <c r="BF220" s="915" t="n"/>
      <c r="BG220" s="914" t="n"/>
    </row>
    <row r="221" ht="13.2" customHeight="1" s="586">
      <c r="A221" s="858" t="n"/>
      <c r="B221" s="858" t="n"/>
      <c r="C221" s="864" t="n"/>
      <c r="D221" s="864" t="n"/>
      <c r="E221" s="865" t="n"/>
      <c r="F221" s="865" t="n"/>
      <c r="G221" s="890" t="n"/>
      <c r="H221" s="890" t="n"/>
      <c r="I221" s="890" t="n"/>
      <c r="J221" s="890" t="n"/>
      <c r="K221" s="890" t="n"/>
      <c r="L221" s="890" t="n"/>
      <c r="M221" s="890" t="n"/>
      <c r="N221" s="890" t="n"/>
      <c r="O221" s="890" t="n"/>
      <c r="P221" s="890" t="n"/>
      <c r="Q221" s="890" t="n"/>
      <c r="R221" s="890" t="n"/>
      <c r="S221" s="913" t="n"/>
      <c r="T221" s="914" t="n"/>
      <c r="U221" s="914" t="n"/>
      <c r="V221" s="914" t="n"/>
      <c r="W221" s="914" t="n"/>
      <c r="X221" s="914" t="n"/>
      <c r="Y221" s="914" t="n"/>
      <c r="Z221" s="914" t="n"/>
      <c r="AA221" s="914" t="n"/>
      <c r="AB221" s="914" t="n"/>
      <c r="AC221" s="914" t="n"/>
      <c r="AD221" s="914" t="n"/>
      <c r="AE221" s="914" t="n"/>
      <c r="AF221" s="915" t="n"/>
      <c r="AG221" s="914" t="n"/>
      <c r="AH221" s="914" t="n"/>
      <c r="AI221" s="914" t="n"/>
      <c r="AJ221" s="914" t="n"/>
      <c r="AK221" s="914" t="n"/>
      <c r="AL221" s="914" t="n"/>
      <c r="AM221" s="914" t="n"/>
      <c r="AN221" s="914" t="n"/>
      <c r="AO221" s="914" t="n"/>
      <c r="AP221" s="914" t="n"/>
      <c r="AQ221" s="914" t="n"/>
      <c r="AR221" s="914" t="n"/>
      <c r="AS221" s="915" t="n"/>
      <c r="AT221" s="914" t="n"/>
      <c r="AU221" s="914" t="n"/>
      <c r="AV221" s="914" t="n"/>
      <c r="AW221" s="914" t="n"/>
      <c r="AX221" s="914" t="n"/>
      <c r="AY221" s="914" t="n"/>
      <c r="AZ221" s="914" t="n"/>
      <c r="BA221" s="914" t="n"/>
      <c r="BB221" s="914" t="n"/>
      <c r="BC221" s="914" t="n"/>
      <c r="BD221" s="914" t="n"/>
      <c r="BE221" s="914" t="n"/>
      <c r="BF221" s="915" t="n"/>
      <c r="BG221" s="914" t="n"/>
    </row>
    <row r="222" ht="13.2" customHeight="1" s="586">
      <c r="A222" s="858" t="n"/>
      <c r="B222" s="858" t="n"/>
      <c r="C222" s="864" t="inlineStr">
        <is>
          <t xml:space="preserve"> </t>
        </is>
      </c>
      <c r="D222" s="864" t="n"/>
      <c r="E222" s="865" t="n"/>
      <c r="F222" s="865" t="n"/>
      <c r="G222" s="890" t="n"/>
      <c r="H222" s="890" t="n"/>
      <c r="I222" s="890" t="n"/>
      <c r="J222" s="890" t="n"/>
      <c r="K222" s="890" t="n"/>
      <c r="L222" s="890" t="n"/>
      <c r="M222" s="890" t="n"/>
      <c r="N222" s="890" t="n"/>
      <c r="O222" s="890" t="n"/>
      <c r="P222" s="890" t="n"/>
      <c r="Q222" s="890" t="n"/>
      <c r="R222" s="890" t="n"/>
      <c r="S222" s="913" t="n"/>
      <c r="T222" s="914" t="n"/>
      <c r="U222" s="914" t="n"/>
      <c r="V222" s="914" t="n"/>
      <c r="W222" s="914" t="n"/>
      <c r="X222" s="914" t="n"/>
      <c r="Y222" s="914" t="n"/>
      <c r="Z222" s="914" t="n"/>
      <c r="AA222" s="914" t="n"/>
      <c r="AB222" s="914" t="n"/>
      <c r="AC222" s="914" t="n"/>
      <c r="AD222" s="914" t="n"/>
      <c r="AE222" s="914" t="n"/>
      <c r="AF222" s="915" t="n"/>
      <c r="AG222" s="914" t="n"/>
      <c r="AH222" s="914" t="n"/>
      <c r="AI222" s="914" t="n"/>
      <c r="AJ222" s="914" t="n"/>
      <c r="AK222" s="914" t="n"/>
      <c r="AL222" s="914" t="n"/>
      <c r="AM222" s="914" t="n"/>
      <c r="AN222" s="914" t="n"/>
      <c r="AO222" s="914" t="n"/>
      <c r="AP222" s="914" t="n"/>
      <c r="AQ222" s="914" t="n"/>
      <c r="AR222" s="914" t="n"/>
      <c r="AS222" s="915" t="n"/>
      <c r="AT222" s="914" t="n"/>
      <c r="AU222" s="914" t="n"/>
      <c r="AV222" s="914" t="n"/>
      <c r="AW222" s="914" t="n"/>
      <c r="AX222" s="914" t="n"/>
      <c r="AY222" s="914" t="n"/>
      <c r="AZ222" s="914" t="n"/>
      <c r="BA222" s="914" t="n"/>
      <c r="BB222" s="914" t="n"/>
      <c r="BC222" s="914" t="n"/>
      <c r="BD222" s="914" t="n"/>
      <c r="BE222" s="914" t="n"/>
      <c r="BF222" s="915" t="n"/>
      <c r="BG222" s="914" t="n"/>
    </row>
    <row r="223" ht="13.2" customHeight="1" s="586">
      <c r="A223" s="858" t="n"/>
      <c r="B223" s="858" t="n"/>
      <c r="C223" s="864" t="inlineStr">
        <is>
          <t xml:space="preserve"> </t>
        </is>
      </c>
      <c r="D223" s="864" t="n"/>
      <c r="E223" s="865" t="n"/>
      <c r="F223" s="865" t="n"/>
      <c r="G223" s="890" t="n"/>
      <c r="H223" s="890" t="n"/>
      <c r="I223" s="890" t="n"/>
      <c r="J223" s="890" t="n"/>
      <c r="K223" s="890" t="n"/>
      <c r="L223" s="890" t="n"/>
      <c r="M223" s="890" t="n"/>
      <c r="N223" s="890" t="n"/>
      <c r="O223" s="890" t="n"/>
      <c r="P223" s="890" t="n"/>
      <c r="Q223" s="890" t="n"/>
      <c r="R223" s="890" t="n"/>
      <c r="S223" s="913" t="n"/>
      <c r="T223" s="914" t="n"/>
      <c r="U223" s="914" t="n"/>
      <c r="V223" s="914" t="n"/>
      <c r="W223" s="914" t="n"/>
      <c r="X223" s="914" t="n"/>
      <c r="Y223" s="914" t="n"/>
      <c r="Z223" s="914" t="n"/>
      <c r="AA223" s="914" t="n"/>
      <c r="AB223" s="914" t="n"/>
      <c r="AC223" s="914" t="n"/>
      <c r="AD223" s="914" t="n"/>
      <c r="AE223" s="914" t="n"/>
      <c r="AF223" s="915" t="n"/>
      <c r="AG223" s="914" t="n"/>
      <c r="AH223" s="914" t="n"/>
      <c r="AI223" s="914" t="n"/>
      <c r="AJ223" s="914" t="n"/>
      <c r="AK223" s="914" t="n"/>
      <c r="AL223" s="914" t="n"/>
      <c r="AM223" s="914" t="n"/>
      <c r="AN223" s="914" t="n"/>
      <c r="AO223" s="914" t="n"/>
      <c r="AP223" s="914" t="n"/>
      <c r="AQ223" s="914" t="n"/>
      <c r="AR223" s="914" t="n"/>
      <c r="AS223" s="915" t="n"/>
      <c r="AT223" s="914" t="n"/>
      <c r="AU223" s="914" t="n"/>
      <c r="AV223" s="914" t="n"/>
      <c r="AW223" s="914" t="n"/>
      <c r="AX223" s="914" t="n"/>
      <c r="AY223" s="914" t="n"/>
      <c r="AZ223" s="914" t="n"/>
      <c r="BA223" s="914" t="n"/>
      <c r="BB223" s="914" t="n"/>
      <c r="BC223" s="914" t="n"/>
      <c r="BD223" s="914" t="n"/>
      <c r="BE223" s="914" t="n"/>
      <c r="BF223" s="915" t="n"/>
      <c r="BG223" s="914" t="n"/>
    </row>
    <row r="224" ht="13.8" customHeight="1" s="586">
      <c r="A224" s="858" t="n"/>
      <c r="B224" s="885" t="n"/>
      <c r="C224" s="868" t="inlineStr">
        <is>
          <t xml:space="preserve"> </t>
        </is>
      </c>
      <c r="D224" s="868" t="n"/>
      <c r="E224" s="869" t="n"/>
      <c r="F224" s="869" t="n"/>
      <c r="G224" s="891" t="n"/>
      <c r="H224" s="891" t="n"/>
      <c r="I224" s="891" t="n"/>
      <c r="J224" s="891" t="n"/>
      <c r="K224" s="891" t="n"/>
      <c r="L224" s="891" t="n"/>
      <c r="M224" s="891" t="n"/>
      <c r="N224" s="891" t="n"/>
      <c r="O224" s="891" t="n"/>
      <c r="P224" s="891" t="n"/>
      <c r="Q224" s="891" t="n"/>
      <c r="R224" s="891" t="n"/>
      <c r="S224" s="916" t="n"/>
      <c r="T224" s="917" t="n"/>
      <c r="U224" s="917" t="n"/>
      <c r="V224" s="917" t="n"/>
      <c r="W224" s="917" t="n"/>
      <c r="X224" s="917" t="n"/>
      <c r="Y224" s="917" t="n"/>
      <c r="Z224" s="917" t="n"/>
      <c r="AA224" s="917" t="n"/>
      <c r="AB224" s="917" t="n"/>
      <c r="AC224" s="917" t="n"/>
      <c r="AD224" s="917" t="n"/>
      <c r="AE224" s="917" t="n"/>
      <c r="AF224" s="918" t="n"/>
      <c r="AG224" s="917" t="n"/>
      <c r="AH224" s="917" t="n"/>
      <c r="AI224" s="917" t="n"/>
      <c r="AJ224" s="917" t="n"/>
      <c r="AK224" s="917" t="n"/>
      <c r="AL224" s="917" t="n"/>
      <c r="AM224" s="917" t="n"/>
      <c r="AN224" s="917" t="n"/>
      <c r="AO224" s="917" t="n"/>
      <c r="AP224" s="917" t="n"/>
      <c r="AQ224" s="917" t="n"/>
      <c r="AR224" s="917" t="n"/>
      <c r="AS224" s="918" t="n"/>
      <c r="AT224" s="917" t="n"/>
      <c r="AU224" s="917" t="n"/>
      <c r="AV224" s="917" t="n"/>
      <c r="AW224" s="917" t="n"/>
      <c r="AX224" s="917" t="n"/>
      <c r="AY224" s="917" t="n"/>
      <c r="AZ224" s="917" t="n"/>
      <c r="BA224" s="917" t="n"/>
      <c r="BB224" s="917" t="n"/>
      <c r="BC224" s="917" t="n"/>
      <c r="BD224" s="917" t="n"/>
      <c r="BE224" s="917" t="n"/>
      <c r="BF224" s="918" t="n"/>
      <c r="BG224" s="917" t="n"/>
    </row>
    <row r="225" ht="13.8" customHeight="1" s="586">
      <c r="A225" s="849" t="n"/>
      <c r="B225" s="871" t="inlineStr">
        <is>
          <t>TOTAL</t>
        </is>
      </c>
      <c r="C225" s="872" t="n"/>
      <c r="D225" s="872" t="n"/>
      <c r="E225" s="873" t="n">
        <v>0</v>
      </c>
      <c r="F225" s="873" t="n">
        <v>0</v>
      </c>
      <c r="G225" s="904" t="n">
        <v>0.3</v>
      </c>
      <c r="H225" s="904" t="n">
        <v>1.86</v>
      </c>
      <c r="I225" s="904" t="n">
        <v>1.86</v>
      </c>
      <c r="J225" s="904" t="n">
        <v>20.805</v>
      </c>
      <c r="K225" s="904" t="n">
        <v>21.855</v>
      </c>
      <c r="L225" s="904" t="n">
        <v>21.855</v>
      </c>
      <c r="M225" s="904" t="n">
        <v>18.105</v>
      </c>
      <c r="N225" s="904" t="n">
        <v>15.855</v>
      </c>
      <c r="O225" s="904" t="n">
        <v>12.6975</v>
      </c>
      <c r="P225" s="904" t="n">
        <v>0</v>
      </c>
      <c r="Q225" s="904" t="n">
        <v>0</v>
      </c>
      <c r="R225" s="904" t="n">
        <v>0</v>
      </c>
      <c r="S225" s="904" t="n"/>
      <c r="T225" s="904" t="n">
        <v>0</v>
      </c>
      <c r="U225" s="904" t="n">
        <v>0</v>
      </c>
      <c r="V225" s="904" t="n">
        <v>0</v>
      </c>
      <c r="W225" s="904" t="n">
        <v>0</v>
      </c>
      <c r="X225" s="904" t="n">
        <v>0</v>
      </c>
      <c r="Y225" s="904" t="n">
        <v>0</v>
      </c>
      <c r="Z225" s="904" t="n">
        <v>0</v>
      </c>
      <c r="AA225" s="904" t="n">
        <v>0</v>
      </c>
      <c r="AB225" s="904" t="n">
        <v>0</v>
      </c>
      <c r="AC225" s="904" t="n">
        <v>0</v>
      </c>
      <c r="AD225" s="904" t="n">
        <v>0</v>
      </c>
      <c r="AE225" s="904" t="n">
        <v>0</v>
      </c>
      <c r="AF225" s="904" t="n"/>
      <c r="AG225" s="904" t="n">
        <v>0</v>
      </c>
      <c r="AH225" s="904" t="n">
        <v>0</v>
      </c>
      <c r="AI225" s="904" t="n">
        <v>0</v>
      </c>
      <c r="AJ225" s="904" t="n">
        <v>0</v>
      </c>
      <c r="AK225" s="904" t="n">
        <v>0</v>
      </c>
      <c r="AL225" s="904" t="n">
        <v>0</v>
      </c>
      <c r="AM225" s="904" t="n">
        <v>0</v>
      </c>
      <c r="AN225" s="904" t="n">
        <v>0</v>
      </c>
      <c r="AO225" s="904" t="n">
        <v>0</v>
      </c>
      <c r="AP225" s="904" t="n">
        <v>0</v>
      </c>
      <c r="AQ225" s="904" t="n">
        <v>0</v>
      </c>
      <c r="AR225" s="904" t="n">
        <v>0</v>
      </c>
      <c r="AS225" s="904" t="n"/>
      <c r="AT225" s="904" t="n">
        <v>0</v>
      </c>
      <c r="AU225" s="904" t="n">
        <v>0</v>
      </c>
      <c r="AV225" s="904" t="n">
        <v>0</v>
      </c>
      <c r="AW225" s="904" t="n">
        <v>0</v>
      </c>
      <c r="AX225" s="904" t="n">
        <v>0</v>
      </c>
      <c r="AY225" s="904" t="n">
        <v>0</v>
      </c>
      <c r="AZ225" s="904" t="n">
        <v>0</v>
      </c>
      <c r="BA225" s="904" t="n">
        <v>0</v>
      </c>
      <c r="BB225" s="904" t="n">
        <v>0</v>
      </c>
      <c r="BC225" s="904" t="n">
        <v>0</v>
      </c>
      <c r="BD225" s="904" t="n">
        <v>0</v>
      </c>
      <c r="BE225" s="904" t="n">
        <v>0</v>
      </c>
      <c r="BF225" s="904" t="n"/>
      <c r="BG225" s="919" t="n"/>
    </row>
    <row r="226" ht="13.8" customHeight="1" s="586"/>
    <row r="227" ht="13.2" customHeight="1" s="586">
      <c r="S227" s="821" t="inlineStr">
        <is>
          <t>Year 1</t>
        </is>
      </c>
      <c r="T227" s="822" t="inlineStr">
        <is>
          <t>Month 13</t>
        </is>
      </c>
      <c r="U227" s="822" t="inlineStr">
        <is>
          <t>Month 14</t>
        </is>
      </c>
      <c r="V227" s="822" t="inlineStr">
        <is>
          <t>Month 15</t>
        </is>
      </c>
      <c r="W227" s="822" t="inlineStr">
        <is>
          <t>Month 16</t>
        </is>
      </c>
      <c r="X227" s="822" t="inlineStr">
        <is>
          <t>Month 17</t>
        </is>
      </c>
      <c r="Y227" s="822" t="inlineStr">
        <is>
          <t>Month 18</t>
        </is>
      </c>
      <c r="Z227" s="822" t="inlineStr">
        <is>
          <t>Month 19</t>
        </is>
      </c>
      <c r="AA227" s="822" t="inlineStr">
        <is>
          <t>Month 20</t>
        </is>
      </c>
      <c r="AB227" s="822" t="inlineStr">
        <is>
          <t>Month 21</t>
        </is>
      </c>
      <c r="AC227" s="822" t="inlineStr">
        <is>
          <t>Month 22</t>
        </is>
      </c>
      <c r="AD227" s="822" t="inlineStr">
        <is>
          <t>Month 23</t>
        </is>
      </c>
      <c r="AE227" s="822" t="inlineStr">
        <is>
          <t>Month 24</t>
        </is>
      </c>
      <c r="AF227" s="822" t="inlineStr">
        <is>
          <t>Year 2</t>
        </is>
      </c>
      <c r="AG227" s="822" t="inlineStr">
        <is>
          <t>Month 25</t>
        </is>
      </c>
      <c r="AH227" s="822" t="inlineStr">
        <is>
          <t>Month 26</t>
        </is>
      </c>
      <c r="AI227" s="822" t="inlineStr">
        <is>
          <t>Month 27</t>
        </is>
      </c>
      <c r="AJ227" s="822" t="inlineStr">
        <is>
          <t>Month 28</t>
        </is>
      </c>
      <c r="AK227" s="822" t="inlineStr">
        <is>
          <t>Month 29</t>
        </is>
      </c>
      <c r="AL227" s="822" t="inlineStr">
        <is>
          <t>Month 30</t>
        </is>
      </c>
      <c r="AM227" s="822" t="inlineStr">
        <is>
          <t>Month 31</t>
        </is>
      </c>
      <c r="AN227" s="822" t="inlineStr">
        <is>
          <t>Month 32</t>
        </is>
      </c>
      <c r="AO227" s="822" t="inlineStr">
        <is>
          <t>Month 33</t>
        </is>
      </c>
      <c r="AP227" s="822" t="inlineStr">
        <is>
          <t>Month 34</t>
        </is>
      </c>
      <c r="AQ227" s="822" t="inlineStr">
        <is>
          <t>Month 35</t>
        </is>
      </c>
      <c r="AR227" s="822" t="inlineStr">
        <is>
          <t>Month 36</t>
        </is>
      </c>
      <c r="AS227" s="822" t="inlineStr">
        <is>
          <t>Year 3</t>
        </is>
      </c>
      <c r="AT227" s="822" t="inlineStr">
        <is>
          <t>Month 37</t>
        </is>
      </c>
      <c r="AU227" s="822" t="inlineStr">
        <is>
          <t>Month 38</t>
        </is>
      </c>
      <c r="AV227" s="822" t="inlineStr">
        <is>
          <t>Month 39</t>
        </is>
      </c>
      <c r="AW227" s="822" t="inlineStr">
        <is>
          <t>Month 40</t>
        </is>
      </c>
      <c r="AX227" s="822" t="inlineStr">
        <is>
          <t>Month 41</t>
        </is>
      </c>
      <c r="AY227" s="822" t="inlineStr">
        <is>
          <t>Month 42</t>
        </is>
      </c>
      <c r="AZ227" s="822" t="inlineStr">
        <is>
          <t>Month 43</t>
        </is>
      </c>
      <c r="BA227" s="822" t="inlineStr">
        <is>
          <t>Month 44</t>
        </is>
      </c>
      <c r="BB227" s="822" t="inlineStr">
        <is>
          <t>Month 45</t>
        </is>
      </c>
      <c r="BC227" s="822" t="inlineStr">
        <is>
          <t>Month 46</t>
        </is>
      </c>
      <c r="BD227" s="822" t="inlineStr">
        <is>
          <t>Month 47</t>
        </is>
      </c>
      <c r="BE227" s="822" t="inlineStr">
        <is>
          <t>Month 48</t>
        </is>
      </c>
      <c r="BF227" s="822" t="inlineStr">
        <is>
          <t>Year 4</t>
        </is>
      </c>
      <c r="BG227" s="821" t="inlineStr">
        <is>
          <t>Total</t>
        </is>
      </c>
    </row>
    <row r="228" ht="13.2" customHeight="1" s="586">
      <c r="B228" s="926" t="inlineStr">
        <is>
          <t>Total transition</t>
        </is>
      </c>
      <c r="S228" s="927">
        <f>SUM(S14,S42,S69,S96)</f>
        <v/>
      </c>
      <c r="T228" s="927">
        <f>SUM(T14,T42,T69,T96)*1000</f>
        <v/>
      </c>
      <c r="U228" s="927">
        <f>SUM(U14,U42,U69,U96)*1000</f>
        <v/>
      </c>
      <c r="V228" s="927">
        <f>SUM(V14,V42,V69,V96)*1000</f>
        <v/>
      </c>
      <c r="W228" s="927">
        <f>SUM(W14,W42,W69,W96)*1000</f>
        <v/>
      </c>
      <c r="X228" s="927">
        <f>SUM(X14,X42,X69,X96)*1000</f>
        <v/>
      </c>
      <c r="Y228" s="927">
        <f>SUM(Y14,Y42,Y69,Y96)*1000</f>
        <v/>
      </c>
      <c r="Z228" s="927">
        <f>SUM(Z14,Z42,Z69,Z96)*1000</f>
        <v/>
      </c>
      <c r="AA228" s="927">
        <f>SUM(AA14,AA42,AA69,AA96)*1000</f>
        <v/>
      </c>
      <c r="AB228" s="927">
        <f>SUM(AB14,AB42,AB69,AB96)*1000</f>
        <v/>
      </c>
      <c r="AC228" s="927">
        <f>SUM(AC14,AC42,AC69,AC96)*1000</f>
        <v/>
      </c>
      <c r="AD228" s="927">
        <f>SUM(AD14,AD42,AD69,AD96)*1000</f>
        <v/>
      </c>
      <c r="AE228" s="927">
        <f>SUM(AE14,AE42,AE69,AE96)*1000</f>
        <v/>
      </c>
      <c r="AF228" s="927">
        <f>SUM(AF14,AF42,AF69,AF96)*1000</f>
        <v/>
      </c>
      <c r="AG228" s="927">
        <f>SUM(AG14,AG42,AG69,AG96)*1000</f>
        <v/>
      </c>
      <c r="AH228" s="927">
        <f>SUM(AH14,AH42,AH69,AH96)*1000</f>
        <v/>
      </c>
      <c r="AI228" s="927">
        <f>SUM(AI14,AI42,AI69,AI96)*1000</f>
        <v/>
      </c>
      <c r="AJ228" s="927">
        <f>SUM(AJ14,AJ42,AJ69,AJ96)*1000</f>
        <v/>
      </c>
      <c r="AK228" s="927">
        <f>SUM(AK14,AK42,AK69,AK96)*1000</f>
        <v/>
      </c>
      <c r="AL228" s="927">
        <f>SUM(AL14,AL42,AL69,AL96)*1000</f>
        <v/>
      </c>
      <c r="AM228" s="927">
        <f>SUM(AM14,AM42,AM69,AM96)*1000</f>
        <v/>
      </c>
      <c r="AN228" s="927">
        <f>SUM(AN14,AN42,AN69,AN96)*1000</f>
        <v/>
      </c>
      <c r="AO228" s="927">
        <f>SUM(AO14,AO42,AO69,AO96)*1000</f>
        <v/>
      </c>
      <c r="AP228" s="927">
        <f>SUM(AP14,AP42,AP69,AP96)*1000</f>
        <v/>
      </c>
      <c r="AQ228" s="927">
        <f>SUM(AQ14,AQ42,AQ69,AQ96)*1000</f>
        <v/>
      </c>
      <c r="AR228" s="927">
        <f>SUM(AR14,AR42,AR69,AR96)*1000</f>
        <v/>
      </c>
      <c r="AS228" s="927">
        <f>SUM(AS14,AS42,AS69,AS96)*1000</f>
        <v/>
      </c>
      <c r="AT228" s="927">
        <f>SUM(AT14,AT42,AT69,AT96)*1000</f>
        <v/>
      </c>
      <c r="AU228" s="927">
        <f>SUM(AU14,AU42,AU69,AU96)*1000</f>
        <v/>
      </c>
      <c r="AV228" s="927">
        <f>SUM(AV14,AV42,AV69,AV96)*1000</f>
        <v/>
      </c>
      <c r="AW228" s="927">
        <f>SUM(AW14,AW42,AW69,AW96)*1000</f>
        <v/>
      </c>
      <c r="AX228" s="927">
        <f>SUM(AX14,AX42,AX69,AX96)*1000</f>
        <v/>
      </c>
      <c r="AY228" s="927">
        <f>SUM(AY14,AY42,AY69,AY96)*1000</f>
        <v/>
      </c>
      <c r="AZ228" s="927">
        <f>SUM(AZ14,AZ42,AZ69,AZ96)*1000</f>
        <v/>
      </c>
      <c r="BA228" s="927">
        <f>SUM(BA14,BA42,BA69,BA96)*1000</f>
        <v/>
      </c>
      <c r="BB228" s="927">
        <f>SUM(BB14,BB42,BB69,BB96)*1000</f>
        <v/>
      </c>
      <c r="BC228" s="927">
        <f>SUM(BC14,BC42,BC69,BC96)*1000</f>
        <v/>
      </c>
      <c r="BD228" s="927">
        <f>SUM(BD14,BD42,BD69,BD96)*1000</f>
        <v/>
      </c>
      <c r="BE228" s="927">
        <f>SUM(BE14,BE42,BE69,BE96)*1000</f>
        <v/>
      </c>
      <c r="BF228" s="927">
        <f>SUM(BF14,BF42,BF69,BF96)*1000</f>
        <v/>
      </c>
      <c r="BG228" s="927">
        <f>SUM(S228,AF228,AS228,BF228)</f>
        <v/>
      </c>
    </row>
    <row r="229" ht="13.2" customHeight="1" s="586">
      <c r="B229" s="928" t="inlineStr">
        <is>
          <t>Total transformation</t>
        </is>
      </c>
      <c r="S229" s="929">
        <f>(SUM(S123,S151,S180,S210))-S230</f>
        <v/>
      </c>
      <c r="T229" s="929">
        <f>SUM(T123,T151,T180,T210)*1000</f>
        <v/>
      </c>
      <c r="U229" s="929">
        <f>SUM(U123,U151,U180,U210)*1000</f>
        <v/>
      </c>
      <c r="V229" s="929">
        <f>SUM(V123,V151,V180,V210)*1000</f>
        <v/>
      </c>
      <c r="W229" s="929">
        <f>SUM(W123,W151,W180,W210)*1000</f>
        <v/>
      </c>
      <c r="X229" s="929">
        <f>SUM(X123,X151,X180,X210)*1000</f>
        <v/>
      </c>
      <c r="Y229" s="929">
        <f>SUM(Y123,Y151,Y180,Y210)*1000</f>
        <v/>
      </c>
      <c r="Z229" s="929">
        <f>SUM(Z123,Z151,Z180,Z210)*1000</f>
        <v/>
      </c>
      <c r="AA229" s="929">
        <f>SUM(AA123,AA151,AA180,AA210)*1000</f>
        <v/>
      </c>
      <c r="AB229" s="929">
        <f>SUM(AB123,AB151,AB180,AB210)*1000</f>
        <v/>
      </c>
      <c r="AC229" s="929">
        <f>SUM(AC123,AC151,AC180,AC210)*1000</f>
        <v/>
      </c>
      <c r="AD229" s="929">
        <f>SUM(AD123,AD151,AD180,AD210)*1000</f>
        <v/>
      </c>
      <c r="AE229" s="929">
        <f>SUM(AE123,AE151,AE180,AE210)*1000</f>
        <v/>
      </c>
      <c r="AF229" s="929">
        <f>SUM(AF123,AF151,AF180,AF210)</f>
        <v/>
      </c>
      <c r="AG229" s="929">
        <f>SUM(AG123,AG151,AG180,AG210)*1000</f>
        <v/>
      </c>
      <c r="AH229" s="929">
        <f>SUM(AH123,AH151,AH180,AH210)*1000</f>
        <v/>
      </c>
      <c r="AI229" s="929">
        <f>SUM(AI123,AI151,AI180,AI210)*1000</f>
        <v/>
      </c>
      <c r="AJ229" s="929">
        <f>SUM(AJ123,AJ151,AJ180,AJ210)*1000</f>
        <v/>
      </c>
      <c r="AK229" s="929">
        <f>SUM(AK123,AK151,AK180,AK210)*1000</f>
        <v/>
      </c>
      <c r="AL229" s="929">
        <f>SUM(AL123,AL151,AL180,AL210)*1000</f>
        <v/>
      </c>
      <c r="AM229" s="929">
        <f>SUM(AM123,AM151,AM180,AM210)*1000</f>
        <v/>
      </c>
      <c r="AN229" s="929">
        <f>SUM(AN123,AN151,AN180,AN210)*1000</f>
        <v/>
      </c>
      <c r="AO229" s="929">
        <f>SUM(AO123,AO151,AO180,AO210)*1000</f>
        <v/>
      </c>
      <c r="AP229" s="929">
        <f>SUM(AP123,AP151,AP180,AP210)*1000</f>
        <v/>
      </c>
      <c r="AQ229" s="929">
        <f>SUM(AQ123,AQ151,AQ180,AQ210)*1000</f>
        <v/>
      </c>
      <c r="AR229" s="929">
        <f>SUM(AR123,AR151,AR180,AR210)*1000</f>
        <v/>
      </c>
      <c r="AS229" s="929">
        <f>SUM(AS123,AS151,AS180,AS210)</f>
        <v/>
      </c>
      <c r="AT229" s="929">
        <f>SUM(AT123,AT151,AT180,AT210)*1000</f>
        <v/>
      </c>
      <c r="AU229" s="929">
        <f>SUM(AU123,AU151,AU180,AU210)*1000</f>
        <v/>
      </c>
      <c r="AV229" s="929">
        <f>SUM(AV123,AV151,AV180,AV210)*1000</f>
        <v/>
      </c>
      <c r="AW229" s="929">
        <f>SUM(AW123,AW151,AW180,AW210)*1000</f>
        <v/>
      </c>
      <c r="AX229" s="929">
        <f>SUM(AX123,AX151,AX180,AX210)*1000</f>
        <v/>
      </c>
      <c r="AY229" s="929">
        <f>SUM(AY123,AY151,AY180,AY210)*1000</f>
        <v/>
      </c>
      <c r="AZ229" s="929">
        <f>SUM(AZ123,AZ151,AZ180,AZ210)*1000</f>
        <v/>
      </c>
      <c r="BA229" s="929">
        <f>SUM(BA123,BA151,BA180,BA210)*1000</f>
        <v/>
      </c>
      <c r="BB229" s="929">
        <f>SUM(BB123,BB151,BB180,BB210)*1000</f>
        <v/>
      </c>
      <c r="BC229" s="929">
        <f>SUM(BC123,BC151,BC180,BC210)*1000</f>
        <v/>
      </c>
      <c r="BD229" s="929">
        <f>SUM(BD123,BD151,BD180,BD210)*1000</f>
        <v/>
      </c>
      <c r="BE229" s="929">
        <f>SUM(BE123,BE151,BE180,BE210)*1000</f>
        <v/>
      </c>
      <c r="BF229" s="929">
        <f>SUM(BF123,BF151,BF180,BF210)</f>
        <v/>
      </c>
      <c r="BG229" s="929">
        <f>SUM(S229,AF229,AS229,BF229)</f>
        <v/>
      </c>
    </row>
    <row r="230" ht="13.2" customHeight="1" s="586">
      <c r="B230" s="926" t="inlineStr">
        <is>
          <t>BCP/Security</t>
        </is>
      </c>
      <c r="C230" s="930" t="n"/>
      <c r="D230" s="930" t="n"/>
      <c r="E230" s="931" t="n"/>
      <c r="F230" s="931" t="n"/>
      <c r="G230" s="931" t="n"/>
      <c r="H230" s="932" t="n"/>
      <c r="I230" s="932" t="n"/>
      <c r="J230" s="932" t="n"/>
      <c r="K230" s="932" t="n"/>
      <c r="L230" s="932" t="n"/>
      <c r="M230" s="932" t="n"/>
      <c r="N230" s="932" t="n"/>
      <c r="O230" s="932" t="n"/>
      <c r="P230" s="932" t="n"/>
      <c r="Q230" s="932" t="n"/>
      <c r="R230" s="932" t="n"/>
      <c r="S230" s="927">
        <f>(S117+S119)</f>
        <v/>
      </c>
      <c r="T230" s="932" t="n"/>
      <c r="U230" s="932" t="n"/>
      <c r="V230" s="932" t="n"/>
      <c r="W230" s="932" t="n"/>
      <c r="X230" s="932" t="n"/>
      <c r="Y230" s="932" t="n"/>
      <c r="Z230" s="932" t="n"/>
      <c r="AA230" s="932" t="n"/>
      <c r="AB230" s="932" t="n"/>
      <c r="AC230" s="932" t="n"/>
      <c r="AD230" s="932" t="n"/>
      <c r="AE230" s="932" t="n"/>
      <c r="AF230" s="927" t="n"/>
      <c r="AG230" s="932" t="n"/>
      <c r="AH230" s="932" t="n"/>
      <c r="AI230" s="932" t="n"/>
      <c r="AJ230" s="932" t="n"/>
      <c r="AK230" s="932" t="n"/>
      <c r="AL230" s="932" t="n"/>
      <c r="AM230" s="932" t="n"/>
      <c r="AN230" s="932" t="n"/>
      <c r="AO230" s="932" t="n"/>
      <c r="AP230" s="932" t="n"/>
      <c r="AQ230" s="932" t="n"/>
      <c r="AR230" s="932" t="n"/>
      <c r="AS230" s="927" t="n"/>
      <c r="AT230" s="932" t="n"/>
      <c r="AU230" s="932" t="n"/>
      <c r="AV230" s="932" t="n"/>
      <c r="AW230" s="932" t="n"/>
      <c r="AX230" s="932" t="n"/>
      <c r="AY230" s="932" t="n"/>
      <c r="AZ230" s="932" t="n"/>
      <c r="BA230" s="932" t="n"/>
      <c r="BB230" s="932" t="n"/>
      <c r="BC230" s="932" t="n"/>
      <c r="BD230" s="932" t="n"/>
      <c r="BE230" s="932" t="n"/>
      <c r="BF230" s="927" t="n"/>
      <c r="BG230" s="927">
        <f>SUM(S230,AF230,AS230,BF230)</f>
        <v/>
      </c>
      <c r="BI230" s="810" t="n"/>
    </row>
    <row r="231" ht="13.2" customHeight="1" s="586">
      <c r="C231" s="805" t="n"/>
      <c r="D231" s="805" t="n"/>
      <c r="E231" s="808" t="n"/>
      <c r="F231" s="808" t="n"/>
      <c r="G231" s="808" t="n"/>
      <c r="S231" s="808" t="n"/>
      <c r="AF231" s="808" t="n"/>
      <c r="AG231" s="809" t="n"/>
      <c r="AH231" s="809" t="n"/>
      <c r="AI231" s="809" t="n"/>
      <c r="AJ231" s="809" t="n"/>
      <c r="AK231" s="809" t="n"/>
      <c r="AL231" s="809" t="n"/>
      <c r="AM231" s="809" t="n"/>
      <c r="AN231" s="809" t="n"/>
      <c r="AO231" s="809" t="n"/>
      <c r="AP231" s="809" t="n"/>
      <c r="AQ231" s="809" t="n"/>
      <c r="AR231" s="809" t="n"/>
      <c r="AT231" s="809" t="n"/>
      <c r="AU231" s="809" t="n"/>
      <c r="AV231" s="809" t="n"/>
      <c r="AW231" s="809" t="n"/>
      <c r="AX231" s="809" t="n"/>
      <c r="AY231" s="809" t="n"/>
      <c r="AZ231" s="809" t="n"/>
      <c r="BA231" s="809" t="n"/>
      <c r="BB231" s="809" t="n"/>
      <c r="BC231" s="809" t="n"/>
      <c r="BD231" s="809" t="n"/>
      <c r="BE231" s="809" t="n"/>
      <c r="BG231" s="809" t="n"/>
    </row>
    <row r="232" ht="13.2" customHeight="1" s="586">
      <c r="S232" s="808" t="n"/>
      <c r="AF232" s="808" t="n"/>
      <c r="AS232" s="808" t="n"/>
      <c r="BF232" s="808" t="n"/>
      <c r="BH232" s="808" t="n"/>
      <c r="BI232" s="808" t="n"/>
      <c r="BJ232" s="808" t="n"/>
      <c r="BK232" s="808" t="n"/>
    </row>
    <row r="233"/>
    <row r="234"/>
    <row r="235"/>
    <row r="236"/>
    <row r="237"/>
    <row r="238"/>
    <row r="239" ht="13.2" customHeight="1" s="586">
      <c r="B239" s="933" t="n"/>
      <c r="D239" s="805" t="n"/>
      <c r="E239" s="805" t="n"/>
      <c r="F239" s="805" t="n"/>
      <c r="G239" s="805" t="n"/>
      <c r="H239" s="805" t="n"/>
      <c r="I239" s="805" t="n"/>
      <c r="J239" s="805" t="n"/>
      <c r="K239" s="805" t="n"/>
    </row>
    <row r="240"/>
    <row r="241"/>
    <row r="242"/>
    <row r="243" ht="13.8" customHeight="1" s="586">
      <c r="B243" s="813" t="inlineStr">
        <is>
          <t xml:space="preserve">Split NL and BE </t>
        </is>
      </c>
    </row>
    <row r="244" ht="13.8" customHeight="1" s="586">
      <c r="B244" s="934" t="inlineStr">
        <is>
          <t>NL</t>
        </is>
      </c>
      <c r="S244" s="821" t="inlineStr">
        <is>
          <t>Year 1</t>
        </is>
      </c>
      <c r="T244" s="822" t="inlineStr">
        <is>
          <t>Month 13</t>
        </is>
      </c>
      <c r="U244" s="822" t="inlineStr">
        <is>
          <t>Month 14</t>
        </is>
      </c>
      <c r="V244" s="822" t="inlineStr">
        <is>
          <t>Month 15</t>
        </is>
      </c>
      <c r="W244" s="822" t="inlineStr">
        <is>
          <t>Month 16</t>
        </is>
      </c>
      <c r="X244" s="822" t="inlineStr">
        <is>
          <t>Month 17</t>
        </is>
      </c>
      <c r="Y244" s="822" t="inlineStr">
        <is>
          <t>Month 18</t>
        </is>
      </c>
      <c r="Z244" s="822" t="inlineStr">
        <is>
          <t>Month 19</t>
        </is>
      </c>
      <c r="AA244" s="822" t="inlineStr">
        <is>
          <t>Month 20</t>
        </is>
      </c>
      <c r="AB244" s="822" t="inlineStr">
        <is>
          <t>Month 21</t>
        </is>
      </c>
      <c r="AC244" s="822" t="inlineStr">
        <is>
          <t>Month 22</t>
        </is>
      </c>
      <c r="AD244" s="822" t="inlineStr">
        <is>
          <t>Month 23</t>
        </is>
      </c>
      <c r="AE244" s="822" t="inlineStr">
        <is>
          <t>Month 24</t>
        </is>
      </c>
      <c r="AF244" s="822" t="inlineStr">
        <is>
          <t>Year 2</t>
        </is>
      </c>
      <c r="AG244" s="822" t="inlineStr">
        <is>
          <t>Month 25</t>
        </is>
      </c>
      <c r="AH244" s="822" t="inlineStr">
        <is>
          <t>Month 26</t>
        </is>
      </c>
      <c r="AI244" s="822" t="inlineStr">
        <is>
          <t>Month 27</t>
        </is>
      </c>
      <c r="AJ244" s="822" t="inlineStr">
        <is>
          <t>Month 28</t>
        </is>
      </c>
      <c r="AK244" s="822" t="inlineStr">
        <is>
          <t>Month 29</t>
        </is>
      </c>
      <c r="AL244" s="822" t="inlineStr">
        <is>
          <t>Month 30</t>
        </is>
      </c>
      <c r="AM244" s="822" t="inlineStr">
        <is>
          <t>Month 31</t>
        </is>
      </c>
      <c r="AN244" s="822" t="inlineStr">
        <is>
          <t>Month 32</t>
        </is>
      </c>
      <c r="AO244" s="822" t="inlineStr">
        <is>
          <t>Month 33</t>
        </is>
      </c>
      <c r="AP244" s="822" t="inlineStr">
        <is>
          <t>Month 34</t>
        </is>
      </c>
      <c r="AQ244" s="822" t="inlineStr">
        <is>
          <t>Month 35</t>
        </is>
      </c>
      <c r="AR244" s="822" t="inlineStr">
        <is>
          <t>Month 36</t>
        </is>
      </c>
      <c r="AS244" s="822" t="inlineStr">
        <is>
          <t>Year 3</t>
        </is>
      </c>
      <c r="AT244" s="822" t="inlineStr">
        <is>
          <t>Month 37</t>
        </is>
      </c>
      <c r="AU244" s="822" t="inlineStr">
        <is>
          <t>Month 38</t>
        </is>
      </c>
      <c r="AV244" s="822" t="inlineStr">
        <is>
          <t>Month 39</t>
        </is>
      </c>
      <c r="AW244" s="822" t="inlineStr">
        <is>
          <t>Month 40</t>
        </is>
      </c>
      <c r="AX244" s="822" t="inlineStr">
        <is>
          <t>Month 41</t>
        </is>
      </c>
      <c r="AY244" s="822" t="inlineStr">
        <is>
          <t>Month 42</t>
        </is>
      </c>
      <c r="AZ244" s="822" t="inlineStr">
        <is>
          <t>Month 43</t>
        </is>
      </c>
      <c r="BA244" s="822" t="inlineStr">
        <is>
          <t>Month 44</t>
        </is>
      </c>
      <c r="BB244" s="822" t="inlineStr">
        <is>
          <t>Month 45</t>
        </is>
      </c>
      <c r="BC244" s="822" t="inlineStr">
        <is>
          <t>Month 46</t>
        </is>
      </c>
      <c r="BD244" s="822" t="inlineStr">
        <is>
          <t>Month 47</t>
        </is>
      </c>
      <c r="BE244" s="822" t="inlineStr">
        <is>
          <t>Month 48</t>
        </is>
      </c>
      <c r="BF244" s="822" t="inlineStr">
        <is>
          <t>Year 4</t>
        </is>
      </c>
      <c r="BG244" s="821" t="inlineStr">
        <is>
          <t>Total</t>
        </is>
      </c>
      <c r="BI244" s="935" t="n">
        <v>0.7</v>
      </c>
    </row>
    <row r="245" ht="13.2" customHeight="1" s="586">
      <c r="B245" s="926" t="inlineStr">
        <is>
          <t>Total transition</t>
        </is>
      </c>
      <c r="S245" s="927">
        <f>S228*$BI$244</f>
        <v/>
      </c>
      <c r="T245" s="927">
        <f>T228*$BI$244</f>
        <v/>
      </c>
      <c r="U245" s="927">
        <f>U228*$BI$244</f>
        <v/>
      </c>
      <c r="V245" s="927">
        <f>V228*$BI$244</f>
        <v/>
      </c>
      <c r="W245" s="927">
        <f>W228*$BI$244</f>
        <v/>
      </c>
      <c r="X245" s="927">
        <f>X228*$BI$244</f>
        <v/>
      </c>
      <c r="Y245" s="927">
        <f>Y228*$BI$244</f>
        <v/>
      </c>
      <c r="Z245" s="927">
        <f>Z228*$BI$244</f>
        <v/>
      </c>
      <c r="AA245" s="927">
        <f>AA228*$BI$244</f>
        <v/>
      </c>
      <c r="AB245" s="927">
        <f>AB228*$BI$244</f>
        <v/>
      </c>
      <c r="AC245" s="927">
        <f>AC228*$BI$244</f>
        <v/>
      </c>
      <c r="AD245" s="927">
        <f>AD228*$BI$244</f>
        <v/>
      </c>
      <c r="AE245" s="927">
        <f>AE228*$BI$244</f>
        <v/>
      </c>
      <c r="AF245" s="927">
        <f>AF228*$BI$244</f>
        <v/>
      </c>
      <c r="AG245" s="927">
        <f>AG228*$BI$244</f>
        <v/>
      </c>
      <c r="AH245" s="927">
        <f>AH228*$BI$244</f>
        <v/>
      </c>
      <c r="AI245" s="927">
        <f>AI228*$BI$244</f>
        <v/>
      </c>
      <c r="AJ245" s="927">
        <f>AJ228*$BI$244</f>
        <v/>
      </c>
      <c r="AK245" s="927">
        <f>AK228*$BI$244</f>
        <v/>
      </c>
      <c r="AL245" s="927">
        <f>AL228*$BI$244</f>
        <v/>
      </c>
      <c r="AM245" s="927">
        <f>AM228*$BI$244</f>
        <v/>
      </c>
      <c r="AN245" s="927">
        <f>AN228*$BI$244</f>
        <v/>
      </c>
      <c r="AO245" s="927">
        <f>AO228*$BI$244</f>
        <v/>
      </c>
      <c r="AP245" s="927">
        <f>AP228*$BI$244</f>
        <v/>
      </c>
      <c r="AQ245" s="927">
        <f>AQ228*$BI$244</f>
        <v/>
      </c>
      <c r="AR245" s="927">
        <f>AR228*$BI$244</f>
        <v/>
      </c>
      <c r="AS245" s="927">
        <f>AS228*$BI$244</f>
        <v/>
      </c>
      <c r="AT245" s="927">
        <f>AT228*$BI$244</f>
        <v/>
      </c>
      <c r="AU245" s="927">
        <f>AU228*$BI$244</f>
        <v/>
      </c>
      <c r="AV245" s="927">
        <f>AV228*$BI$244</f>
        <v/>
      </c>
      <c r="AW245" s="927">
        <f>AW228*$BI$244</f>
        <v/>
      </c>
      <c r="AX245" s="927">
        <f>AX228*$BI$244</f>
        <v/>
      </c>
      <c r="AY245" s="927">
        <f>AY228*$BI$244</f>
        <v/>
      </c>
      <c r="AZ245" s="927">
        <f>AZ228*$BI$244</f>
        <v/>
      </c>
      <c r="BA245" s="927">
        <f>BA228*$BI$244</f>
        <v/>
      </c>
      <c r="BB245" s="927">
        <f>BB228*$BI$244</f>
        <v/>
      </c>
      <c r="BC245" s="927">
        <f>BC228*$BI$244</f>
        <v/>
      </c>
      <c r="BD245" s="927">
        <f>BD228*$BI$244</f>
        <v/>
      </c>
      <c r="BE245" s="927">
        <f>BE228*$BI$244</f>
        <v/>
      </c>
      <c r="BF245" s="927">
        <f>BF228*$BI$244</f>
        <v/>
      </c>
      <c r="BG245" s="927">
        <f>BG228*$BI$244</f>
        <v/>
      </c>
    </row>
    <row r="246" ht="13.2" customHeight="1" s="586">
      <c r="B246" s="926" t="inlineStr">
        <is>
          <t>Total transformation</t>
        </is>
      </c>
      <c r="S246" s="927">
        <f>S229*$BI$244</f>
        <v/>
      </c>
      <c r="T246" s="927">
        <f>T229*$BI$244</f>
        <v/>
      </c>
      <c r="U246" s="927">
        <f>U229*$BI$244</f>
        <v/>
      </c>
      <c r="V246" s="927">
        <f>V229*$BI$244</f>
        <v/>
      </c>
      <c r="W246" s="927">
        <f>W229*$BI$244</f>
        <v/>
      </c>
      <c r="X246" s="927">
        <f>X229*$BI$244</f>
        <v/>
      </c>
      <c r="Y246" s="927">
        <f>Y229*$BI$244</f>
        <v/>
      </c>
      <c r="Z246" s="927">
        <f>Z229*$BI$244</f>
        <v/>
      </c>
      <c r="AA246" s="927">
        <f>AA229*$BI$244</f>
        <v/>
      </c>
      <c r="AB246" s="927">
        <f>AB229*$BI$244</f>
        <v/>
      </c>
      <c r="AC246" s="927">
        <f>AC229*$BI$244</f>
        <v/>
      </c>
      <c r="AD246" s="927">
        <f>AD229*$BI$244</f>
        <v/>
      </c>
      <c r="AE246" s="927">
        <f>AE229*$BI$244</f>
        <v/>
      </c>
      <c r="AF246" s="927">
        <f>AF229*$BI$244</f>
        <v/>
      </c>
      <c r="AG246" s="927">
        <f>AG229*$BI$244</f>
        <v/>
      </c>
      <c r="AH246" s="927">
        <f>AH229*$BI$244</f>
        <v/>
      </c>
      <c r="AI246" s="927">
        <f>AI229*$BI$244</f>
        <v/>
      </c>
      <c r="AJ246" s="927">
        <f>AJ229*$BI$244</f>
        <v/>
      </c>
      <c r="AK246" s="927">
        <f>AK229*$BI$244</f>
        <v/>
      </c>
      <c r="AL246" s="927">
        <f>AL229*$BI$244</f>
        <v/>
      </c>
      <c r="AM246" s="927">
        <f>AM229*$BI$244</f>
        <v/>
      </c>
      <c r="AN246" s="927">
        <f>AN229*$BI$244</f>
        <v/>
      </c>
      <c r="AO246" s="927">
        <f>AO229*$BI$244</f>
        <v/>
      </c>
      <c r="AP246" s="927">
        <f>AP229*$BI$244</f>
        <v/>
      </c>
      <c r="AQ246" s="927">
        <f>AQ229*$BI$244</f>
        <v/>
      </c>
      <c r="AR246" s="927">
        <f>AR229*$BI$244</f>
        <v/>
      </c>
      <c r="AS246" s="927">
        <f>AS229*$BI$244</f>
        <v/>
      </c>
      <c r="AT246" s="927">
        <f>AT229*$BI$244</f>
        <v/>
      </c>
      <c r="AU246" s="927">
        <f>AU229*$BI$244</f>
        <v/>
      </c>
      <c r="AV246" s="927">
        <f>AV229*$BI$244</f>
        <v/>
      </c>
      <c r="AW246" s="927">
        <f>AW229*$BI$244</f>
        <v/>
      </c>
      <c r="AX246" s="927">
        <f>AX229*$BI$244</f>
        <v/>
      </c>
      <c r="AY246" s="927">
        <f>AY229*$BI$244</f>
        <v/>
      </c>
      <c r="AZ246" s="927">
        <f>AZ229*$BI$244</f>
        <v/>
      </c>
      <c r="BA246" s="927">
        <f>BA229*$BI$244</f>
        <v/>
      </c>
      <c r="BB246" s="927">
        <f>BB229*$BI$244</f>
        <v/>
      </c>
      <c r="BC246" s="927">
        <f>BC229*$BI$244</f>
        <v/>
      </c>
      <c r="BD246" s="927">
        <f>BD229*$BI$244</f>
        <v/>
      </c>
      <c r="BE246" s="927">
        <f>BE229*$BI$244</f>
        <v/>
      </c>
      <c r="BF246" s="927">
        <f>BF229*$BI$244</f>
        <v/>
      </c>
      <c r="BG246" s="927">
        <f>BG229*$BI$244</f>
        <v/>
      </c>
    </row>
    <row r="247" ht="13.2" customHeight="1" s="586">
      <c r="B247" s="926" t="inlineStr">
        <is>
          <t>BCP/Security</t>
        </is>
      </c>
      <c r="S247" s="927">
        <f>S230*$BI$244</f>
        <v/>
      </c>
      <c r="T247" s="927">
        <f>T230*$BI$244</f>
        <v/>
      </c>
      <c r="U247" s="927">
        <f>U230*$BI$244</f>
        <v/>
      </c>
      <c r="V247" s="927">
        <f>V230*$BI$244</f>
        <v/>
      </c>
      <c r="W247" s="927">
        <f>W230*$BI$244</f>
        <v/>
      </c>
      <c r="X247" s="927">
        <f>X230*$BI$244</f>
        <v/>
      </c>
      <c r="Y247" s="927">
        <f>Y230*$BI$244</f>
        <v/>
      </c>
      <c r="Z247" s="927">
        <f>Z230*$BI$244</f>
        <v/>
      </c>
      <c r="AA247" s="927">
        <f>AA230*$BI$244</f>
        <v/>
      </c>
      <c r="AB247" s="927">
        <f>AB230*$BI$244</f>
        <v/>
      </c>
      <c r="AC247" s="927">
        <f>AC230*$BI$244</f>
        <v/>
      </c>
      <c r="AD247" s="927">
        <f>AD230*$BI$244</f>
        <v/>
      </c>
      <c r="AE247" s="927">
        <f>AE230*$BI$244</f>
        <v/>
      </c>
      <c r="AF247" s="927">
        <f>AF230*$BI$244</f>
        <v/>
      </c>
      <c r="AG247" s="927">
        <f>AG230*$BI$244</f>
        <v/>
      </c>
      <c r="AH247" s="927">
        <f>AH230*$BI$244</f>
        <v/>
      </c>
      <c r="AI247" s="927">
        <f>AI230*$BI$244</f>
        <v/>
      </c>
      <c r="AJ247" s="927">
        <f>AJ230*$BI$244</f>
        <v/>
      </c>
      <c r="AK247" s="927">
        <f>AK230*$BI$244</f>
        <v/>
      </c>
      <c r="AL247" s="927">
        <f>AL230*$BI$244</f>
        <v/>
      </c>
      <c r="AM247" s="927">
        <f>AM230*$BI$244</f>
        <v/>
      </c>
      <c r="AN247" s="927">
        <f>AN230*$BI$244</f>
        <v/>
      </c>
      <c r="AO247" s="927">
        <f>AO230*$BI$244</f>
        <v/>
      </c>
      <c r="AP247" s="927">
        <f>AP230*$BI$244</f>
        <v/>
      </c>
      <c r="AQ247" s="927">
        <f>AQ230*$BI$244</f>
        <v/>
      </c>
      <c r="AR247" s="927">
        <f>AR230*$BI$244</f>
        <v/>
      </c>
      <c r="AS247" s="927">
        <f>AS230*$BI$244</f>
        <v/>
      </c>
      <c r="AT247" s="927">
        <f>AT230*$BI$244</f>
        <v/>
      </c>
      <c r="AU247" s="927">
        <f>AU230*$BI$244</f>
        <v/>
      </c>
      <c r="AV247" s="927">
        <f>AV230*$BI$244</f>
        <v/>
      </c>
      <c r="AW247" s="927">
        <f>AW230*$BI$244</f>
        <v/>
      </c>
      <c r="AX247" s="927">
        <f>AX230*$BI$244</f>
        <v/>
      </c>
      <c r="AY247" s="927">
        <f>AY230*$BI$244</f>
        <v/>
      </c>
      <c r="AZ247" s="927">
        <f>AZ230*$BI$244</f>
        <v/>
      </c>
      <c r="BA247" s="927">
        <f>BA230*$BI$244</f>
        <v/>
      </c>
      <c r="BB247" s="927">
        <f>BB230*$BI$244</f>
        <v/>
      </c>
      <c r="BC247" s="927">
        <f>BC230*$BI$244</f>
        <v/>
      </c>
      <c r="BD247" s="927">
        <f>BD230*$BI$244</f>
        <v/>
      </c>
      <c r="BE247" s="927">
        <f>BE230*$BI$244</f>
        <v/>
      </c>
      <c r="BF247" s="927">
        <f>BF230*$BI$244</f>
        <v/>
      </c>
      <c r="BG247" s="927">
        <f>BG230*$BI$244</f>
        <v/>
      </c>
    </row>
    <row r="248" ht="13.8" customHeight="1" s="586"/>
    <row r="249" ht="13.8" customHeight="1" s="586">
      <c r="B249" s="934" t="inlineStr">
        <is>
          <t>BE</t>
        </is>
      </c>
      <c r="S249" s="821" t="inlineStr">
        <is>
          <t>Year 1</t>
        </is>
      </c>
      <c r="T249" s="822" t="inlineStr">
        <is>
          <t>Month 13</t>
        </is>
      </c>
      <c r="U249" s="822" t="inlineStr">
        <is>
          <t>Month 14</t>
        </is>
      </c>
      <c r="V249" s="822" t="inlineStr">
        <is>
          <t>Month 15</t>
        </is>
      </c>
      <c r="W249" s="822" t="inlineStr">
        <is>
          <t>Month 16</t>
        </is>
      </c>
      <c r="X249" s="822" t="inlineStr">
        <is>
          <t>Month 17</t>
        </is>
      </c>
      <c r="Y249" s="822" t="inlineStr">
        <is>
          <t>Month 18</t>
        </is>
      </c>
      <c r="Z249" s="822" t="inlineStr">
        <is>
          <t>Month 19</t>
        </is>
      </c>
      <c r="AA249" s="822" t="inlineStr">
        <is>
          <t>Month 20</t>
        </is>
      </c>
      <c r="AB249" s="822" t="inlineStr">
        <is>
          <t>Month 21</t>
        </is>
      </c>
      <c r="AC249" s="822" t="inlineStr">
        <is>
          <t>Month 22</t>
        </is>
      </c>
      <c r="AD249" s="822" t="inlineStr">
        <is>
          <t>Month 23</t>
        </is>
      </c>
      <c r="AE249" s="822" t="inlineStr">
        <is>
          <t>Month 24</t>
        </is>
      </c>
      <c r="AF249" s="822" t="inlineStr">
        <is>
          <t>Year 2</t>
        </is>
      </c>
      <c r="AG249" s="822" t="inlineStr">
        <is>
          <t>Month 25</t>
        </is>
      </c>
      <c r="AH249" s="822" t="inlineStr">
        <is>
          <t>Month 26</t>
        </is>
      </c>
      <c r="AI249" s="822" t="inlineStr">
        <is>
          <t>Month 27</t>
        </is>
      </c>
      <c r="AJ249" s="822" t="inlineStr">
        <is>
          <t>Month 28</t>
        </is>
      </c>
      <c r="AK249" s="822" t="inlineStr">
        <is>
          <t>Month 29</t>
        </is>
      </c>
      <c r="AL249" s="822" t="inlineStr">
        <is>
          <t>Month 30</t>
        </is>
      </c>
      <c r="AM249" s="822" t="inlineStr">
        <is>
          <t>Month 31</t>
        </is>
      </c>
      <c r="AN249" s="822" t="inlineStr">
        <is>
          <t>Month 32</t>
        </is>
      </c>
      <c r="AO249" s="822" t="inlineStr">
        <is>
          <t>Month 33</t>
        </is>
      </c>
      <c r="AP249" s="822" t="inlineStr">
        <is>
          <t>Month 34</t>
        </is>
      </c>
      <c r="AQ249" s="822" t="inlineStr">
        <is>
          <t>Month 35</t>
        </is>
      </c>
      <c r="AR249" s="822" t="inlineStr">
        <is>
          <t>Month 36</t>
        </is>
      </c>
      <c r="AS249" s="822" t="inlineStr">
        <is>
          <t>Year 3</t>
        </is>
      </c>
      <c r="AT249" s="822" t="inlineStr">
        <is>
          <t>Month 37</t>
        </is>
      </c>
      <c r="AU249" s="822" t="inlineStr">
        <is>
          <t>Month 38</t>
        </is>
      </c>
      <c r="AV249" s="822" t="inlineStr">
        <is>
          <t>Month 39</t>
        </is>
      </c>
      <c r="AW249" s="822" t="inlineStr">
        <is>
          <t>Month 40</t>
        </is>
      </c>
      <c r="AX249" s="822" t="inlineStr">
        <is>
          <t>Month 41</t>
        </is>
      </c>
      <c r="AY249" s="822" t="inlineStr">
        <is>
          <t>Month 42</t>
        </is>
      </c>
      <c r="AZ249" s="822" t="inlineStr">
        <is>
          <t>Month 43</t>
        </is>
      </c>
      <c r="BA249" s="822" t="inlineStr">
        <is>
          <t>Month 44</t>
        </is>
      </c>
      <c r="BB249" s="822" t="inlineStr">
        <is>
          <t>Month 45</t>
        </is>
      </c>
      <c r="BC249" s="822" t="inlineStr">
        <is>
          <t>Month 46</t>
        </is>
      </c>
      <c r="BD249" s="822" t="inlineStr">
        <is>
          <t>Month 47</t>
        </is>
      </c>
      <c r="BE249" s="822" t="inlineStr">
        <is>
          <t>Month 48</t>
        </is>
      </c>
      <c r="BF249" s="822" t="inlineStr">
        <is>
          <t>Year 4</t>
        </is>
      </c>
      <c r="BG249" s="821" t="inlineStr">
        <is>
          <t>Total</t>
        </is>
      </c>
      <c r="BI249" s="935" t="n">
        <v>0.3</v>
      </c>
    </row>
    <row r="250" ht="13.2" customHeight="1" s="586">
      <c r="B250" s="926" t="inlineStr">
        <is>
          <t>Total transition</t>
        </is>
      </c>
      <c r="S250" s="927">
        <f>S228*$BI$249</f>
        <v/>
      </c>
      <c r="T250" s="927">
        <f>T228*$BI$249</f>
        <v/>
      </c>
      <c r="U250" s="927">
        <f>U228*$BI$249</f>
        <v/>
      </c>
      <c r="V250" s="927">
        <f>V228*$BI$249</f>
        <v/>
      </c>
      <c r="W250" s="927">
        <f>W228*$BI$249</f>
        <v/>
      </c>
      <c r="X250" s="927">
        <f>X228*$BI$249</f>
        <v/>
      </c>
      <c r="Y250" s="927">
        <f>Y228*$BI$249</f>
        <v/>
      </c>
      <c r="Z250" s="927">
        <f>Z228*$BI$249</f>
        <v/>
      </c>
      <c r="AA250" s="927">
        <f>AA228*$BI$249</f>
        <v/>
      </c>
      <c r="AB250" s="927">
        <f>AB228*$BI$249</f>
        <v/>
      </c>
      <c r="AC250" s="927">
        <f>AC228*$BI$249</f>
        <v/>
      </c>
      <c r="AD250" s="927">
        <f>AD228*$BI$249</f>
        <v/>
      </c>
      <c r="AE250" s="927">
        <f>AE228*$BI$249</f>
        <v/>
      </c>
      <c r="AF250" s="927">
        <f>AF228*$BI$249</f>
        <v/>
      </c>
      <c r="AG250" s="927">
        <f>AG228*$BI$249</f>
        <v/>
      </c>
      <c r="AH250" s="927">
        <f>AH228*$BI$249</f>
        <v/>
      </c>
      <c r="AI250" s="927">
        <f>AI228*$BI$249</f>
        <v/>
      </c>
      <c r="AJ250" s="927">
        <f>AJ228*$BI$249</f>
        <v/>
      </c>
      <c r="AK250" s="927">
        <f>AK228*$BI$249</f>
        <v/>
      </c>
      <c r="AL250" s="927">
        <f>AL228*$BI$249</f>
        <v/>
      </c>
      <c r="AM250" s="927">
        <f>AM228*$BI$249</f>
        <v/>
      </c>
      <c r="AN250" s="927">
        <f>AN228*$BI$249</f>
        <v/>
      </c>
      <c r="AO250" s="927">
        <f>AO228*$BI$249</f>
        <v/>
      </c>
      <c r="AP250" s="927">
        <f>AP228*$BI$249</f>
        <v/>
      </c>
      <c r="AQ250" s="927">
        <f>AQ228*$BI$249</f>
        <v/>
      </c>
      <c r="AR250" s="927">
        <f>AR228*$BI$249</f>
        <v/>
      </c>
      <c r="AS250" s="927">
        <f>AS228*$BI$249</f>
        <v/>
      </c>
      <c r="AT250" s="927">
        <f>AT228*$BI$249</f>
        <v/>
      </c>
      <c r="AU250" s="927">
        <f>AU228*$BI$249</f>
        <v/>
      </c>
      <c r="AV250" s="927">
        <f>AV228*$BI$249</f>
        <v/>
      </c>
      <c r="AW250" s="927">
        <f>AW228*$BI$249</f>
        <v/>
      </c>
      <c r="AX250" s="927">
        <f>AX228*$BI$249</f>
        <v/>
      </c>
      <c r="AY250" s="927">
        <f>AY228*$BI$249</f>
        <v/>
      </c>
      <c r="AZ250" s="927">
        <f>AZ228*$BI$249</f>
        <v/>
      </c>
      <c r="BA250" s="927">
        <f>BA228*$BI$249</f>
        <v/>
      </c>
      <c r="BB250" s="927">
        <f>BB228*$BI$249</f>
        <v/>
      </c>
      <c r="BC250" s="927">
        <f>BC228*$BI$249</f>
        <v/>
      </c>
      <c r="BD250" s="927">
        <f>BD228*$BI$249</f>
        <v/>
      </c>
      <c r="BE250" s="927">
        <f>BE228*$BI$249</f>
        <v/>
      </c>
      <c r="BF250" s="927">
        <f>BF228*$BI$249</f>
        <v/>
      </c>
      <c r="BG250" s="927">
        <f>BG228*$BI$249</f>
        <v/>
      </c>
    </row>
    <row r="251" ht="13.2" customHeight="1" s="586">
      <c r="B251" s="926" t="inlineStr">
        <is>
          <t>Total transformation</t>
        </is>
      </c>
      <c r="S251" s="927">
        <f>S229*$BI$249</f>
        <v/>
      </c>
      <c r="T251" s="927">
        <f>T229*$BI$249</f>
        <v/>
      </c>
      <c r="U251" s="927">
        <f>U229*$BI$249</f>
        <v/>
      </c>
      <c r="V251" s="927">
        <f>V229*$BI$249</f>
        <v/>
      </c>
      <c r="W251" s="927">
        <f>W229*$BI$249</f>
        <v/>
      </c>
      <c r="X251" s="927">
        <f>X229*$BI$249</f>
        <v/>
      </c>
      <c r="Y251" s="927">
        <f>Y229*$BI$249</f>
        <v/>
      </c>
      <c r="Z251" s="927">
        <f>Z229*$BI$249</f>
        <v/>
      </c>
      <c r="AA251" s="927">
        <f>AA229*$BI$249</f>
        <v/>
      </c>
      <c r="AB251" s="927">
        <f>AB229*$BI$249</f>
        <v/>
      </c>
      <c r="AC251" s="927">
        <f>AC229*$BI$249</f>
        <v/>
      </c>
      <c r="AD251" s="927">
        <f>AD229*$BI$249</f>
        <v/>
      </c>
      <c r="AE251" s="927">
        <f>AE229*$BI$249</f>
        <v/>
      </c>
      <c r="AF251" s="927">
        <f>AF229*$BI$249</f>
        <v/>
      </c>
      <c r="AG251" s="927">
        <f>AG229*$BI$249</f>
        <v/>
      </c>
      <c r="AH251" s="927">
        <f>AH229*$BI$249</f>
        <v/>
      </c>
      <c r="AI251" s="927">
        <f>AI229*$BI$249</f>
        <v/>
      </c>
      <c r="AJ251" s="927">
        <f>AJ229*$BI$249</f>
        <v/>
      </c>
      <c r="AK251" s="927">
        <f>AK229*$BI$249</f>
        <v/>
      </c>
      <c r="AL251" s="927">
        <f>AL229*$BI$249</f>
        <v/>
      </c>
      <c r="AM251" s="927">
        <f>AM229*$BI$249</f>
        <v/>
      </c>
      <c r="AN251" s="927">
        <f>AN229*$BI$249</f>
        <v/>
      </c>
      <c r="AO251" s="927">
        <f>AO229*$BI$249</f>
        <v/>
      </c>
      <c r="AP251" s="927">
        <f>AP229*$BI$249</f>
        <v/>
      </c>
      <c r="AQ251" s="927">
        <f>AQ229*$BI$249</f>
        <v/>
      </c>
      <c r="AR251" s="927">
        <f>AR229*$BI$249</f>
        <v/>
      </c>
      <c r="AS251" s="927">
        <f>AS229*$BI$249</f>
        <v/>
      </c>
      <c r="AT251" s="927">
        <f>AT229*$BI$249</f>
        <v/>
      </c>
      <c r="AU251" s="927">
        <f>AU229*$BI$249</f>
        <v/>
      </c>
      <c r="AV251" s="927">
        <f>AV229*$BI$249</f>
        <v/>
      </c>
      <c r="AW251" s="927">
        <f>AW229*$BI$249</f>
        <v/>
      </c>
      <c r="AX251" s="927">
        <f>AX229*$BI$249</f>
        <v/>
      </c>
      <c r="AY251" s="927">
        <f>AY229*$BI$249</f>
        <v/>
      </c>
      <c r="AZ251" s="927">
        <f>AZ229*$BI$249</f>
        <v/>
      </c>
      <c r="BA251" s="927">
        <f>BA229*$BI$249</f>
        <v/>
      </c>
      <c r="BB251" s="927">
        <f>BB229*$BI$249</f>
        <v/>
      </c>
      <c r="BC251" s="927">
        <f>BC229*$BI$249</f>
        <v/>
      </c>
      <c r="BD251" s="927">
        <f>BD229*$BI$249</f>
        <v/>
      </c>
      <c r="BE251" s="927">
        <f>BE229*$BI$249</f>
        <v/>
      </c>
      <c r="BF251" s="927">
        <f>BF229*$BI$249</f>
        <v/>
      </c>
      <c r="BG251" s="927">
        <f>BG229*$BI$249</f>
        <v/>
      </c>
    </row>
    <row r="252" ht="13.2" customHeight="1" s="586">
      <c r="B252" s="926" t="inlineStr">
        <is>
          <t>BCP/Security</t>
        </is>
      </c>
      <c r="S252" s="927">
        <f>S230*$BI$249</f>
        <v/>
      </c>
      <c r="T252" s="927">
        <f>T230*$BI$249</f>
        <v/>
      </c>
      <c r="U252" s="927">
        <f>U230*$BI$249</f>
        <v/>
      </c>
      <c r="V252" s="927">
        <f>V230*$BI$249</f>
        <v/>
      </c>
      <c r="W252" s="927">
        <f>W230*$BI$249</f>
        <v/>
      </c>
      <c r="X252" s="927">
        <f>X230*$BI$249</f>
        <v/>
      </c>
      <c r="Y252" s="927">
        <f>Y230*$BI$249</f>
        <v/>
      </c>
      <c r="Z252" s="927">
        <f>Z230*$BI$249</f>
        <v/>
      </c>
      <c r="AA252" s="927">
        <f>AA230*$BI$249</f>
        <v/>
      </c>
      <c r="AB252" s="927">
        <f>AB230*$BI$249</f>
        <v/>
      </c>
      <c r="AC252" s="927">
        <f>AC230*$BI$249</f>
        <v/>
      </c>
      <c r="AD252" s="927">
        <f>AD230*$BI$249</f>
        <v/>
      </c>
      <c r="AE252" s="927">
        <f>AE230*$BI$249</f>
        <v/>
      </c>
      <c r="AF252" s="927">
        <f>AF230*$BI$249</f>
        <v/>
      </c>
      <c r="AG252" s="927">
        <f>AG230*$BI$249</f>
        <v/>
      </c>
      <c r="AH252" s="927">
        <f>AH230*$BI$249</f>
        <v/>
      </c>
      <c r="AI252" s="927">
        <f>AI230*$BI$249</f>
        <v/>
      </c>
      <c r="AJ252" s="927">
        <f>AJ230*$BI$249</f>
        <v/>
      </c>
      <c r="AK252" s="927">
        <f>AK230*$BI$249</f>
        <v/>
      </c>
      <c r="AL252" s="927">
        <f>AL230*$BI$249</f>
        <v/>
      </c>
      <c r="AM252" s="927">
        <f>AM230*$BI$249</f>
        <v/>
      </c>
      <c r="AN252" s="927">
        <f>AN230*$BI$249</f>
        <v/>
      </c>
      <c r="AO252" s="927">
        <f>AO230*$BI$249</f>
        <v/>
      </c>
      <c r="AP252" s="927">
        <f>AP230*$BI$249</f>
        <v/>
      </c>
      <c r="AQ252" s="927">
        <f>AQ230*$BI$249</f>
        <v/>
      </c>
      <c r="AR252" s="927">
        <f>AR230*$BI$249</f>
        <v/>
      </c>
      <c r="AS252" s="927">
        <f>AS230*$BI$249</f>
        <v/>
      </c>
      <c r="AT252" s="927">
        <f>AT230*$BI$249</f>
        <v/>
      </c>
      <c r="AU252" s="927">
        <f>AU230*$BI$249</f>
        <v/>
      </c>
      <c r="AV252" s="927">
        <f>AV230*$BI$249</f>
        <v/>
      </c>
      <c r="AW252" s="927">
        <f>AW230*$BI$249</f>
        <v/>
      </c>
      <c r="AX252" s="927">
        <f>AX230*$BI$249</f>
        <v/>
      </c>
      <c r="AY252" s="927">
        <f>AY230*$BI$249</f>
        <v/>
      </c>
      <c r="AZ252" s="927">
        <f>AZ230*$BI$249</f>
        <v/>
      </c>
      <c r="BA252" s="927">
        <f>BA230*$BI$249</f>
        <v/>
      </c>
      <c r="BB252" s="927">
        <f>BB230*$BI$249</f>
        <v/>
      </c>
      <c r="BC252" s="927">
        <f>BC230*$BI$249</f>
        <v/>
      </c>
      <c r="BD252" s="927">
        <f>BD230*$BI$249</f>
        <v/>
      </c>
      <c r="BE252" s="927">
        <f>BE230*$BI$249</f>
        <v/>
      </c>
      <c r="BF252" s="927">
        <f>BF230*$BI$249</f>
        <v/>
      </c>
      <c r="BG252" s="927">
        <f>BG230*$BI$249</f>
        <v/>
      </c>
    </row>
    <row r="253"/>
    <row r="254"/>
    <row r="255"/>
    <row r="256"/>
    <row r="257"/>
    <row r="258"/>
    <row r="259" ht="13.2" customHeight="1" s="586">
      <c r="B259" s="813" t="inlineStr">
        <is>
          <t>Other One Time Charges</t>
        </is>
      </c>
    </row>
    <row r="260"/>
    <row r="261" ht="13.2" customHeight="1" s="586">
      <c r="S261" s="936" t="inlineStr">
        <is>
          <t>TOTAL</t>
        </is>
      </c>
      <c r="AF261" s="936" t="inlineStr">
        <is>
          <t>NL Year 1</t>
        </is>
      </c>
      <c r="AS261" s="936" t="inlineStr">
        <is>
          <t>BE Year 1</t>
        </is>
      </c>
      <c r="BF261" s="937" t="inlineStr">
        <is>
          <t>NL Year 2</t>
        </is>
      </c>
      <c r="BG261" s="936" t="inlineStr">
        <is>
          <t>BE Year 2</t>
        </is>
      </c>
    </row>
    <row r="262" ht="13.2" customHeight="1" s="586">
      <c r="B262" s="813" t="inlineStr">
        <is>
          <t>Vendor Gamma</t>
        </is>
      </c>
    </row>
    <row r="263" ht="13.2" customHeight="1" s="586">
      <c r="B263" s="938" t="n"/>
      <c r="C263" s="930" t="n"/>
      <c r="D263" s="930" t="n"/>
      <c r="E263" s="931" t="n"/>
      <c r="F263" s="931" t="n"/>
      <c r="G263" s="931" t="n"/>
      <c r="H263" s="932" t="n"/>
      <c r="I263" s="932" t="n"/>
      <c r="J263" s="932" t="n"/>
      <c r="K263" s="932" t="n"/>
      <c r="L263" s="932" t="n"/>
      <c r="M263" s="932" t="n"/>
      <c r="N263" s="932" t="n"/>
      <c r="O263" s="932" t="n"/>
      <c r="P263" s="932" t="n"/>
      <c r="Q263" s="932" t="n"/>
      <c r="R263" s="932" t="n"/>
      <c r="S263" s="927" t="n"/>
      <c r="T263" s="932" t="n"/>
      <c r="U263" s="932" t="n"/>
      <c r="V263" s="932" t="n"/>
      <c r="W263" s="932" t="n"/>
      <c r="X263" s="932" t="n"/>
      <c r="Y263" s="932" t="n"/>
      <c r="Z263" s="932" t="n"/>
      <c r="AA263" s="932" t="n"/>
      <c r="AB263" s="932" t="n"/>
      <c r="AC263" s="932" t="n"/>
      <c r="AD263" s="932" t="n"/>
      <c r="AE263" s="932" t="n"/>
      <c r="AF263" s="927" t="n"/>
      <c r="AG263" s="932" t="n"/>
      <c r="AH263" s="932" t="n"/>
      <c r="AI263" s="932" t="n"/>
      <c r="AJ263" s="932" t="n"/>
      <c r="AK263" s="932" t="n"/>
      <c r="AL263" s="932" t="n"/>
      <c r="AM263" s="932" t="n"/>
      <c r="AN263" s="932" t="n"/>
      <c r="AO263" s="932" t="n"/>
      <c r="AP263" s="932" t="n"/>
      <c r="AQ263" s="932" t="n"/>
      <c r="AR263" s="932" t="n"/>
      <c r="AS263" s="927" t="n"/>
      <c r="BF263" s="927" t="n"/>
      <c r="BG263" s="927" t="n"/>
      <c r="BI263" s="939" t="n"/>
      <c r="BJ263" s="939" t="n"/>
    </row>
    <row r="264" ht="13.2" customHeight="1" s="586">
      <c r="B264" s="940" t="n"/>
      <c r="S264" s="927" t="n"/>
      <c r="T264" s="932" t="n"/>
      <c r="U264" s="932" t="n"/>
      <c r="V264" s="932" t="n"/>
      <c r="W264" s="932" t="n"/>
      <c r="X264" s="932" t="n"/>
      <c r="Y264" s="932" t="n"/>
      <c r="Z264" s="932" t="n"/>
      <c r="AA264" s="932" t="n"/>
      <c r="AB264" s="932" t="n"/>
      <c r="AC264" s="932" t="n"/>
      <c r="AD264" s="932" t="n"/>
      <c r="AE264" s="932" t="n"/>
      <c r="AF264" s="927" t="n"/>
      <c r="AG264" s="932" t="n"/>
      <c r="AH264" s="932" t="n"/>
      <c r="AI264" s="932" t="n"/>
      <c r="AJ264" s="932" t="n"/>
      <c r="AK264" s="932" t="n"/>
      <c r="AL264" s="932" t="n"/>
      <c r="AM264" s="932" t="n"/>
      <c r="AN264" s="932" t="n"/>
      <c r="AO264" s="932" t="n"/>
      <c r="AP264" s="932" t="n"/>
      <c r="AQ264" s="932" t="n"/>
      <c r="AR264" s="932" t="n"/>
      <c r="AS264" s="927" t="n"/>
      <c r="BF264" s="927" t="n"/>
      <c r="BG264" s="927" t="n"/>
      <c r="BH264" s="808" t="n"/>
      <c r="BI264" s="808" t="n"/>
      <c r="BJ264" s="808" t="n"/>
    </row>
    <row r="265" ht="13.2" customHeight="1" s="586">
      <c r="B265" s="941" t="n"/>
      <c r="C265" s="930" t="n"/>
      <c r="D265" s="930" t="n"/>
      <c r="E265" s="931" t="n"/>
      <c r="F265" s="931" t="n"/>
      <c r="G265" s="931" t="n"/>
      <c r="H265" s="932" t="n"/>
      <c r="I265" s="932" t="n"/>
      <c r="J265" s="932" t="n"/>
      <c r="K265" s="932" t="n"/>
      <c r="L265" s="932" t="n"/>
      <c r="M265" s="932" t="n"/>
      <c r="N265" s="932" t="n"/>
      <c r="O265" s="932" t="n"/>
      <c r="P265" s="932" t="n"/>
      <c r="Q265" s="932" t="n"/>
      <c r="R265" s="932" t="n"/>
      <c r="S265" s="942" t="n"/>
      <c r="T265" s="932" t="n"/>
      <c r="U265" s="932" t="n"/>
      <c r="V265" s="932" t="n"/>
      <c r="W265" s="932" t="n"/>
      <c r="X265" s="932" t="n"/>
      <c r="Y265" s="932" t="n"/>
      <c r="Z265" s="932" t="n"/>
      <c r="AA265" s="932" t="n"/>
      <c r="AB265" s="932" t="n"/>
      <c r="AC265" s="932" t="n"/>
      <c r="AD265" s="932" t="n"/>
      <c r="AE265" s="932" t="n"/>
      <c r="AF265" s="942" t="n"/>
      <c r="AG265" s="932" t="n"/>
      <c r="AH265" s="932" t="n"/>
      <c r="AI265" s="932" t="n"/>
      <c r="AJ265" s="932" t="n"/>
      <c r="AK265" s="932" t="n"/>
      <c r="AL265" s="932" t="n"/>
      <c r="AM265" s="932" t="n"/>
      <c r="AN265" s="932" t="n"/>
      <c r="AO265" s="932" t="n"/>
      <c r="AP265" s="932" t="n"/>
      <c r="AQ265" s="932" t="n"/>
      <c r="AR265" s="932" t="n"/>
      <c r="AS265" s="942" t="n"/>
      <c r="BF265" s="942" t="n"/>
      <c r="BG265" s="942" t="n"/>
      <c r="BH265" s="808" t="n"/>
      <c r="BI265" s="808" t="n"/>
      <c r="BJ265" s="808" t="n"/>
    </row>
    <row r="266" ht="13.2" customHeight="1" s="586">
      <c r="B266" s="941" t="n"/>
      <c r="C266" s="930" t="n"/>
      <c r="D266" s="930" t="n"/>
      <c r="E266" s="931" t="n"/>
      <c r="F266" s="931" t="n"/>
      <c r="G266" s="931" t="n"/>
      <c r="H266" s="932" t="n"/>
      <c r="I266" s="932" t="n"/>
      <c r="J266" s="932" t="n"/>
      <c r="K266" s="932" t="n"/>
      <c r="L266" s="932" t="n"/>
      <c r="M266" s="932" t="n"/>
      <c r="N266" s="932" t="n"/>
      <c r="O266" s="932" t="n"/>
      <c r="P266" s="932" t="n"/>
      <c r="Q266" s="932" t="n"/>
      <c r="R266" s="932" t="n"/>
      <c r="S266" s="942" t="n"/>
      <c r="T266" s="932" t="n"/>
      <c r="U266" s="932" t="n"/>
      <c r="V266" s="932" t="n"/>
      <c r="W266" s="932" t="n"/>
      <c r="X266" s="932" t="n"/>
      <c r="Y266" s="932" t="n"/>
      <c r="Z266" s="932" t="n"/>
      <c r="AA266" s="932" t="n"/>
      <c r="AB266" s="932" t="n"/>
      <c r="AC266" s="932" t="n"/>
      <c r="AD266" s="932" t="n"/>
      <c r="AE266" s="932" t="n"/>
      <c r="AF266" s="942" t="n"/>
      <c r="AG266" s="932" t="n"/>
      <c r="AH266" s="932" t="n"/>
      <c r="AI266" s="932" t="n"/>
      <c r="AJ266" s="932" t="n"/>
      <c r="AK266" s="932" t="n"/>
      <c r="AL266" s="932" t="n"/>
      <c r="AM266" s="932" t="n"/>
      <c r="AN266" s="932" t="n"/>
      <c r="AO266" s="932" t="n"/>
      <c r="AP266" s="932" t="n"/>
      <c r="AQ266" s="932" t="n"/>
      <c r="AR266" s="932" t="n"/>
      <c r="AS266" s="942" t="n"/>
      <c r="BF266" s="942" t="n"/>
      <c r="BG266" s="942" t="n"/>
      <c r="BH266" s="808" t="n"/>
      <c r="BI266" s="808" t="n"/>
      <c r="BJ266" s="808" t="n"/>
    </row>
    <row r="267" ht="13.2" customHeight="1" s="586">
      <c r="B267" s="941" t="n"/>
      <c r="C267" s="930" t="n"/>
      <c r="D267" s="930" t="n"/>
      <c r="E267" s="931" t="n"/>
      <c r="F267" s="931" t="n"/>
      <c r="G267" s="931" t="n"/>
      <c r="H267" s="932" t="n"/>
      <c r="I267" s="932" t="n"/>
      <c r="J267" s="932" t="n"/>
      <c r="K267" s="932" t="n"/>
      <c r="L267" s="932" t="n"/>
      <c r="M267" s="932" t="n"/>
      <c r="N267" s="932" t="n"/>
      <c r="O267" s="932" t="n"/>
      <c r="P267" s="932" t="n"/>
      <c r="Q267" s="932" t="n"/>
      <c r="R267" s="932" t="n"/>
      <c r="S267" s="942" t="n"/>
      <c r="T267" s="932" t="n"/>
      <c r="U267" s="932" t="n"/>
      <c r="V267" s="932" t="n"/>
      <c r="W267" s="932" t="n"/>
      <c r="X267" s="932" t="n"/>
      <c r="Y267" s="932" t="n"/>
      <c r="Z267" s="932" t="n"/>
      <c r="AA267" s="932" t="n"/>
      <c r="AB267" s="932" t="n"/>
      <c r="AC267" s="932" t="n"/>
      <c r="AD267" s="932" t="n"/>
      <c r="AE267" s="932" t="n"/>
      <c r="AF267" s="942" t="n"/>
      <c r="AG267" s="932" t="n"/>
      <c r="AH267" s="932" t="n"/>
      <c r="AI267" s="932" t="n"/>
      <c r="AJ267" s="932" t="n"/>
      <c r="AK267" s="932" t="n"/>
      <c r="AL267" s="932" t="n"/>
      <c r="AM267" s="932" t="n"/>
      <c r="AN267" s="932" t="n"/>
      <c r="AO267" s="932" t="n"/>
      <c r="AP267" s="932" t="n"/>
      <c r="AQ267" s="932" t="n"/>
      <c r="AR267" s="932" t="n"/>
      <c r="AS267" s="942" t="n"/>
      <c r="BF267" s="942" t="n"/>
      <c r="BG267" s="942" t="n"/>
      <c r="BH267" s="808" t="n"/>
      <c r="BI267" s="808" t="n"/>
      <c r="BJ267" s="808" t="n"/>
    </row>
    <row r="268" ht="13.2" customHeight="1" s="586">
      <c r="B268" s="940" t="inlineStr">
        <is>
          <t>Management third party contracts</t>
        </is>
      </c>
      <c r="C268" s="930" t="n"/>
      <c r="D268" s="930" t="n"/>
      <c r="E268" s="931" t="n"/>
      <c r="F268" s="931" t="n"/>
      <c r="G268" s="931" t="n"/>
      <c r="H268" s="932" t="n"/>
      <c r="I268" s="932" t="n"/>
      <c r="J268" s="932" t="n"/>
      <c r="K268" s="932" t="n"/>
      <c r="L268" s="932" t="n"/>
      <c r="M268" s="932" t="n"/>
      <c r="N268" s="932" t="n"/>
      <c r="O268" s="932" t="n"/>
      <c r="P268" s="932" t="n"/>
      <c r="Q268" s="932" t="n"/>
      <c r="R268" s="932" t="n"/>
      <c r="S268" s="942">
        <f>+AF268+AS268+BF268+BG268</f>
        <v/>
      </c>
      <c r="T268" s="932" t="n"/>
      <c r="U268" s="932" t="n"/>
      <c r="V268" s="932" t="n"/>
      <c r="W268" s="932" t="n"/>
      <c r="X268" s="932" t="n"/>
      <c r="Y268" s="932" t="n"/>
      <c r="Z268" s="932" t="n"/>
      <c r="AA268" s="932" t="n"/>
      <c r="AB268" s="932" t="n"/>
      <c r="AC268" s="932" t="n"/>
      <c r="AD268" s="932" t="n"/>
      <c r="AE268" s="932" t="n"/>
      <c r="AF268" s="942">
        <f>1700000*$BI$244</f>
        <v/>
      </c>
      <c r="AG268" s="932" t="n"/>
      <c r="AH268" s="932" t="n"/>
      <c r="AI268" s="932" t="n"/>
      <c r="AJ268" s="932" t="n"/>
      <c r="AK268" s="932" t="n"/>
      <c r="AL268" s="932" t="n"/>
      <c r="AM268" s="932" t="n"/>
      <c r="AN268" s="932" t="n"/>
      <c r="AO268" s="932" t="n"/>
      <c r="AP268" s="932" t="n"/>
      <c r="AQ268" s="932" t="n"/>
      <c r="AR268" s="932" t="n"/>
      <c r="AS268" s="942">
        <f>1700000*$BI$249</f>
        <v/>
      </c>
      <c r="BF268" s="942">
        <f>300000*$BI$244</f>
        <v/>
      </c>
      <c r="BG268" s="942">
        <f>300000*$BI$249</f>
        <v/>
      </c>
      <c r="BH268" s="808" t="n"/>
      <c r="BI268" s="808" t="n"/>
      <c r="BJ268" s="808" t="n"/>
    </row>
    <row r="269" ht="13.2" customHeight="1" s="586">
      <c r="B269" s="940" t="inlineStr">
        <is>
          <t>Extra transition due to delay of BE (8 months)</t>
        </is>
      </c>
      <c r="C269" s="930" t="n"/>
      <c r="D269" s="930" t="n"/>
      <c r="E269" s="931" t="n"/>
      <c r="F269" s="931" t="n"/>
      <c r="G269" s="931" t="n"/>
      <c r="H269" s="932" t="n"/>
      <c r="I269" s="932" t="n"/>
      <c r="J269" s="932" t="n"/>
      <c r="K269" s="932" t="n"/>
      <c r="L269" s="932" t="n"/>
      <c r="M269" s="932" t="n"/>
      <c r="N269" s="932" t="n"/>
      <c r="O269" s="932" t="n"/>
      <c r="P269" s="932" t="n"/>
      <c r="Q269" s="932" t="n"/>
      <c r="R269" s="932" t="n"/>
      <c r="S269" s="942">
        <f>+AF269+AS269</f>
        <v/>
      </c>
      <c r="T269" s="932" t="n"/>
      <c r="U269" s="932" t="n"/>
      <c r="V269" s="932" t="n"/>
      <c r="W269" s="932" t="n"/>
      <c r="X269" s="932" t="n"/>
      <c r="Y269" s="932" t="n"/>
      <c r="Z269" s="932" t="n"/>
      <c r="AA269" s="932" t="n"/>
      <c r="AB269" s="932" t="n"/>
      <c r="AC269" s="932" t="n"/>
      <c r="AD269" s="932" t="n"/>
      <c r="AE269" s="932" t="n"/>
      <c r="AF269" s="942" t="n"/>
      <c r="AG269" s="932" t="n"/>
      <c r="AH269" s="932" t="n"/>
      <c r="AI269" s="932" t="n"/>
      <c r="AJ269" s="932" t="n"/>
      <c r="AK269" s="932" t="n"/>
      <c r="AL269" s="932" t="n"/>
      <c r="AM269" s="932" t="n"/>
      <c r="AN269" s="932" t="n"/>
      <c r="AO269" s="932" t="n"/>
      <c r="AP269" s="932" t="n"/>
      <c r="AQ269" s="932" t="n"/>
      <c r="AR269" s="932" t="n"/>
      <c r="AS269" s="942" t="n">
        <v>750000</v>
      </c>
      <c r="BF269" s="942" t="n"/>
      <c r="BG269" s="932" t="n"/>
      <c r="BH269" s="808" t="n"/>
      <c r="BI269" s="808" t="n"/>
      <c r="BJ269" s="808" t="n"/>
    </row>
    <row r="270" ht="13.2" customHeight="1" s="586">
      <c r="B270" s="940" t="inlineStr">
        <is>
          <t>Totality of the costs of delay to march 1st 2007</t>
        </is>
      </c>
      <c r="C270" s="930" t="n"/>
      <c r="D270" s="930" t="n"/>
      <c r="E270" s="931" t="n"/>
      <c r="F270" s="931" t="n"/>
      <c r="G270" s="931" t="n"/>
      <c r="H270" s="932" t="n"/>
      <c r="I270" s="932" t="n"/>
      <c r="J270" s="932" t="n"/>
      <c r="K270" s="932" t="n"/>
      <c r="L270" s="932" t="n"/>
      <c r="M270" s="932" t="n"/>
      <c r="N270" s="932" t="n"/>
      <c r="O270" s="932" t="n"/>
      <c r="P270" s="932" t="n"/>
      <c r="Q270" s="932" t="n"/>
      <c r="R270" s="932" t="n"/>
      <c r="S270" s="942">
        <f>+AF270+AS270</f>
        <v/>
      </c>
      <c r="T270" s="932" t="n"/>
      <c r="U270" s="932" t="n"/>
      <c r="V270" s="932" t="n"/>
      <c r="W270" s="932" t="n"/>
      <c r="X270" s="932" t="n"/>
      <c r="Y270" s="932" t="n"/>
      <c r="Z270" s="932" t="n"/>
      <c r="AA270" s="932" t="n"/>
      <c r="AB270" s="932" t="n"/>
      <c r="AC270" s="932" t="n"/>
      <c r="AD270" s="932" t="n"/>
      <c r="AE270" s="932" t="n"/>
      <c r="AF270" s="942" t="n">
        <v>451500</v>
      </c>
      <c r="AG270" s="932" t="n"/>
      <c r="AH270" s="932" t="n"/>
      <c r="AI270" s="932" t="n"/>
      <c r="AJ270" s="932" t="n"/>
      <c r="AK270" s="932" t="n"/>
      <c r="AL270" s="932" t="n"/>
      <c r="AM270" s="932" t="n"/>
      <c r="AN270" s="932" t="n"/>
      <c r="AO270" s="932" t="n"/>
      <c r="AP270" s="932" t="n"/>
      <c r="AQ270" s="932" t="n"/>
      <c r="AR270" s="932" t="n"/>
      <c r="AS270" s="942" t="n">
        <v>193500</v>
      </c>
      <c r="BF270" s="942" t="n"/>
      <c r="BG270" s="932" t="n"/>
      <c r="BH270" s="808" t="n"/>
      <c r="BI270" s="808" t="n"/>
      <c r="BJ270" s="808" t="n"/>
    </row>
    <row r="271" ht="26.4" customHeight="1" s="586">
      <c r="B271" s="943" t="inlineStr">
        <is>
          <t>Amount already committed in separate contract (not including additional charges for delays or additional work)</t>
        </is>
      </c>
      <c r="C271" s="930" t="n"/>
      <c r="D271" s="930" t="n"/>
      <c r="E271" s="931" t="n"/>
      <c r="F271" s="931" t="n"/>
      <c r="G271" s="931" t="n"/>
      <c r="H271" s="932" t="n"/>
      <c r="I271" s="932" t="n"/>
      <c r="J271" s="932" t="n"/>
      <c r="K271" s="932" t="n"/>
      <c r="L271" s="932" t="n"/>
      <c r="M271" s="932" t="n"/>
      <c r="N271" s="932" t="n"/>
      <c r="O271" s="932" t="n"/>
      <c r="P271" s="932" t="n"/>
      <c r="Q271" s="932" t="n"/>
      <c r="R271" s="932" t="n"/>
      <c r="S271" s="942">
        <f>+AF271+AS271</f>
        <v/>
      </c>
      <c r="T271" s="932" t="n"/>
      <c r="U271" s="932" t="n"/>
      <c r="V271" s="932" t="n"/>
      <c r="W271" s="932" t="n"/>
      <c r="X271" s="932" t="n"/>
      <c r="Y271" s="932" t="n"/>
      <c r="Z271" s="932" t="n"/>
      <c r="AA271" s="932" t="n"/>
      <c r="AB271" s="932" t="n"/>
      <c r="AC271" s="932" t="n"/>
      <c r="AD271" s="932" t="n"/>
      <c r="AE271" s="932" t="n"/>
      <c r="AF271" s="942">
        <f>(264000)*-1</f>
        <v/>
      </c>
      <c r="AG271" s="932" t="n"/>
      <c r="AH271" s="932" t="n"/>
      <c r="AI271" s="932" t="n"/>
      <c r="AJ271" s="932" t="n"/>
      <c r="AK271" s="932" t="n"/>
      <c r="AL271" s="932" t="n"/>
      <c r="AM271" s="932" t="n"/>
      <c r="AN271" s="932" t="n"/>
      <c r="AO271" s="932" t="n"/>
      <c r="AP271" s="932" t="n"/>
      <c r="AQ271" s="932" t="n"/>
      <c r="AR271" s="932" t="n"/>
      <c r="AS271" s="942" t="n"/>
      <c r="BF271" s="942" t="n"/>
      <c r="BG271" s="932" t="n"/>
      <c r="BH271" s="808" t="n"/>
      <c r="BI271" s="808" t="n"/>
      <c r="BJ271" s="808" t="n"/>
    </row>
    <row r="272" ht="13.2" customHeight="1" s="586">
      <c r="S272" s="944" t="n"/>
      <c r="AF272" s="944" t="n"/>
      <c r="AS272" s="944" t="n"/>
      <c r="BF272" s="944" t="n"/>
      <c r="BH272" s="808" t="n"/>
      <c r="BI272" s="808" t="n"/>
      <c r="BJ272" s="808" t="n"/>
    </row>
    <row r="273" ht="13.2" customHeight="1" s="586">
      <c r="S273" s="944" t="n"/>
      <c r="AF273" s="944" t="n"/>
      <c r="AS273" s="944" t="n"/>
      <c r="BF273" s="944" t="n"/>
      <c r="BH273" s="808" t="n"/>
      <c r="BI273" s="808" t="n"/>
      <c r="BJ273" s="808" t="n"/>
    </row>
    <row r="274" ht="13.2" customHeight="1" s="586">
      <c r="B274" s="813" t="inlineStr">
        <is>
          <t>TelCo</t>
        </is>
      </c>
      <c r="BH274" s="808" t="n"/>
      <c r="BI274" s="808" t="n"/>
      <c r="BJ274" s="808" t="n"/>
    </row>
    <row r="275" ht="13.2" customHeight="1" s="586">
      <c r="B275" s="940" t="inlineStr">
        <is>
          <t>Totality of the costs of delay to march 1st 2007</t>
        </is>
      </c>
      <c r="C275" s="930" t="n"/>
      <c r="D275" s="930" t="n"/>
      <c r="E275" s="931" t="n"/>
      <c r="F275" s="931" t="n"/>
      <c r="G275" s="931" t="n"/>
      <c r="H275" s="932" t="n"/>
      <c r="I275" s="932" t="n"/>
      <c r="J275" s="932" t="n"/>
      <c r="K275" s="932" t="n"/>
      <c r="L275" s="932" t="n"/>
      <c r="M275" s="932" t="n"/>
      <c r="N275" s="932" t="n"/>
      <c r="O275" s="932" t="n"/>
      <c r="P275" s="932" t="n"/>
      <c r="Q275" s="932" t="n"/>
      <c r="R275" s="932" t="n"/>
      <c r="S275" s="942">
        <f>+AF275+AS275</f>
        <v/>
      </c>
      <c r="T275" s="932" t="n"/>
      <c r="U275" s="932" t="n"/>
      <c r="V275" s="932" t="n"/>
      <c r="W275" s="932" t="n"/>
      <c r="X275" s="932" t="n"/>
      <c r="Y275" s="932" t="n"/>
      <c r="Z275" s="932" t="n"/>
      <c r="AA275" s="932" t="n"/>
      <c r="AB275" s="932" t="n"/>
      <c r="AC275" s="932" t="n"/>
      <c r="AD275" s="932" t="n"/>
      <c r="AE275" s="932" t="n"/>
      <c r="AF275" s="942" t="n">
        <v>326900</v>
      </c>
      <c r="AG275" s="932" t="n"/>
      <c r="AH275" s="932" t="n"/>
      <c r="AI275" s="932" t="n"/>
      <c r="AJ275" s="932" t="n"/>
      <c r="AK275" s="932" t="n"/>
      <c r="AL275" s="932" t="n"/>
      <c r="AM275" s="932" t="n"/>
      <c r="AN275" s="932" t="n"/>
      <c r="AO275" s="932" t="n"/>
      <c r="AP275" s="932" t="n"/>
      <c r="AQ275" s="932" t="n"/>
      <c r="AR275" s="932" t="n"/>
      <c r="AS275" s="942" t="n">
        <v>140100</v>
      </c>
      <c r="BF275" s="927" t="n"/>
      <c r="BG275" s="932" t="n"/>
      <c r="BH275" s="808" t="n"/>
      <c r="BI275" s="808" t="n"/>
      <c r="BJ275" s="808" t="n"/>
    </row>
    <row r="276" ht="13.2" customHeight="1" s="586">
      <c r="B276" s="940" t="inlineStr">
        <is>
          <t>Management third party contracts</t>
        </is>
      </c>
      <c r="S276" s="942">
        <f>+AF276+AS276+BF276+BG276</f>
        <v/>
      </c>
      <c r="T276" s="932" t="n"/>
      <c r="U276" s="932" t="n"/>
      <c r="V276" s="932" t="n"/>
      <c r="W276" s="932" t="n"/>
      <c r="X276" s="932" t="n"/>
      <c r="Y276" s="932" t="n"/>
      <c r="Z276" s="932" t="n"/>
      <c r="AA276" s="932" t="n"/>
      <c r="AB276" s="932" t="n"/>
      <c r="AC276" s="932" t="n"/>
      <c r="AD276" s="932" t="n"/>
      <c r="AE276" s="932" t="n"/>
      <c r="AF276" s="942">
        <f>1000000*$BI$244</f>
        <v/>
      </c>
      <c r="AG276" s="942" t="n"/>
      <c r="AH276" s="932" t="n"/>
      <c r="AI276" s="932" t="n"/>
      <c r="AJ276" s="932" t="n"/>
      <c r="AK276" s="932" t="n"/>
      <c r="AL276" s="932" t="n"/>
      <c r="AM276" s="932" t="n"/>
      <c r="AN276" s="932" t="n"/>
      <c r="AO276" s="932" t="n"/>
      <c r="AP276" s="932" t="n"/>
      <c r="AQ276" s="932" t="n"/>
      <c r="AR276" s="932" t="n"/>
      <c r="AS276" s="942">
        <f>1000000*$BI$249</f>
        <v/>
      </c>
      <c r="BF276" s="942">
        <f>1000000*$BI$244</f>
        <v/>
      </c>
      <c r="BG276" s="942">
        <f>1000000*$BI$249</f>
        <v/>
      </c>
      <c r="BH276" s="808" t="n"/>
      <c r="BI276" s="808" t="n"/>
      <c r="BJ276" s="808" t="n"/>
    </row>
    <row r="277" ht="13.2" customHeight="1" s="586">
      <c r="B277" s="940" t="inlineStr">
        <is>
          <t>Extra transition voice (change of RBL)</t>
        </is>
      </c>
      <c r="S277" s="942">
        <f>+AF277+AS277</f>
        <v/>
      </c>
      <c r="T277" s="932" t="n"/>
      <c r="U277" s="932" t="n"/>
      <c r="V277" s="932" t="n"/>
      <c r="W277" s="932" t="n"/>
      <c r="X277" s="932" t="n"/>
      <c r="Y277" s="932" t="n"/>
      <c r="Z277" s="932" t="n"/>
      <c r="AA277" s="932" t="n"/>
      <c r="AB277" s="932" t="n"/>
      <c r="AC277" s="932" t="n"/>
      <c r="AD277" s="932" t="n"/>
      <c r="AE277" s="932" t="n"/>
      <c r="AF277" s="942" t="n"/>
      <c r="AG277" s="932" t="n"/>
      <c r="AH277" s="932" t="n"/>
      <c r="AI277" s="932" t="n"/>
      <c r="AJ277" s="932" t="n"/>
      <c r="AK277" s="932" t="n"/>
      <c r="AL277" s="932" t="n"/>
      <c r="AM277" s="932" t="n"/>
      <c r="AN277" s="932" t="n"/>
      <c r="AO277" s="932" t="n"/>
      <c r="AP277" s="932" t="n"/>
      <c r="AQ277" s="932" t="n"/>
      <c r="AR277" s="932" t="n"/>
      <c r="AS277" s="942" t="n">
        <v>48900</v>
      </c>
      <c r="BF277" s="927" t="n"/>
      <c r="BG277" s="932" t="n"/>
      <c r="BH277" s="808" t="n"/>
      <c r="BI277" s="808" t="n"/>
      <c r="BJ277" s="808" t="n"/>
    </row>
    <row r="278" ht="13.2" customHeight="1" s="586">
      <c r="B278" s="940" t="inlineStr">
        <is>
          <t>Extra transition lan (change of RBL)</t>
        </is>
      </c>
      <c r="S278" s="942">
        <f>+AF278+AS278</f>
        <v/>
      </c>
      <c r="T278" s="932" t="n"/>
      <c r="U278" s="932" t="n"/>
      <c r="V278" s="932" t="n"/>
      <c r="W278" s="932" t="n"/>
      <c r="X278" s="932" t="n"/>
      <c r="Y278" s="932" t="n"/>
      <c r="Z278" s="932" t="n"/>
      <c r="AA278" s="932" t="n"/>
      <c r="AB278" s="932" t="n"/>
      <c r="AC278" s="932" t="n"/>
      <c r="AD278" s="932" t="n"/>
      <c r="AE278" s="932" t="n"/>
      <c r="AF278" s="942" t="n">
        <v>124880</v>
      </c>
      <c r="AG278" s="932" t="n"/>
      <c r="AH278" s="932" t="n"/>
      <c r="AI278" s="932" t="n"/>
      <c r="AJ278" s="932" t="n"/>
      <c r="AK278" s="932" t="n"/>
      <c r="AL278" s="932" t="n"/>
      <c r="AM278" s="932" t="n"/>
      <c r="AN278" s="932" t="n"/>
      <c r="AO278" s="932" t="n"/>
      <c r="AP278" s="932" t="n"/>
      <c r="AQ278" s="932" t="n"/>
      <c r="AR278" s="932" t="n"/>
      <c r="AS278" s="942" t="n">
        <v>53520</v>
      </c>
      <c r="BF278" s="927" t="n"/>
      <c r="BG278" s="932" t="n"/>
      <c r="BH278" s="808" t="n"/>
      <c r="BI278" s="808" t="n"/>
      <c r="BJ278" s="808" t="n"/>
    </row>
    <row r="279" ht="26.4" customHeight="1" s="586">
      <c r="B279" s="943" t="inlineStr">
        <is>
          <t>Amount already committed in separate contract (not including additional charges for delays or additional work)</t>
        </is>
      </c>
      <c r="C279" s="930" t="n"/>
      <c r="D279" s="930" t="n"/>
      <c r="E279" s="931" t="n"/>
      <c r="F279" s="931" t="n"/>
      <c r="G279" s="931" t="n"/>
      <c r="H279" s="932" t="n"/>
      <c r="I279" s="932" t="n"/>
      <c r="J279" s="932" t="n"/>
      <c r="K279" s="932" t="n"/>
      <c r="L279" s="932" t="n"/>
      <c r="M279" s="932" t="n"/>
      <c r="N279" s="932" t="n"/>
      <c r="O279" s="932" t="n"/>
      <c r="P279" s="932" t="n"/>
      <c r="Q279" s="932" t="n"/>
      <c r="R279" s="932" t="n"/>
      <c r="S279" s="942">
        <f>+AF279+AS279</f>
        <v/>
      </c>
      <c r="T279" s="932" t="n"/>
      <c r="U279" s="932" t="n"/>
      <c r="V279" s="932" t="n"/>
      <c r="W279" s="932" t="n"/>
      <c r="X279" s="932" t="n"/>
      <c r="Y279" s="932" t="n"/>
      <c r="Z279" s="932" t="n"/>
      <c r="AA279" s="932" t="n"/>
      <c r="AB279" s="932" t="n"/>
      <c r="AC279" s="932" t="n"/>
      <c r="AD279" s="932" t="n"/>
      <c r="AE279" s="932" t="n"/>
      <c r="AF279" s="942">
        <f>(105000)*-1</f>
        <v/>
      </c>
      <c r="AG279" s="932" t="n"/>
      <c r="AH279" s="932" t="n"/>
      <c r="AI279" s="932" t="n"/>
      <c r="AJ279" s="932" t="n"/>
      <c r="AK279" s="932" t="n"/>
      <c r="AL279" s="932" t="n"/>
      <c r="AM279" s="932" t="n"/>
      <c r="AN279" s="932" t="n"/>
      <c r="AO279" s="932" t="n"/>
      <c r="AP279" s="932" t="n"/>
      <c r="AQ279" s="932" t="n"/>
      <c r="AR279" s="932" t="n"/>
      <c r="AS279" s="942" t="n"/>
      <c r="BF279" s="927" t="n"/>
      <c r="BG279" s="932" t="n"/>
      <c r="BH279" s="808" t="n"/>
      <c r="BI279" s="808" t="n"/>
      <c r="BJ279" s="808" t="n"/>
    </row>
    <row r="280" ht="13.2" customHeight="1" s="586">
      <c r="BH280" s="808" t="n"/>
      <c r="BI280" s="808" t="n"/>
      <c r="BJ280" s="808" t="n"/>
    </row>
    <row r="281" ht="13.2" customHeight="1" s="586">
      <c r="BH281" s="808" t="n"/>
      <c r="BI281" s="808" t="n"/>
      <c r="BJ281" s="808" t="n"/>
    </row>
    <row r="282" ht="13.2" customHeight="1" s="586">
      <c r="B282" s="813" t="inlineStr">
        <is>
          <t>VENDORA</t>
        </is>
      </c>
      <c r="BH282" s="808" t="n"/>
      <c r="BI282" s="808" t="n"/>
      <c r="BJ282" s="808" t="n"/>
    </row>
    <row r="283" ht="13.2" customHeight="1" s="586">
      <c r="B283" s="940" t="inlineStr">
        <is>
          <t>Totality of the costs of delay to march 1st 2007</t>
        </is>
      </c>
      <c r="C283" s="930" t="n"/>
      <c r="D283" s="930" t="n"/>
      <c r="E283" s="931" t="n"/>
      <c r="F283" s="931" t="n"/>
      <c r="G283" s="931" t="n"/>
      <c r="H283" s="932" t="n"/>
      <c r="I283" s="932" t="n"/>
      <c r="J283" s="932" t="n"/>
      <c r="K283" s="932" t="n"/>
      <c r="L283" s="932" t="n"/>
      <c r="M283" s="932" t="n"/>
      <c r="N283" s="932" t="n"/>
      <c r="O283" s="932" t="n"/>
      <c r="P283" s="932" t="n"/>
      <c r="Q283" s="932" t="n"/>
      <c r="R283" s="932" t="n"/>
      <c r="S283" s="942">
        <f>+AF283+AS283</f>
        <v/>
      </c>
      <c r="T283" s="932" t="n"/>
      <c r="U283" s="932" t="n"/>
      <c r="V283" s="932" t="n"/>
      <c r="W283" s="932" t="n"/>
      <c r="X283" s="932" t="n"/>
      <c r="Y283" s="932" t="n"/>
      <c r="Z283" s="932" t="n"/>
      <c r="AA283" s="932" t="n"/>
      <c r="AB283" s="932" t="n"/>
      <c r="AC283" s="932" t="n"/>
      <c r="AD283" s="932" t="n"/>
      <c r="AE283" s="932" t="n"/>
      <c r="AF283" s="942" t="n">
        <v>446600</v>
      </c>
      <c r="AG283" s="932" t="n"/>
      <c r="AH283" s="932" t="n"/>
      <c r="AI283" s="932" t="n"/>
      <c r="AJ283" s="932" t="n"/>
      <c r="AK283" s="932" t="n"/>
      <c r="AL283" s="932" t="n"/>
      <c r="AM283" s="932" t="n"/>
      <c r="AN283" s="932" t="n"/>
      <c r="AO283" s="932" t="n"/>
      <c r="AP283" s="932" t="n"/>
      <c r="AQ283" s="932" t="n"/>
      <c r="AR283" s="932" t="n"/>
      <c r="AS283" s="942" t="n">
        <v>191400</v>
      </c>
      <c r="BF283" s="927" t="n"/>
      <c r="BG283" s="932" t="n"/>
      <c r="BH283" s="808" t="n"/>
      <c r="BI283" s="808" t="n"/>
      <c r="BJ283" s="808" t="n"/>
    </row>
    <row r="284" ht="13.2" customHeight="1" s="586">
      <c r="B284" s="940" t="inlineStr">
        <is>
          <t>Management third party contracts</t>
        </is>
      </c>
      <c r="S284" s="942">
        <f>+AF284+AS284+BF284+BG284</f>
        <v/>
      </c>
      <c r="T284" s="932" t="n"/>
      <c r="U284" s="932" t="n"/>
      <c r="V284" s="932" t="n"/>
      <c r="W284" s="932" t="n"/>
      <c r="X284" s="932" t="n"/>
      <c r="Y284" s="932" t="n"/>
      <c r="Z284" s="932" t="n"/>
      <c r="AA284" s="932" t="n"/>
      <c r="AB284" s="932" t="n"/>
      <c r="AC284" s="932" t="n"/>
      <c r="AD284" s="932" t="n"/>
      <c r="AE284" s="932" t="n"/>
      <c r="AF284" s="942">
        <f>500000*$BI$244</f>
        <v/>
      </c>
      <c r="AG284" s="942" t="n"/>
      <c r="AH284" s="932" t="n"/>
      <c r="AI284" s="932" t="n"/>
      <c r="AJ284" s="932" t="n"/>
      <c r="AK284" s="932" t="n"/>
      <c r="AL284" s="932" t="n"/>
      <c r="AM284" s="932" t="n"/>
      <c r="AN284" s="932" t="n"/>
      <c r="AO284" s="932" t="n"/>
      <c r="AP284" s="932" t="n"/>
      <c r="AQ284" s="932" t="n"/>
      <c r="AR284" s="932" t="n"/>
      <c r="AS284" s="942">
        <f>500000*$BI$249</f>
        <v/>
      </c>
      <c r="BF284" s="942">
        <f>500000*$BI$244</f>
        <v/>
      </c>
      <c r="BG284" s="942">
        <f>500000*$BI$249</f>
        <v/>
      </c>
      <c r="BH284" s="808" t="n"/>
      <c r="BI284" s="808" t="n"/>
      <c r="BJ284" s="808" t="n"/>
    </row>
    <row r="285" ht="25.5" customHeight="1" s="586">
      <c r="B285" s="943" t="inlineStr">
        <is>
          <t>Amount already committed in separate contract (not including additional charges for delays or additional work)</t>
        </is>
      </c>
      <c r="C285" s="930" t="n"/>
      <c r="D285" s="930" t="n"/>
      <c r="E285" s="931" t="n"/>
      <c r="F285" s="931" t="n"/>
      <c r="G285" s="931" t="n"/>
      <c r="H285" s="932" t="n"/>
      <c r="I285" s="932" t="n"/>
      <c r="J285" s="932" t="n"/>
      <c r="K285" s="932" t="n"/>
      <c r="L285" s="932" t="n"/>
      <c r="M285" s="932" t="n"/>
      <c r="N285" s="932" t="n"/>
      <c r="O285" s="932" t="n"/>
      <c r="P285" s="932" t="n"/>
      <c r="Q285" s="932" t="n"/>
      <c r="R285" s="932" t="n"/>
      <c r="S285" s="942">
        <f>+AF285+AS285</f>
        <v/>
      </c>
      <c r="T285" s="932" t="n"/>
      <c r="U285" s="932" t="n"/>
      <c r="V285" s="932" t="n"/>
      <c r="W285" s="932" t="n"/>
      <c r="X285" s="932" t="n"/>
      <c r="Y285" s="932" t="n"/>
      <c r="Z285" s="932" t="n"/>
      <c r="AA285" s="932" t="n"/>
      <c r="AB285" s="932" t="n"/>
      <c r="AC285" s="932" t="n"/>
      <c r="AD285" s="932" t="n"/>
      <c r="AE285" s="932" t="n"/>
      <c r="AF285" s="942">
        <f>(388000)*-1</f>
        <v/>
      </c>
      <c r="AG285" s="932" t="n"/>
      <c r="AH285" s="932" t="n"/>
      <c r="AI285" s="932" t="n"/>
      <c r="AJ285" s="932" t="n"/>
      <c r="AK285" s="932" t="n"/>
      <c r="AL285" s="932" t="n"/>
      <c r="AM285" s="932" t="n"/>
      <c r="AN285" s="932" t="n"/>
      <c r="AO285" s="932" t="n"/>
      <c r="AP285" s="932" t="n"/>
      <c r="AQ285" s="932" t="n"/>
      <c r="AR285" s="932" t="n"/>
      <c r="AS285" s="942" t="n"/>
      <c r="BF285" s="927" t="n"/>
      <c r="BG285" s="932" t="n"/>
      <c r="BH285" s="808" t="n"/>
      <c r="BI285" s="808" t="n"/>
      <c r="BJ285" s="808" t="n"/>
    </row>
    <row r="286" ht="13.2" customHeight="1" s="586">
      <c r="B286" s="805" t="n"/>
      <c r="S286" s="944" t="n"/>
      <c r="AF286" s="944" t="n"/>
      <c r="AS286" s="944" t="n"/>
    </row>
    <row r="287" ht="13.2" customHeight="1" s="586">
      <c r="B287" s="813" t="inlineStr">
        <is>
          <t>2IM</t>
        </is>
      </c>
    </row>
    <row r="288" ht="28.5" customHeight="1" s="586">
      <c r="B288" s="943" t="inlineStr">
        <is>
          <t>Amount as part of the original T&amp;T Charges already committed in a separate contract (not including additional charges for delays or additional work)</t>
        </is>
      </c>
      <c r="C288" s="930" t="n"/>
      <c r="D288" s="930" t="n"/>
      <c r="E288" s="931" t="n"/>
      <c r="F288" s="931" t="n"/>
      <c r="G288" s="931" t="n"/>
      <c r="H288" s="932" t="n"/>
      <c r="I288" s="932" t="n"/>
      <c r="J288" s="932" t="n"/>
      <c r="K288" s="932" t="n"/>
      <c r="L288" s="932" t="n"/>
      <c r="M288" s="932" t="n"/>
      <c r="N288" s="932" t="n"/>
      <c r="O288" s="932" t="n"/>
      <c r="P288" s="932" t="n"/>
      <c r="Q288" s="932" t="n"/>
      <c r="R288" s="932" t="n"/>
      <c r="S288" s="942">
        <f>+AF288+AS288</f>
        <v/>
      </c>
      <c r="T288" s="932" t="n"/>
      <c r="U288" s="932" t="n"/>
      <c r="V288" s="932" t="n"/>
      <c r="W288" s="932" t="n"/>
      <c r="X288" s="932" t="n"/>
      <c r="Y288" s="932" t="n"/>
      <c r="Z288" s="932" t="n"/>
      <c r="AA288" s="932" t="n"/>
      <c r="AB288" s="932" t="n"/>
      <c r="AC288" s="932" t="n"/>
      <c r="AD288" s="932" t="n"/>
      <c r="AE288" s="932" t="n"/>
      <c r="AF288" s="942">
        <f>(766000)*-1</f>
        <v/>
      </c>
      <c r="AG288" s="932" t="n"/>
      <c r="AH288" s="932" t="n"/>
      <c r="AI288" s="932" t="n"/>
      <c r="AJ288" s="932" t="n"/>
      <c r="AK288" s="932" t="n"/>
      <c r="AL288" s="932" t="n"/>
      <c r="AM288" s="932" t="n"/>
      <c r="AN288" s="932" t="n"/>
      <c r="AO288" s="932" t="n"/>
      <c r="AP288" s="932" t="n"/>
      <c r="AQ288" s="932" t="n"/>
      <c r="AR288" s="932" t="n"/>
      <c r="AS288" s="942" t="n"/>
      <c r="BF288" s="927" t="n"/>
      <c r="BG288" s="932" t="n"/>
    </row>
    <row r="289" ht="13.2" customHeight="1" s="586">
      <c r="B289" s="805" t="n"/>
      <c r="C289" s="805" t="n"/>
      <c r="D289" s="805" t="n"/>
      <c r="E289" s="805" t="n"/>
      <c r="F289" s="805" t="n"/>
      <c r="G289" s="805" t="n"/>
      <c r="H289" s="805" t="n"/>
      <c r="I289" s="805" t="n"/>
      <c r="J289" s="805" t="n"/>
      <c r="K289" s="805" t="n"/>
      <c r="L289" s="805" t="n"/>
      <c r="M289" s="805" t="n"/>
      <c r="N289" s="805" t="n"/>
      <c r="O289" s="805" t="n"/>
      <c r="P289" s="805" t="n"/>
      <c r="Q289" s="805" t="n"/>
      <c r="R289" s="805" t="n"/>
      <c r="S289" s="805" t="n"/>
      <c r="T289" s="805" t="n"/>
      <c r="U289" s="805" t="n"/>
      <c r="V289" s="805" t="n"/>
      <c r="W289" s="805" t="n"/>
      <c r="X289" s="805" t="n"/>
      <c r="Y289" s="805" t="n"/>
      <c r="Z289" s="805" t="n"/>
      <c r="AA289" s="805" t="n"/>
      <c r="AB289" s="805" t="n"/>
      <c r="AC289" s="805" t="n"/>
      <c r="AD289" s="805" t="n"/>
      <c r="AE289" s="805" t="n"/>
      <c r="AF289" s="944" t="n"/>
      <c r="AS289" s="944" t="n"/>
    </row>
    <row r="290" ht="13.2" customHeight="1" s="586">
      <c r="B290" s="805" t="n"/>
      <c r="S290" s="944" t="n"/>
      <c r="AF290" s="944" t="n"/>
      <c r="AS290" s="944" t="n"/>
    </row>
    <row r="291" ht="13.8" customHeight="1" s="586"/>
    <row r="292" ht="13.8" customHeight="1" s="586">
      <c r="B292" s="871" t="inlineStr">
        <is>
          <t>Total extra one time charges</t>
        </is>
      </c>
      <c r="C292" s="945" t="n"/>
      <c r="D292" s="945" t="n"/>
      <c r="E292" s="946" t="n"/>
      <c r="F292" s="946" t="n"/>
      <c r="G292" s="946" t="n"/>
      <c r="H292" s="947" t="n"/>
      <c r="I292" s="947" t="n"/>
      <c r="J292" s="947" t="n"/>
      <c r="K292" s="947" t="n"/>
      <c r="L292" s="947" t="n"/>
      <c r="M292" s="947" t="n"/>
      <c r="N292" s="947" t="n"/>
      <c r="O292" s="947" t="n"/>
      <c r="P292" s="947" t="n"/>
      <c r="Q292" s="947" t="n"/>
      <c r="R292" s="947" t="n"/>
      <c r="S292" s="948">
        <f>SUM(S263:S289)</f>
        <v/>
      </c>
      <c r="T292" s="947" t="n"/>
      <c r="U292" s="947" t="n"/>
      <c r="V292" s="947" t="n"/>
      <c r="W292" s="947" t="n"/>
      <c r="X292" s="947" t="n"/>
      <c r="Y292" s="947" t="n"/>
      <c r="Z292" s="947" t="n"/>
      <c r="AA292" s="947" t="n"/>
      <c r="AB292" s="947" t="n"/>
      <c r="AC292" s="947" t="n"/>
      <c r="AD292" s="947" t="n"/>
      <c r="AE292" s="947" t="n"/>
      <c r="AF292" s="948">
        <f>SUM(AF263:AF289)</f>
        <v/>
      </c>
      <c r="AG292" s="947" t="n"/>
      <c r="AH292" s="947" t="n"/>
      <c r="AI292" s="947" t="n"/>
      <c r="AJ292" s="947" t="n"/>
      <c r="AK292" s="947" t="n"/>
      <c r="AL292" s="947" t="n"/>
      <c r="AM292" s="947" t="n"/>
      <c r="AN292" s="947" t="n"/>
      <c r="AO292" s="947" t="n"/>
      <c r="AP292" s="947" t="n"/>
      <c r="AQ292" s="947" t="n"/>
      <c r="AR292" s="947" t="n"/>
      <c r="AS292" s="948">
        <f>SUM(AS263:AS289)</f>
        <v/>
      </c>
      <c r="AT292" s="947" t="n"/>
      <c r="AU292" s="947" t="n"/>
      <c r="AV292" s="947" t="n"/>
      <c r="AW292" s="947" t="n"/>
      <c r="AX292" s="947" t="n"/>
      <c r="AY292" s="947" t="n"/>
      <c r="AZ292" s="947" t="n"/>
      <c r="BA292" s="947" t="n"/>
      <c r="BB292" s="947" t="n"/>
      <c r="BC292" s="947" t="n"/>
      <c r="BD292" s="947" t="n"/>
      <c r="BE292" s="947" t="n"/>
      <c r="BF292" s="948">
        <f>SUM(BF263:BF289)</f>
        <v/>
      </c>
      <c r="BG292" s="949">
        <f>SUM(BG263:BG289)</f>
        <v/>
      </c>
    </row>
    <row r="293"/>
    <row r="294"/>
    <row r="295" ht="13.2" customHeight="1" s="586">
      <c r="AS295" s="950" t="n"/>
    </row>
  </sheetData>
  <printOptions horizontalCentered="1" verticalCentered="0" headings="0" gridLines="0" gridLinesSet="1"/>
  <pageMargins left="0.270138888888889" right="0.290277777777778" top="0.879861111111111" bottom="0.520138888888889" header="0.25" footer="0.25"/>
  <pageSetup orientation="landscape" paperSize="9" scale="100" fitToHeight="5"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L5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7.90234375" defaultRowHeight="13.2" customHeight="1" zeroHeight="0" outlineLevelRow="0"/>
  <cols>
    <col width="19.31" customWidth="1" style="951" min="1" max="1"/>
    <col width="18.6" customWidth="1" style="951" min="2" max="2"/>
    <col width="8.1" customWidth="1" style="951" min="3" max="3"/>
    <col width="12.3" customWidth="1" style="951" min="4" max="4"/>
    <col width="10.5" customWidth="1" style="951" min="5" max="5"/>
    <col width="8.49" customWidth="1" style="951" min="6" max="6"/>
    <col width="8.4" customWidth="1" style="951" min="7" max="7"/>
    <col width="17.21" customWidth="1" style="951" min="8" max="8"/>
    <col width="27.92" customWidth="1" style="952" min="9" max="9"/>
    <col width="28.92" customWidth="1" style="951" min="10" max="10"/>
    <col width="7.9" customWidth="1" style="951" min="11" max="257"/>
  </cols>
  <sheetData>
    <row r="1" ht="13.8" customHeight="1" s="586">
      <c r="B1" s="953" t="n"/>
      <c r="I1" s="954" t="n"/>
    </row>
    <row r="2" ht="13.8" customHeight="1" s="586">
      <c r="A2" s="955" t="n"/>
      <c r="B2" s="956" t="n"/>
      <c r="I2" s="954" t="n"/>
    </row>
    <row r="3" ht="13.8" customHeight="1" s="586">
      <c r="A3" s="955" t="n"/>
      <c r="B3" s="956" t="n"/>
      <c r="I3" s="954" t="n"/>
    </row>
    <row r="4" ht="13.8" customHeight="1" s="586">
      <c r="A4" s="955" t="n"/>
      <c r="B4" s="956" t="n"/>
      <c r="I4" s="954" t="n"/>
    </row>
    <row r="5"/>
    <row r="6" ht="13.8" customHeight="1" s="586">
      <c r="A6" s="957" t="inlineStr">
        <is>
          <t>Neptune - EuroBank located employees</t>
        </is>
      </c>
      <c r="B6" s="957" t="n"/>
      <c r="C6" s="957" t="n"/>
      <c r="I6" s="952" t="n"/>
    </row>
    <row r="7" ht="13.2" customHeight="1" s="586">
      <c r="A7" s="958" t="inlineStr">
        <is>
          <t xml:space="preserve">Date: </t>
        </is>
      </c>
      <c r="B7" s="959" t="n">
        <v>38683</v>
      </c>
      <c r="C7" s="959" t="n"/>
      <c r="I7" s="952" t="n"/>
    </row>
    <row r="8" ht="13.2" customHeight="1" s="586">
      <c r="I8" s="952" t="n"/>
    </row>
    <row r="9" ht="30" customHeight="1" s="586">
      <c r="A9" s="960" t="inlineStr">
        <is>
          <t>The Table below gives an overview of the averageNeptune employees per bundle, per country, working at EuroBank locations. Besides the number per year, also an explanation is given on whether housing costs at PST member premises is already included in our cost</t>
        </is>
      </c>
    </row>
    <row r="10" ht="13.2" customHeight="1" s="586">
      <c r="I10" s="952" t="n"/>
    </row>
    <row r="11" ht="27.6" customHeight="1" s="586">
      <c r="A11" s="961" t="inlineStr">
        <is>
          <t>PST member</t>
        </is>
      </c>
      <c r="B11" s="962" t="inlineStr">
        <is>
          <t>Bundle</t>
        </is>
      </c>
      <c r="C11" s="963" t="inlineStr">
        <is>
          <t>Country</t>
        </is>
      </c>
      <c r="D11" s="963" t="inlineStr">
        <is>
          <t>Number of PST Supplier employees, working from EuroBank locations</t>
        </is>
      </c>
      <c r="E11" s="964" t="n"/>
      <c r="F11" s="964" t="n"/>
      <c r="G11" s="964" t="n"/>
      <c r="H11" s="964" t="n"/>
      <c r="I11" s="965" t="inlineStr">
        <is>
          <t>Did you also include 'm2 costs' for these employees in your pricing?</t>
        </is>
      </c>
    </row>
    <row r="12" ht="13.8" customHeight="1" s="586">
      <c r="A12" s="966" t="n"/>
      <c r="B12" s="966" t="n"/>
      <c r="C12" s="966" t="n"/>
      <c r="D12" s="967" t="inlineStr">
        <is>
          <t>Year 1</t>
        </is>
      </c>
      <c r="E12" s="967" t="inlineStr">
        <is>
          <t>Year 2</t>
        </is>
      </c>
      <c r="F12" s="967" t="inlineStr">
        <is>
          <t>Year 3</t>
        </is>
      </c>
      <c r="G12" s="967" t="inlineStr">
        <is>
          <t>Year 4</t>
        </is>
      </c>
      <c r="H12" s="967" t="inlineStr">
        <is>
          <t>Year 5</t>
        </is>
      </c>
      <c r="I12" s="968" t="n"/>
    </row>
    <row r="13" ht="13.2" customHeight="1" s="586">
      <c r="A13" s="969" t="inlineStr">
        <is>
          <t xml:space="preserve">Vendor Beta </t>
        </is>
      </c>
      <c r="B13" s="969" t="inlineStr">
        <is>
          <t>2IM5</t>
        </is>
      </c>
      <c r="C13" s="969" t="inlineStr">
        <is>
          <t>NL</t>
        </is>
      </c>
      <c r="D13" s="970" t="n">
        <v>20</v>
      </c>
      <c r="E13" s="970" t="n">
        <v>20</v>
      </c>
      <c r="F13" s="970" t="n">
        <v>20</v>
      </c>
      <c r="G13" s="970" t="n">
        <v>19</v>
      </c>
      <c r="H13" s="970" t="n">
        <v>18</v>
      </c>
      <c r="I13" s="968" t="inlineStr">
        <is>
          <t>No</t>
        </is>
      </c>
    </row>
    <row r="14" ht="13.2" customHeight="1" s="586">
      <c r="A14" s="969" t="n"/>
      <c r="B14" s="969" t="n"/>
      <c r="C14" s="969" t="inlineStr">
        <is>
          <t>BE</t>
        </is>
      </c>
      <c r="D14" s="970" t="n">
        <v>4</v>
      </c>
      <c r="E14" s="970" t="n">
        <v>4</v>
      </c>
      <c r="F14" s="970" t="n">
        <v>4</v>
      </c>
      <c r="G14" s="970" t="n">
        <v>4</v>
      </c>
      <c r="H14" s="970" t="n">
        <v>3</v>
      </c>
      <c r="I14" s="968" t="inlineStr">
        <is>
          <t>No</t>
        </is>
      </c>
    </row>
    <row r="15" ht="13.2" customHeight="1" s="586">
      <c r="A15" s="970" t="inlineStr">
        <is>
          <t>TelCo</t>
        </is>
      </c>
      <c r="B15" s="970" t="inlineStr">
        <is>
          <t xml:space="preserve">Voice </t>
        </is>
      </c>
      <c r="C15" s="970" t="inlineStr">
        <is>
          <t>NL</t>
        </is>
      </c>
      <c r="D15" s="971" t="n">
        <v>27</v>
      </c>
      <c r="E15" s="971" t="n">
        <v>5</v>
      </c>
      <c r="F15" s="970" t="n">
        <v>5</v>
      </c>
      <c r="G15" s="970" t="n">
        <v>5</v>
      </c>
      <c r="H15" s="970" t="n">
        <v>5</v>
      </c>
      <c r="I15" s="972" t="inlineStr">
        <is>
          <t>No</t>
        </is>
      </c>
    </row>
    <row r="16" ht="13.2" customHeight="1" s="586">
      <c r="A16" s="970" t="n"/>
      <c r="B16" s="970" t="n"/>
      <c r="C16" s="970" t="inlineStr">
        <is>
          <t>BE</t>
        </is>
      </c>
      <c r="D16" s="971" t="n">
        <v>4</v>
      </c>
      <c r="E16" s="971" t="n">
        <v>2</v>
      </c>
      <c r="F16" s="970" t="n">
        <v>2</v>
      </c>
      <c r="G16" s="970" t="n">
        <v>2</v>
      </c>
      <c r="H16" s="970" t="n">
        <v>2</v>
      </c>
      <c r="I16" s="972" t="inlineStr">
        <is>
          <t>No</t>
        </is>
      </c>
    </row>
    <row r="17" ht="13.2" customHeight="1" s="586">
      <c r="A17" s="970" t="n"/>
      <c r="B17" s="970" t="inlineStr">
        <is>
          <t>LAN</t>
        </is>
      </c>
      <c r="C17" s="970" t="inlineStr">
        <is>
          <t>NL</t>
        </is>
      </c>
      <c r="D17" s="971" t="n">
        <v>3</v>
      </c>
      <c r="E17" s="971" t="n">
        <v>0</v>
      </c>
      <c r="F17" s="970" t="n">
        <v>0</v>
      </c>
      <c r="G17" s="970" t="n">
        <v>0</v>
      </c>
      <c r="H17" s="970" t="n">
        <v>0</v>
      </c>
      <c r="I17" s="972" t="inlineStr">
        <is>
          <t>No</t>
        </is>
      </c>
    </row>
    <row r="18" ht="13.2" customHeight="1" s="586">
      <c r="A18" s="970" t="n"/>
      <c r="B18" s="970" t="n"/>
      <c r="C18" s="970" t="inlineStr">
        <is>
          <t>BE</t>
        </is>
      </c>
      <c r="D18" s="971" t="n">
        <v>0.5</v>
      </c>
      <c r="E18" s="971" t="n">
        <v>0</v>
      </c>
      <c r="F18" s="970" t="n">
        <v>0</v>
      </c>
      <c r="G18" s="970" t="n">
        <v>0</v>
      </c>
      <c r="H18" s="970" t="n">
        <v>0</v>
      </c>
      <c r="I18" s="972" t="inlineStr">
        <is>
          <t>No</t>
        </is>
      </c>
    </row>
    <row r="19" ht="13.2" customHeight="1" s="586">
      <c r="A19" s="970" t="inlineStr">
        <is>
          <t>Vendor Alpha</t>
        </is>
      </c>
      <c r="B19" s="970" t="inlineStr">
        <is>
          <t>EUC-D&amp;S</t>
        </is>
      </c>
      <c r="C19" s="970" t="inlineStr">
        <is>
          <t>NL</t>
        </is>
      </c>
      <c r="D19" s="971" t="n">
        <v>20</v>
      </c>
      <c r="E19" s="971" t="n">
        <v>2</v>
      </c>
      <c r="F19" s="970" t="n">
        <v>0</v>
      </c>
      <c r="G19" s="970" t="n">
        <v>0</v>
      </c>
      <c r="H19" s="970" t="n">
        <v>0</v>
      </c>
      <c r="I19" s="972" t="inlineStr">
        <is>
          <t>Yes</t>
        </is>
      </c>
    </row>
    <row r="20" ht="13.2" customHeight="1" s="586">
      <c r="A20" s="970" t="n"/>
      <c r="B20" s="970" t="n"/>
      <c r="C20" s="970" t="inlineStr">
        <is>
          <t>BE</t>
        </is>
      </c>
      <c r="D20" s="971" t="n">
        <v>6</v>
      </c>
      <c r="E20" s="971" t="n">
        <v>1</v>
      </c>
      <c r="F20" s="970" t="n">
        <v>0</v>
      </c>
      <c r="G20" s="970" t="n">
        <v>0</v>
      </c>
      <c r="H20" s="970" t="n">
        <v>0</v>
      </c>
      <c r="I20" s="972" t="inlineStr">
        <is>
          <t>Yes</t>
        </is>
      </c>
    </row>
    <row r="21" ht="13.2" customHeight="1" s="586">
      <c r="A21" s="970" t="n"/>
      <c r="B21" s="970" t="inlineStr">
        <is>
          <t>EUC-UAS</t>
        </is>
      </c>
      <c r="C21" s="970" t="inlineStr">
        <is>
          <t>NL</t>
        </is>
      </c>
      <c r="D21" s="971" t="n">
        <v>28</v>
      </c>
      <c r="E21" s="971" t="n">
        <v>3</v>
      </c>
      <c r="F21" s="970" t="n">
        <v>0</v>
      </c>
      <c r="G21" s="970" t="n">
        <v>0</v>
      </c>
      <c r="H21" s="970" t="n">
        <v>0</v>
      </c>
      <c r="I21" s="972" t="inlineStr">
        <is>
          <t>Yes</t>
        </is>
      </c>
    </row>
    <row r="22" ht="13.2" customHeight="1" s="586">
      <c r="A22" s="970" t="n"/>
      <c r="B22" s="970" t="n"/>
      <c r="C22" s="970" t="inlineStr">
        <is>
          <t>BE</t>
        </is>
      </c>
      <c r="D22" s="971" t="n">
        <v>9</v>
      </c>
      <c r="E22" s="971" t="n">
        <v>1</v>
      </c>
      <c r="F22" s="970" t="n">
        <v>0</v>
      </c>
      <c r="G22" s="970" t="n">
        <v>0</v>
      </c>
      <c r="H22" s="970" t="n">
        <v>0</v>
      </c>
      <c r="I22" s="972" t="inlineStr">
        <is>
          <t>Yes</t>
        </is>
      </c>
    </row>
    <row r="23" ht="13.2" customHeight="1" s="586">
      <c r="A23" s="970" t="n"/>
      <c r="B23" s="970" t="inlineStr">
        <is>
          <t>EUC-AS</t>
        </is>
      </c>
      <c r="C23" s="970" t="inlineStr">
        <is>
          <t>NL</t>
        </is>
      </c>
      <c r="D23" s="971" t="n">
        <v>34</v>
      </c>
      <c r="E23" s="971" t="n">
        <v>3</v>
      </c>
      <c r="F23" s="970" t="n">
        <v>0</v>
      </c>
      <c r="G23" s="970" t="n">
        <v>0</v>
      </c>
      <c r="H23" s="970" t="n">
        <v>0</v>
      </c>
      <c r="I23" s="972" t="inlineStr">
        <is>
          <t>Yes</t>
        </is>
      </c>
    </row>
    <row r="24" ht="13.2" customHeight="1" s="586">
      <c r="A24" s="970" t="n"/>
      <c r="B24" s="970" t="n"/>
      <c r="C24" s="970" t="inlineStr">
        <is>
          <t>BE</t>
        </is>
      </c>
      <c r="D24" s="971" t="n">
        <v>11</v>
      </c>
      <c r="E24" s="971" t="n">
        <v>1</v>
      </c>
      <c r="F24" s="970" t="n">
        <v>0</v>
      </c>
      <c r="G24" s="970" t="n">
        <v>0</v>
      </c>
      <c r="H24" s="970" t="n">
        <v>0</v>
      </c>
      <c r="I24" s="972" t="inlineStr">
        <is>
          <t>Yes</t>
        </is>
      </c>
    </row>
    <row r="25" ht="13.2" customHeight="1" s="586">
      <c r="A25" s="970" t="n"/>
      <c r="B25" s="970" t="inlineStr">
        <is>
          <t>Server Management</t>
        </is>
      </c>
      <c r="C25" s="970" t="inlineStr">
        <is>
          <t>NL</t>
        </is>
      </c>
      <c r="D25" s="971" t="n">
        <v>26</v>
      </c>
      <c r="E25" s="971" t="n">
        <v>3</v>
      </c>
      <c r="F25" s="970" t="n">
        <v>0</v>
      </c>
      <c r="G25" s="970" t="n">
        <v>0</v>
      </c>
      <c r="H25" s="970" t="n">
        <v>0</v>
      </c>
      <c r="I25" s="972" t="inlineStr">
        <is>
          <t>Yes</t>
        </is>
      </c>
    </row>
    <row r="26" ht="13.2" customHeight="1" s="586">
      <c r="A26" s="970" t="n"/>
      <c r="B26" s="970" t="n"/>
      <c r="C26" s="970" t="inlineStr">
        <is>
          <t>BE</t>
        </is>
      </c>
      <c r="D26" s="971" t="n">
        <v>8</v>
      </c>
      <c r="E26" s="971" t="n">
        <v>1</v>
      </c>
      <c r="F26" s="970" t="n">
        <v>0</v>
      </c>
      <c r="G26" s="970" t="n">
        <v>0</v>
      </c>
      <c r="H26" s="970" t="n">
        <v>0</v>
      </c>
      <c r="I26" s="972" t="inlineStr">
        <is>
          <t>Yes</t>
        </is>
      </c>
    </row>
    <row r="27" ht="13.2" customHeight="1" s="586">
      <c r="A27" s="970" t="inlineStr">
        <is>
          <t>Vendor Gamma PinkRoccade</t>
        </is>
      </c>
      <c r="B27" s="970" t="inlineStr">
        <is>
          <t>Service Desk</t>
        </is>
      </c>
      <c r="C27" s="970" t="inlineStr">
        <is>
          <t>NL</t>
        </is>
      </c>
      <c r="D27" s="970" t="n">
        <v>98</v>
      </c>
      <c r="E27" s="970">
        <f>D27/4</f>
        <v/>
      </c>
      <c r="F27" s="970" t="n">
        <v>0</v>
      </c>
      <c r="G27" s="970" t="n">
        <v>0</v>
      </c>
      <c r="H27" s="970" t="n">
        <v>0</v>
      </c>
      <c r="I27" s="972" t="inlineStr">
        <is>
          <t>Yes</t>
        </is>
      </c>
    </row>
    <row r="28" ht="13.2" customHeight="1" s="586">
      <c r="A28" s="970" t="n"/>
      <c r="B28" s="970" t="n"/>
      <c r="C28" s="970" t="inlineStr">
        <is>
          <t>BE</t>
        </is>
      </c>
      <c r="D28" s="970" t="n">
        <v>37</v>
      </c>
      <c r="E28" s="970">
        <f>D28/4</f>
        <v/>
      </c>
      <c r="F28" s="970" t="n">
        <v>0</v>
      </c>
      <c r="G28" s="970" t="n">
        <v>0</v>
      </c>
      <c r="H28" s="970" t="n">
        <v>0</v>
      </c>
      <c r="I28" s="968" t="inlineStr">
        <is>
          <t>Yes</t>
        </is>
      </c>
    </row>
    <row r="29" ht="13.2" customHeight="1" s="586">
      <c r="A29" s="970" t="n"/>
      <c r="B29" s="970" t="inlineStr">
        <is>
          <t>EUC-UIS</t>
        </is>
      </c>
      <c r="C29" s="970" t="inlineStr">
        <is>
          <t>NL</t>
        </is>
      </c>
      <c r="D29" s="970" t="n">
        <v>1.4</v>
      </c>
      <c r="E29" s="970" t="n">
        <v>1.4</v>
      </c>
      <c r="F29" s="970" t="n">
        <v>1.4</v>
      </c>
      <c r="G29" s="970" t="n">
        <v>1.4</v>
      </c>
      <c r="H29" s="970" t="n">
        <v>1.4</v>
      </c>
      <c r="I29" s="968" t="inlineStr">
        <is>
          <t>No</t>
        </is>
      </c>
    </row>
    <row r="30" ht="13.2" customHeight="1" s="586">
      <c r="A30" s="970" t="n"/>
      <c r="B30" s="970" t="n"/>
      <c r="C30" s="970" t="inlineStr">
        <is>
          <t>BE</t>
        </is>
      </c>
      <c r="D30" s="970" t="n">
        <v>0</v>
      </c>
      <c r="E30" s="970" t="n">
        <v>0</v>
      </c>
      <c r="F30" s="970" t="n">
        <v>0</v>
      </c>
      <c r="G30" s="970" t="n">
        <v>0</v>
      </c>
      <c r="H30" s="970" t="n">
        <v>0</v>
      </c>
      <c r="I30" s="968" t="inlineStr">
        <is>
          <t>No</t>
        </is>
      </c>
    </row>
    <row r="31" ht="13.2" customHeight="1" s="586">
      <c r="A31" s="970" t="n"/>
      <c r="B31" s="970" t="inlineStr">
        <is>
          <t>DT-HW</t>
        </is>
      </c>
      <c r="C31" s="970" t="inlineStr">
        <is>
          <t>NL</t>
        </is>
      </c>
      <c r="D31" s="970" t="n">
        <v>0</v>
      </c>
      <c r="E31" s="970" t="n">
        <v>0</v>
      </c>
      <c r="F31" s="970" t="n">
        <v>0</v>
      </c>
      <c r="G31" s="970" t="n">
        <v>0</v>
      </c>
      <c r="H31" s="970" t="n">
        <v>0</v>
      </c>
      <c r="I31" s="968" t="inlineStr">
        <is>
          <t>No</t>
        </is>
      </c>
    </row>
    <row r="32" ht="13.2" customHeight="1" s="586">
      <c r="A32" s="970" t="n"/>
      <c r="B32" s="970" t="n"/>
      <c r="C32" s="970" t="inlineStr">
        <is>
          <t>BE</t>
        </is>
      </c>
      <c r="D32" s="970" t="n">
        <v>0</v>
      </c>
      <c r="E32" s="970" t="n">
        <v>0</v>
      </c>
      <c r="F32" s="970" t="n">
        <v>0</v>
      </c>
      <c r="G32" s="970" t="n">
        <v>0</v>
      </c>
      <c r="H32" s="970" t="n">
        <v>0</v>
      </c>
      <c r="I32" s="972" t="inlineStr">
        <is>
          <t>No</t>
        </is>
      </c>
    </row>
    <row r="33" ht="13.2" customHeight="1" s="586">
      <c r="A33" s="951" t="n"/>
      <c r="B33" s="951" t="n"/>
      <c r="C33" s="951" t="n"/>
      <c r="D33" s="951" t="n"/>
      <c r="E33" s="951" t="n"/>
      <c r="F33" s="951" t="n"/>
      <c r="G33" s="951" t="n"/>
      <c r="H33" s="951" t="n"/>
      <c r="I33" s="973" t="n"/>
    </row>
    <row r="34" ht="13.2" customHeight="1" s="586">
      <c r="A34" s="974" t="inlineStr">
        <is>
          <t>Note 1: Housing costs are only compensated for employees who spend all their working hours at EuroBank locations.</t>
        </is>
      </c>
      <c r="B34" s="974" t="n"/>
      <c r="C34" s="974" t="n"/>
      <c r="D34" s="951" t="n"/>
      <c r="E34" s="951" t="n"/>
      <c r="F34" s="951" t="n"/>
      <c r="G34" s="951" t="n"/>
      <c r="H34" s="951" t="n"/>
      <c r="I34" s="973" t="n"/>
      <c r="J34" s="975" t="n"/>
    </row>
    <row r="35" ht="13.2" customHeight="1" s="586">
      <c r="A35" s="974" t="inlineStr">
        <is>
          <t>Note 2: FTE's related to projects members, working at EuroBank premises, are not included in this calculation</t>
        </is>
      </c>
      <c r="B35" s="974" t="n"/>
      <c r="C35" s="974" t="n"/>
      <c r="I35" s="952" t="n"/>
      <c r="J35" s="975" t="n"/>
    </row>
    <row r="36" ht="13.2" customHeight="1" s="586">
      <c r="A36" s="974" t="inlineStr">
        <is>
          <t>Note 3: On site transitioned EuroBank FTEs to be rationalized after Effective Date in line with Exhibit 5</t>
        </is>
      </c>
      <c r="B36" s="974" t="n"/>
      <c r="C36" s="974" t="n"/>
      <c r="I36" s="952" t="n"/>
      <c r="J36" s="975" t="n"/>
    </row>
    <row r="37" ht="13.2" customHeight="1" s="586">
      <c r="A37" s="974" t="n"/>
      <c r="I37" s="952" t="n"/>
      <c r="J37" s="975" t="n"/>
    </row>
    <row r="38" ht="12" customHeight="1" s="586">
      <c r="A38" s="974" t="n"/>
      <c r="B38" s="976" t="n"/>
      <c r="C38" s="976" t="n"/>
      <c r="D38" s="976" t="n"/>
      <c r="E38" s="976" t="n"/>
      <c r="F38" s="976" t="n"/>
      <c r="G38" s="976" t="n"/>
      <c r="H38" s="976" t="n"/>
      <c r="I38" s="952" t="n"/>
      <c r="J38" s="975" t="n"/>
    </row>
    <row r="39" ht="13.5" customHeight="1" s="586">
      <c r="A39" s="977" t="n"/>
      <c r="B39" s="978" t="n"/>
      <c r="C39" s="978" t="n"/>
      <c r="D39" s="976" t="n"/>
      <c r="E39" s="976" t="n"/>
      <c r="F39" s="976" t="n"/>
      <c r="G39" s="976" t="n"/>
      <c r="H39" s="976" t="n"/>
      <c r="I39" s="952" t="n"/>
      <c r="J39" s="975" t="n"/>
    </row>
    <row r="40" ht="13.2" customHeight="1" s="586">
      <c r="A40" s="974" t="n"/>
      <c r="I40" s="952" t="n"/>
      <c r="J40" s="975" t="n"/>
    </row>
    <row r="41" ht="13.2" customHeight="1" s="586">
      <c r="B41" s="975" t="n"/>
      <c r="C41" s="975" t="n"/>
      <c r="D41" s="951" t="n"/>
      <c r="E41" s="951" t="n"/>
      <c r="F41" s="951" t="n"/>
      <c r="G41" s="951" t="n"/>
      <c r="H41" s="951" t="n"/>
      <c r="I41" s="952" t="n"/>
      <c r="J41" s="951" t="n"/>
      <c r="K41" s="951" t="n"/>
      <c r="L41" s="951" t="n"/>
    </row>
    <row r="42" ht="13.2" customHeight="1" s="586">
      <c r="A42" s="958" t="inlineStr">
        <is>
          <t>Reimbursement of facility costs</t>
        </is>
      </c>
    </row>
    <row r="43"/>
    <row r="44" ht="13.2" customHeight="1" s="586">
      <c r="A44" s="979" t="inlineStr">
        <is>
          <t>Vendor Alpha</t>
        </is>
      </c>
      <c r="B44" s="979" t="inlineStr">
        <is>
          <t>EUC-D&amp;S</t>
        </is>
      </c>
      <c r="C44" s="980" t="inlineStr">
        <is>
          <t>NL</t>
        </is>
      </c>
      <c r="D44" s="981">
        <f>D19*-$B$57</f>
        <v/>
      </c>
      <c r="E44" s="981">
        <f>E19*-$B$57</f>
        <v/>
      </c>
    </row>
    <row r="45" ht="13.2" customHeight="1" s="586">
      <c r="A45" s="979" t="n"/>
      <c r="B45" s="979" t="n"/>
      <c r="C45" s="980" t="inlineStr">
        <is>
          <t>BE</t>
        </is>
      </c>
      <c r="D45" s="981">
        <f>D20*-$B$57</f>
        <v/>
      </c>
      <c r="E45" s="981">
        <f>E20*-$B$57</f>
        <v/>
      </c>
    </row>
    <row r="46" ht="13.2" customHeight="1" s="586">
      <c r="A46" s="979" t="n"/>
      <c r="B46" s="979" t="inlineStr">
        <is>
          <t>EUC-UAS</t>
        </is>
      </c>
      <c r="C46" s="980" t="inlineStr">
        <is>
          <t>NL</t>
        </is>
      </c>
      <c r="D46" s="981">
        <f>D21*-$B$57</f>
        <v/>
      </c>
      <c r="E46" s="981">
        <f>E21*-$B$57</f>
        <v/>
      </c>
      <c r="F46" s="951" t="n"/>
      <c r="G46" s="951" t="n"/>
      <c r="H46" s="951" t="n"/>
      <c r="I46" s="952" t="n"/>
      <c r="J46" s="951" t="n"/>
      <c r="K46" s="951" t="n"/>
      <c r="L46" s="951" t="n"/>
    </row>
    <row r="47" ht="13.2" customHeight="1" s="586">
      <c r="A47" s="979" t="n"/>
      <c r="B47" s="979" t="n"/>
      <c r="C47" s="980" t="inlineStr">
        <is>
          <t>BE</t>
        </is>
      </c>
      <c r="D47" s="981">
        <f>D22*-$B$57</f>
        <v/>
      </c>
      <c r="E47" s="981">
        <f>E22*-$B$57</f>
        <v/>
      </c>
      <c r="F47" s="951" t="n"/>
      <c r="G47" s="951" t="n"/>
      <c r="H47" s="951" t="n"/>
      <c r="I47" s="952" t="n"/>
      <c r="J47" s="951" t="n"/>
      <c r="K47" s="951" t="n"/>
      <c r="L47" s="951" t="n"/>
    </row>
    <row r="48" ht="13.2" customHeight="1" s="586">
      <c r="A48" s="979" t="n"/>
      <c r="B48" s="979" t="inlineStr">
        <is>
          <t>EUC-AS</t>
        </is>
      </c>
      <c r="C48" s="980" t="inlineStr">
        <is>
          <t>NL</t>
        </is>
      </c>
      <c r="D48" s="981">
        <f>D23*-$B$57</f>
        <v/>
      </c>
      <c r="E48" s="981">
        <f>E23*-$B$57</f>
        <v/>
      </c>
      <c r="F48" s="951" t="n"/>
      <c r="G48" s="951" t="n"/>
      <c r="H48" s="951" t="n"/>
      <c r="I48" s="952" t="n"/>
      <c r="J48" s="951" t="n"/>
      <c r="K48" s="951" t="n"/>
      <c r="L48" s="951" t="n"/>
    </row>
    <row r="49" ht="13.2" customHeight="1" s="586">
      <c r="A49" s="979" t="n"/>
      <c r="B49" s="979" t="n"/>
      <c r="C49" s="980" t="inlineStr">
        <is>
          <t>BE</t>
        </is>
      </c>
      <c r="D49" s="981">
        <f>D24*-$B$57</f>
        <v/>
      </c>
      <c r="E49" s="981">
        <f>E24*-$B$57</f>
        <v/>
      </c>
      <c r="F49" s="951" t="n"/>
      <c r="G49" s="951" t="n"/>
      <c r="H49" s="951" t="n"/>
      <c r="I49" s="952" t="n"/>
      <c r="J49" s="951" t="n"/>
      <c r="K49" s="951" t="n"/>
      <c r="L49" s="951" t="n"/>
    </row>
    <row r="50" ht="13.2" customHeight="1" s="586">
      <c r="A50" s="979" t="n"/>
      <c r="B50" s="979" t="inlineStr">
        <is>
          <t>Server Management</t>
        </is>
      </c>
      <c r="C50" s="980" t="inlineStr">
        <is>
          <t>NL</t>
        </is>
      </c>
      <c r="D50" s="981">
        <f>D25*-$B$57</f>
        <v/>
      </c>
      <c r="E50" s="981">
        <f>E25*-$B$57</f>
        <v/>
      </c>
    </row>
    <row r="51" ht="13.2" customHeight="1" s="586">
      <c r="A51" s="979" t="n"/>
      <c r="B51" s="979" t="n"/>
      <c r="C51" s="980" t="inlineStr">
        <is>
          <t>BE</t>
        </is>
      </c>
      <c r="D51" s="981">
        <f>D26*-$B$57</f>
        <v/>
      </c>
      <c r="E51" s="981">
        <f>E26*-$B$57</f>
        <v/>
      </c>
    </row>
    <row r="52" ht="13.2" customHeight="1" s="586">
      <c r="A52" s="979" t="inlineStr">
        <is>
          <t>Vendor Gamma</t>
        </is>
      </c>
      <c r="B52" s="979" t="inlineStr">
        <is>
          <t>Service Desk</t>
        </is>
      </c>
      <c r="C52" s="980" t="inlineStr">
        <is>
          <t>NL</t>
        </is>
      </c>
      <c r="D52" s="981">
        <f>D27*-$B$56</f>
        <v/>
      </c>
      <c r="E52" s="981">
        <f>E27*-$B$56</f>
        <v/>
      </c>
    </row>
    <row r="53" ht="13.2" customHeight="1" s="586">
      <c r="A53" s="979" t="n"/>
      <c r="B53" s="979" t="n"/>
      <c r="C53" s="980" t="inlineStr">
        <is>
          <t>BE</t>
        </is>
      </c>
      <c r="D53" s="981">
        <f>D28*-$B$56</f>
        <v/>
      </c>
      <c r="E53" s="981">
        <f>E28*-$B$56</f>
        <v/>
      </c>
    </row>
    <row r="54" ht="13.2" customHeight="1" s="586">
      <c r="A54" s="982" t="inlineStr">
        <is>
          <t>Total</t>
        </is>
      </c>
      <c r="B54" s="982" t="n"/>
      <c r="C54" s="982" t="n"/>
      <c r="D54" s="983">
        <f>SUM(D44:D53)</f>
        <v/>
      </c>
      <c r="E54" s="983">
        <f>SUM(E44:E53)</f>
        <v/>
      </c>
    </row>
    <row r="55"/>
    <row r="56" ht="13.2" customHeight="1" s="586">
      <c r="A56" s="951" t="inlineStr">
        <is>
          <t>GTN facilities</t>
        </is>
      </c>
      <c r="B56" s="981" t="n">
        <v>2500</v>
      </c>
      <c r="C56" s="951" t="inlineStr">
        <is>
          <t>per full time fte per year</t>
        </is>
      </c>
    </row>
    <row r="57" ht="13.2" customHeight="1" s="586">
      <c r="A57" s="951" t="inlineStr">
        <is>
          <t>VENDORA Facilities</t>
        </is>
      </c>
      <c r="B57" s="981" t="n">
        <v>4850</v>
      </c>
      <c r="C57" s="951" t="inlineStr">
        <is>
          <t>per full time fte per year</t>
        </is>
      </c>
    </row>
    <row r="58"/>
    <row r="59" ht="13.2" customHeight="1" s="586">
      <c r="E59" s="984" t="n"/>
    </row>
  </sheetData>
  <mergeCells count="1">
    <mergeCell ref="A9:I9"/>
  </mergeCells>
  <printOptions horizontalCentered="1" verticalCentered="0" headings="0" gridLines="0" gridLinesSet="1"/>
  <pageMargins left="0.270138888888889" right="0.290277777777778" top="0.879861111111111" bottom="0.520138888888889" header="0.25" footer="0.25"/>
  <pageSetup orientation="landscape" paperSize="9"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V2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19921875" defaultRowHeight="13.2" customHeight="1" zeroHeight="0" outlineLevelRow="0"/>
  <cols>
    <col width="1.79" customWidth="1" style="985" min="1" max="1"/>
    <col width="8.199999999999999" customWidth="1" style="985" min="2" max="2"/>
    <col width="34.23" customWidth="1" style="985" min="3" max="3"/>
    <col width="13.9" customWidth="1" style="985" min="4" max="4"/>
    <col width="12.61" customWidth="1" style="985" min="5" max="5"/>
    <col width="10.5" customWidth="1" style="985" min="6" max="9"/>
    <col width="13.6" customWidth="1" style="986" min="10" max="10"/>
    <col width="8.199999999999999" customWidth="1" style="985" min="11" max="257"/>
  </cols>
  <sheetData>
    <row r="1" ht="16.2" customHeight="1" s="586">
      <c r="C1" s="987" t="inlineStr">
        <is>
          <t>Acquisition of Legacy Assets</t>
        </is>
      </c>
      <c r="E1" s="985" t="n"/>
      <c r="F1" s="985" t="n"/>
      <c r="G1" s="985" t="n"/>
    </row>
    <row r="2" ht="17.4" customHeight="1" s="586">
      <c r="B2" s="987" t="n"/>
      <c r="C2" s="985" t="n"/>
      <c r="D2" s="988" t="n"/>
      <c r="E2" s="989" t="inlineStr">
        <is>
          <t>Amounts quoted herein are included in the Base Charges</t>
        </is>
      </c>
      <c r="F2" s="990" t="n"/>
      <c r="G2" s="990" t="n"/>
      <c r="H2" s="990" t="n"/>
      <c r="I2" s="991" t="n"/>
    </row>
    <row r="3" ht="53.4" customHeight="1" s="586">
      <c r="B3" s="992" t="n"/>
      <c r="C3" s="992" t="n"/>
      <c r="D3" s="993" t="inlineStr">
        <is>
          <t>Initial Asset Purchase excl VAT - aligned with MATA</t>
        </is>
      </c>
      <c r="E3" s="994" t="inlineStr">
        <is>
          <t>Year 1</t>
        </is>
      </c>
      <c r="F3" s="995" t="inlineStr">
        <is>
          <t>Year 2</t>
        </is>
      </c>
      <c r="G3" s="995" t="inlineStr">
        <is>
          <t>Year 3</t>
        </is>
      </c>
      <c r="H3" s="995" t="inlineStr">
        <is>
          <t>Year 4</t>
        </is>
      </c>
      <c r="I3" s="996" t="inlineStr">
        <is>
          <t>Year 5</t>
        </is>
      </c>
      <c r="J3" s="993" t="inlineStr">
        <is>
          <t>Total 5 Years including finance costs</t>
        </is>
      </c>
    </row>
    <row r="4" ht="13.2" customHeight="1" s="586">
      <c r="B4" s="997" t="n"/>
      <c r="C4" s="990" t="n"/>
      <c r="D4" s="990" t="n"/>
      <c r="E4" s="990" t="n"/>
      <c r="F4" s="990" t="n"/>
      <c r="G4" s="990" t="n"/>
      <c r="H4" s="990" t="n"/>
      <c r="I4" s="990" t="n"/>
      <c r="J4" s="998" t="n"/>
    </row>
    <row r="5" ht="13.2" customHeight="1" s="586">
      <c r="B5" s="999" t="n"/>
      <c r="C5" s="1000" t="inlineStr">
        <is>
          <t>Total Assets Acquired - NBV</t>
        </is>
      </c>
      <c r="D5" s="1001" t="n"/>
      <c r="E5" s="1001" t="n"/>
      <c r="F5" s="1001" t="n"/>
      <c r="G5" s="1001" t="n"/>
      <c r="H5" s="1001" t="n"/>
      <c r="I5" s="1001" t="n"/>
      <c r="J5" s="1002" t="n"/>
    </row>
    <row r="6" ht="13.2" customHeight="1" s="586">
      <c r="B6" s="999" t="n"/>
      <c r="C6" s="1003" t="inlineStr">
        <is>
          <t>EUC</t>
        </is>
      </c>
      <c r="D6" s="942" t="n"/>
      <c r="E6" s="942" t="n"/>
      <c r="F6" s="942" t="n"/>
      <c r="G6" s="942" t="n"/>
      <c r="H6" s="942" t="n"/>
      <c r="I6" s="942" t="n"/>
      <c r="J6" s="1004">
        <f>SUM(E6:I6)</f>
        <v/>
      </c>
    </row>
    <row r="7" ht="13.2" customHeight="1" s="586">
      <c r="B7" s="999" t="n"/>
      <c r="C7" s="1003" t="n"/>
      <c r="D7" s="942" t="n"/>
      <c r="E7" s="942" t="n"/>
      <c r="F7" s="942" t="n"/>
      <c r="G7" s="942" t="n"/>
      <c r="H7" s="942" t="n"/>
      <c r="I7" s="942" t="n"/>
      <c r="J7" s="1004" t="n"/>
    </row>
    <row r="8" ht="13.2" customHeight="1" s="586">
      <c r="B8" s="999" t="n"/>
      <c r="C8" s="1003" t="inlineStr">
        <is>
          <t>Service Desk</t>
        </is>
      </c>
      <c r="D8" s="942" t="n"/>
      <c r="E8" s="942" t="n"/>
      <c r="F8" s="942" t="n"/>
      <c r="G8" s="942" t="n"/>
      <c r="H8" s="942" t="n"/>
      <c r="I8" s="942" t="n"/>
      <c r="J8" s="1004">
        <f>SUM(E8:I8)</f>
        <v/>
      </c>
      <c r="M8" s="1005" t="n"/>
    </row>
    <row r="9" ht="13.2" customHeight="1" s="586">
      <c r="B9" s="999" t="n"/>
      <c r="C9" s="1003" t="n"/>
      <c r="D9" s="927" t="n"/>
      <c r="E9" s="942" t="n"/>
      <c r="F9" s="942" t="n"/>
      <c r="G9" s="942" t="n"/>
      <c r="H9" s="942" t="n"/>
      <c r="I9" s="942" t="n"/>
      <c r="J9" s="1004" t="n"/>
    </row>
    <row r="10" ht="13.2" customHeight="1" s="586">
      <c r="B10" s="999" t="n"/>
      <c r="C10" s="1003" t="inlineStr">
        <is>
          <t>LAN Services - NL</t>
        </is>
      </c>
      <c r="D10" s="942" t="n">
        <v>1134099.95764507</v>
      </c>
      <c r="E10" s="942" t="n">
        <v>1170044.53795266</v>
      </c>
      <c r="F10" s="942" t="n">
        <v>0</v>
      </c>
      <c r="G10" s="942" t="n">
        <v>0</v>
      </c>
      <c r="H10" s="942" t="n">
        <v>0</v>
      </c>
      <c r="I10" s="942" t="n">
        <v>0</v>
      </c>
      <c r="J10" s="1004">
        <f>SUM(E10:I10)</f>
        <v/>
      </c>
      <c r="U10" s="1005" t="n"/>
      <c r="V10" s="1005" t="n"/>
    </row>
    <row r="11" ht="13.2" customHeight="1" s="586">
      <c r="B11" s="999" t="n"/>
      <c r="C11" s="1003" t="n"/>
      <c r="D11" s="942" t="n"/>
      <c r="E11" s="942" t="n"/>
      <c r="F11" s="942" t="n"/>
      <c r="G11" s="942" t="n"/>
      <c r="H11" s="942" t="n"/>
      <c r="I11" s="942" t="n"/>
      <c r="J11" s="1004" t="n"/>
      <c r="U11" s="1005" t="n"/>
      <c r="V11" s="1005" t="n"/>
    </row>
    <row r="12" ht="13.2" customHeight="1" s="586">
      <c r="B12" s="999" t="n"/>
      <c r="C12" s="1003" t="inlineStr">
        <is>
          <t>Voice Services - NL</t>
        </is>
      </c>
      <c r="D12" s="942" t="n">
        <v>2647120</v>
      </c>
      <c r="E12" s="942" t="n">
        <v>611165.150812275</v>
      </c>
      <c r="F12" s="942" t="n">
        <v>611165.150812275</v>
      </c>
      <c r="G12" s="942" t="n">
        <v>611165.150812275</v>
      </c>
      <c r="H12" s="942" t="n">
        <v>611165.150812275</v>
      </c>
      <c r="I12" s="942" t="n">
        <v>611165.150812275</v>
      </c>
      <c r="J12" s="1004">
        <f>SUM(E12:I12)</f>
        <v/>
      </c>
      <c r="U12" s="1005" t="n"/>
      <c r="V12" s="1005" t="n"/>
    </row>
    <row r="13" ht="13.2" customHeight="1" s="586">
      <c r="B13" s="999" t="n"/>
      <c r="C13" s="1003" t="inlineStr">
        <is>
          <t>Voice Services - Be</t>
        </is>
      </c>
      <c r="D13" s="942" t="n">
        <v>956844</v>
      </c>
      <c r="E13" s="942" t="n">
        <v>220915.473675238</v>
      </c>
      <c r="F13" s="942" t="n">
        <v>220915.473675238</v>
      </c>
      <c r="G13" s="942" t="n">
        <v>220915.473675238</v>
      </c>
      <c r="H13" s="942" t="n">
        <v>220915.473675238</v>
      </c>
      <c r="I13" s="942" t="n">
        <v>220915.473675238</v>
      </c>
      <c r="J13" s="1004">
        <f>SUM(E13:I13)</f>
        <v/>
      </c>
      <c r="U13" s="1005" t="n"/>
      <c r="V13" s="1005" t="n"/>
    </row>
    <row r="14" ht="13.2" customHeight="1" s="586">
      <c r="B14" s="999" t="n"/>
      <c r="C14" s="1003" t="inlineStr">
        <is>
          <t>Desktop Hardware</t>
        </is>
      </c>
      <c r="D14" s="942" t="n"/>
      <c r="E14" s="942" t="n"/>
      <c r="F14" s="942" t="n"/>
      <c r="G14" s="942" t="n"/>
      <c r="H14" s="942" t="n"/>
      <c r="I14" s="942" t="n"/>
      <c r="J14" s="1004">
        <f>SUM(E14:I14)</f>
        <v/>
      </c>
      <c r="U14" s="1005" t="n"/>
      <c r="V14" s="1005" t="n"/>
    </row>
    <row r="15" ht="13.2" customHeight="1" s="586">
      <c r="B15" s="999" t="n"/>
      <c r="C15" s="1003" t="n"/>
      <c r="D15" s="768" t="n"/>
      <c r="E15" s="942" t="n"/>
      <c r="F15" s="942" t="n"/>
      <c r="G15" s="942" t="n"/>
      <c r="H15" s="942" t="n"/>
      <c r="I15" s="942" t="n"/>
      <c r="J15" s="1004" t="n"/>
      <c r="U15" s="1005" t="n"/>
      <c r="V15" s="1005" t="n"/>
    </row>
    <row r="16" ht="13.2" customHeight="1" s="586">
      <c r="B16" s="999" t="n"/>
      <c r="C16" s="1003" t="inlineStr">
        <is>
          <t>Server Management</t>
        </is>
      </c>
      <c r="D16" s="942" t="n"/>
      <c r="E16" s="942" t="n"/>
      <c r="F16" s="942" t="n"/>
      <c r="G16" s="942" t="n"/>
      <c r="H16" s="942" t="n"/>
      <c r="I16" s="942" t="n"/>
      <c r="J16" s="1004">
        <f>SUM(E16:I16)</f>
        <v/>
      </c>
      <c r="U16" s="1005" t="n"/>
      <c r="V16" s="1005" t="n"/>
    </row>
    <row r="17" ht="13.2" customHeight="1" s="586">
      <c r="B17" s="999" t="n"/>
      <c r="C17" s="1003" t="n"/>
      <c r="D17" s="942" t="n"/>
      <c r="E17" s="942" t="n"/>
      <c r="F17" s="942" t="n"/>
      <c r="G17" s="942" t="n"/>
      <c r="H17" s="942" t="n"/>
      <c r="I17" s="942" t="n"/>
      <c r="J17" s="1004" t="n"/>
      <c r="U17" s="1005" t="n"/>
      <c r="V17" s="1005" t="n"/>
    </row>
    <row r="18" ht="13.2" customHeight="1" s="586">
      <c r="B18" s="999" t="n"/>
      <c r="C18" s="1003" t="inlineStr">
        <is>
          <t>2IM</t>
        </is>
      </c>
      <c r="D18" s="942" t="n"/>
      <c r="E18" s="942" t="n"/>
      <c r="F18" s="942" t="n"/>
      <c r="G18" s="942" t="n"/>
      <c r="H18" s="942" t="n"/>
      <c r="I18" s="942" t="n"/>
      <c r="J18" s="1004">
        <f>SUM(E18:I18)</f>
        <v/>
      </c>
      <c r="U18" s="1005" t="n"/>
      <c r="V18" s="1005" t="n"/>
    </row>
    <row r="19" ht="13.2" customHeight="1" s="586">
      <c r="B19" s="999" t="n"/>
      <c r="C19" s="1003" t="n"/>
      <c r="D19" s="942" t="n"/>
      <c r="E19" s="942" t="n"/>
      <c r="F19" s="942" t="n"/>
      <c r="G19" s="942" t="n"/>
      <c r="H19" s="942" t="n"/>
      <c r="I19" s="942" t="n"/>
      <c r="J19" s="1004" t="n"/>
      <c r="U19" s="1005" t="n"/>
      <c r="V19" s="1005" t="n"/>
    </row>
    <row r="20" ht="13.2" customHeight="1" s="586">
      <c r="B20" s="999" t="n"/>
      <c r="C20" s="1003" t="inlineStr">
        <is>
          <t>Cost of Money</t>
        </is>
      </c>
      <c r="D20" s="942" t="n"/>
      <c r="E20" s="942" t="n"/>
      <c r="F20" s="942" t="n"/>
      <c r="G20" s="942" t="n"/>
      <c r="H20" s="942" t="n"/>
      <c r="I20" s="942" t="n"/>
      <c r="J20" s="1004">
        <f>SUM(E20:I20)</f>
        <v/>
      </c>
      <c r="U20" s="1005" t="n"/>
      <c r="V20" s="1005" t="n"/>
    </row>
    <row r="21" ht="13.2" customHeight="1" s="586">
      <c r="B21" s="999" t="n"/>
      <c r="C21" s="1003" t="n"/>
      <c r="D21" s="942" t="n"/>
      <c r="E21" s="942" t="n"/>
      <c r="F21" s="942" t="n"/>
      <c r="G21" s="942" t="n"/>
      <c r="H21" s="942" t="n"/>
      <c r="I21" s="942" t="n"/>
      <c r="J21" s="1004" t="n"/>
      <c r="U21" s="1005" t="n"/>
      <c r="V21" s="1005" t="n"/>
    </row>
    <row r="22" ht="13.2" customHeight="1" s="586">
      <c r="B22" s="999" t="n"/>
      <c r="C22" s="1003" t="inlineStr">
        <is>
          <t>Overhead</t>
        </is>
      </c>
      <c r="D22" s="942" t="n"/>
      <c r="E22" s="942" t="n"/>
      <c r="F22" s="942" t="n"/>
      <c r="G22" s="942" t="n"/>
      <c r="H22" s="942" t="n"/>
      <c r="I22" s="942" t="n"/>
      <c r="J22" s="1004">
        <f>SUM(E22:I22)</f>
        <v/>
      </c>
      <c r="U22" s="1005" t="n"/>
      <c r="V22" s="1005" t="n"/>
    </row>
    <row r="23" ht="13.2" customHeight="1" s="586">
      <c r="B23" s="999" t="n"/>
      <c r="C23" s="1003" t="n"/>
      <c r="D23" s="942" t="n"/>
      <c r="E23" s="942" t="n"/>
      <c r="F23" s="942" t="n"/>
      <c r="G23" s="942" t="n"/>
      <c r="H23" s="942" t="n"/>
      <c r="I23" s="942" t="n"/>
      <c r="J23" s="1004" t="n"/>
      <c r="U23" s="1005" t="n"/>
      <c r="V23" s="1005" t="n"/>
    </row>
    <row r="24" ht="13.2" customHeight="1" s="586">
      <c r="B24" s="999" t="n"/>
      <c r="C24" s="1003" t="inlineStr">
        <is>
          <t>Other</t>
        </is>
      </c>
      <c r="D24" s="942" t="n"/>
      <c r="E24" s="942" t="n"/>
      <c r="F24" s="942" t="n"/>
      <c r="G24" s="942" t="n"/>
      <c r="H24" s="942" t="n"/>
      <c r="I24" s="942" t="n"/>
      <c r="J24" s="1004">
        <f>SUM(E24:I24)</f>
        <v/>
      </c>
      <c r="U24" s="1005" t="n"/>
      <c r="V24" s="1005" t="n"/>
    </row>
    <row r="25" ht="13.2" customHeight="1" s="586">
      <c r="B25" s="999" t="n"/>
      <c r="C25" s="1003" t="n"/>
      <c r="D25" s="942" t="n"/>
      <c r="E25" s="942" t="n"/>
      <c r="F25" s="942" t="n"/>
      <c r="G25" s="942" t="n"/>
      <c r="H25" s="942" t="n"/>
      <c r="I25" s="942" t="n"/>
      <c r="J25" s="1004" t="n"/>
      <c r="U25" s="1005" t="n"/>
      <c r="V25" s="1005" t="n"/>
    </row>
    <row r="26" ht="13.2" customHeight="1" s="586">
      <c r="B26" s="1006" t="n"/>
      <c r="C26" s="1007" t="n"/>
      <c r="D26" s="942" t="n"/>
      <c r="E26" s="942" t="n"/>
      <c r="F26" s="942" t="n"/>
      <c r="G26" s="942" t="n"/>
      <c r="H26" s="942" t="n"/>
      <c r="I26" s="942" t="n"/>
      <c r="J26" s="1004" t="n"/>
      <c r="U26" s="1005" t="n"/>
      <c r="V26" s="1005" t="n"/>
    </row>
    <row r="27" ht="13.2" customHeight="1" s="586">
      <c r="B27" s="1006" t="n"/>
      <c r="C27" s="1007" t="n"/>
      <c r="D27" s="942" t="n"/>
      <c r="E27" s="942" t="n"/>
      <c r="F27" s="942" t="n"/>
      <c r="G27" s="942" t="n"/>
      <c r="H27" s="942" t="n"/>
      <c r="I27" s="942" t="n"/>
      <c r="J27" s="1004" t="n"/>
      <c r="U27" s="1005" t="n"/>
      <c r="V27" s="1005" t="n"/>
    </row>
    <row r="28" ht="13.8" customHeight="1" s="586">
      <c r="B28" s="1008" t="inlineStr">
        <is>
          <t>TOTAL Charge</t>
        </is>
      </c>
      <c r="C28" s="1009" t="n"/>
      <c r="D28" s="1010">
        <f>SUM(D5:D26)</f>
        <v/>
      </c>
      <c r="E28" s="1010">
        <f>SUM(E5:E26)</f>
        <v/>
      </c>
      <c r="F28" s="1010">
        <f>SUM(F5:F26)</f>
        <v/>
      </c>
      <c r="G28" s="1010">
        <f>SUM(G5:G26)</f>
        <v/>
      </c>
      <c r="H28" s="1010">
        <f>SUM(H5:H26)</f>
        <v/>
      </c>
      <c r="I28" s="1010">
        <f>SUM(I5:I26)</f>
        <v/>
      </c>
      <c r="J28" s="1011">
        <f>SUM(E28:I28)</f>
        <v/>
      </c>
      <c r="U28" s="1005" t="n"/>
      <c r="V28" s="1005" t="n"/>
    </row>
    <row r="29" ht="13.2" customHeight="1" s="586">
      <c r="R29" s="1012" t="n"/>
    </row>
  </sheetData>
  <printOptions horizontalCentered="1" verticalCentered="0" headings="0" gridLines="0" gridLinesSet="1"/>
  <pageMargins left="1" right="1" top="0.870138888888889" bottom="0.55" header="0.25" footer="0.25"/>
  <pageSetup orientation="landscape" paperSize="9"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rowBreaks count="2" manualBreakCount="2">
    <brk id="89" min="0" max="16383" man="1"/>
    <brk id="164" min="0" max="16383" man="1"/>
  </rowBreaks>
</worksheet>
</file>

<file path=xl/worksheets/sheet11.xml><?xml version="1.0" encoding="utf-8"?>
<worksheet xmlns="http://schemas.openxmlformats.org/spreadsheetml/2006/main">
  <sheetPr filterMode="0">
    <outlinePr summaryBelow="1" summaryRight="1"/>
    <pageSetUpPr fitToPage="1"/>
  </sheetPr>
  <dimension ref="A1:I21"/>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5.09" customWidth="1" style="1013" min="1" max="1"/>
    <col width="47.84" customWidth="1" style="1013" min="2" max="2"/>
    <col width="9.9" customWidth="1" style="1013" min="3" max="3"/>
    <col width="13" customWidth="1" style="1013" min="4" max="9"/>
    <col width="8.4" customWidth="1" style="1013" min="10" max="10"/>
    <col width="12.9" customWidth="1" style="1013" min="11" max="11"/>
    <col width="8.4" customWidth="1" style="1013" min="12" max="257"/>
  </cols>
  <sheetData>
    <row r="1" ht="15.6" customHeight="1" s="586">
      <c r="A1" s="1013" t="n"/>
      <c r="B1" s="987" t="inlineStr">
        <is>
          <t>PST Supplier Investments (incl. refresh)</t>
        </is>
      </c>
      <c r="C1" s="1013" t="n"/>
      <c r="D1" s="1013" t="n"/>
      <c r="E1" s="1013" t="n"/>
      <c r="F1" s="1013" t="n"/>
      <c r="G1" s="1013" t="n"/>
      <c r="H1" s="1013" t="n"/>
      <c r="I1" s="1013" t="n"/>
    </row>
    <row r="2" ht="13.2" customHeight="1" s="586">
      <c r="A2" s="1014" t="n"/>
      <c r="B2" s="1013" t="n"/>
      <c r="C2" s="1013" t="n"/>
      <c r="D2" s="1013" t="n"/>
      <c r="E2" s="1013" t="n"/>
      <c r="F2" s="1013" t="n"/>
      <c r="G2" s="1013" t="n"/>
      <c r="H2" s="1013" t="n"/>
      <c r="I2" s="1013" t="n"/>
    </row>
    <row r="3" ht="27" customHeight="1" s="586">
      <c r="A3" s="1015" t="n"/>
      <c r="B3" s="1015" t="n"/>
      <c r="C3" s="993" t="inlineStr">
        <is>
          <t>Initial Asset Purchase</t>
        </is>
      </c>
      <c r="D3" s="1016" t="inlineStr">
        <is>
          <t>Year 1</t>
        </is>
      </c>
      <c r="E3" s="1016" t="inlineStr">
        <is>
          <t>Year 2</t>
        </is>
      </c>
      <c r="F3" s="1016" t="inlineStr">
        <is>
          <t>Year 3</t>
        </is>
      </c>
      <c r="G3" s="1016" t="inlineStr">
        <is>
          <t>Year 4</t>
        </is>
      </c>
      <c r="H3" s="1016" t="inlineStr">
        <is>
          <t>Year 5</t>
        </is>
      </c>
      <c r="I3" s="993" t="inlineStr">
        <is>
          <t>Total 5 Years</t>
        </is>
      </c>
    </row>
    <row r="4" ht="13.2" customHeight="1" s="586">
      <c r="A4" s="1017" t="n"/>
      <c r="B4" s="1018" t="n"/>
      <c r="C4" s="1018" t="n"/>
      <c r="D4" s="1018" t="n"/>
      <c r="E4" s="1018" t="n"/>
      <c r="F4" s="1018" t="n"/>
      <c r="G4" s="1018" t="n"/>
      <c r="H4" s="1018" t="n"/>
      <c r="I4" s="1019" t="n"/>
    </row>
    <row r="5" ht="13.2" customHeight="1" s="586">
      <c r="A5" s="1020" t="n"/>
      <c r="B5" s="1021" t="inlineStr">
        <is>
          <t>EUC Assets</t>
        </is>
      </c>
      <c r="C5" s="1021" t="n"/>
      <c r="D5" s="942" t="n">
        <v>294000</v>
      </c>
      <c r="E5" s="942" t="n"/>
      <c r="F5" s="942" t="n"/>
      <c r="G5" s="942" t="n"/>
      <c r="H5" s="942" t="n"/>
      <c r="I5" s="1022">
        <f>SUM(C5:H5)</f>
        <v/>
      </c>
    </row>
    <row r="6" ht="13.2" customHeight="1" s="586">
      <c r="A6" s="1020" t="n"/>
      <c r="B6" s="1023" t="n"/>
      <c r="C6" s="1023" t="n"/>
      <c r="D6" s="942" t="n"/>
      <c r="E6" s="942" t="n"/>
      <c r="F6" s="942" t="n"/>
      <c r="G6" s="942" t="n"/>
      <c r="H6" s="942" t="n"/>
      <c r="I6" s="1024" t="n"/>
    </row>
    <row r="7" ht="13.2" customHeight="1" s="586">
      <c r="A7" s="1020" t="n"/>
      <c r="B7" s="1021" t="inlineStr">
        <is>
          <t>Service Desk Assets</t>
        </is>
      </c>
      <c r="C7" s="1021" t="n"/>
      <c r="D7" s="942" t="n"/>
      <c r="E7" s="942" t="n"/>
      <c r="F7" s="942" t="n"/>
      <c r="G7" s="942" t="n"/>
      <c r="H7" s="942" t="n"/>
      <c r="I7" s="1022">
        <f>SUM(C7:H7)</f>
        <v/>
      </c>
    </row>
    <row r="8" ht="13.2" customHeight="1" s="586">
      <c r="A8" s="1020" t="n"/>
      <c r="B8" s="1023" t="n"/>
      <c r="C8" s="1023" t="n"/>
      <c r="D8" s="942" t="n"/>
      <c r="E8" s="942" t="n"/>
      <c r="F8" s="942" t="n"/>
      <c r="G8" s="942" t="n"/>
      <c r="H8" s="942" t="n"/>
      <c r="I8" s="1025" t="n"/>
    </row>
    <row r="9" ht="13.2" customHeight="1" s="586">
      <c r="A9" s="1020" t="n"/>
      <c r="B9" s="1021" t="inlineStr">
        <is>
          <t>LAN Assets</t>
        </is>
      </c>
      <c r="C9" s="1021" t="n"/>
      <c r="D9" s="942" t="n"/>
      <c r="E9" s="942" t="n">
        <v>5440000</v>
      </c>
      <c r="F9" s="942" t="n"/>
      <c r="G9" s="942" t="n"/>
      <c r="H9" s="942" t="n"/>
      <c r="I9" s="1004">
        <f>SUM(C9:H9)</f>
        <v/>
      </c>
    </row>
    <row r="10" ht="13.2" customHeight="1" s="586">
      <c r="A10" s="1020" t="n"/>
      <c r="B10" s="1026" t="n"/>
      <c r="C10" s="1026" t="n"/>
      <c r="D10" s="942" t="n"/>
      <c r="E10" s="942" t="n"/>
      <c r="F10" s="942" t="n"/>
      <c r="G10" s="942" t="n"/>
      <c r="H10" s="942" t="n"/>
      <c r="I10" s="1025" t="n"/>
    </row>
    <row r="11" ht="13.2" customHeight="1" s="586">
      <c r="A11" s="1020" t="n"/>
      <c r="B11" s="1021" t="inlineStr">
        <is>
          <t>Voice Assets</t>
        </is>
      </c>
      <c r="C11" s="1001" t="n"/>
      <c r="D11" s="942" t="n">
        <v>4400000</v>
      </c>
      <c r="E11" s="942" t="n">
        <v>1000000</v>
      </c>
      <c r="F11" s="942" t="n">
        <v>1000000</v>
      </c>
      <c r="G11" s="942" t="n">
        <v>1000000</v>
      </c>
      <c r="H11" s="942" t="n"/>
      <c r="I11" s="1004">
        <f>SUM(C11:H11)</f>
        <v/>
      </c>
    </row>
    <row r="12" ht="13.2" customHeight="1" s="586">
      <c r="A12" s="1020" t="n"/>
      <c r="B12" s="1021" t="n"/>
      <c r="C12" s="1001" t="n"/>
      <c r="D12" s="942" t="n"/>
      <c r="E12" s="942" t="n"/>
      <c r="F12" s="942" t="n"/>
      <c r="G12" s="942" t="n"/>
      <c r="H12" s="942" t="n"/>
      <c r="I12" s="1027" t="n"/>
    </row>
    <row r="13" ht="13.2" customHeight="1" s="586">
      <c r="A13" s="1020" t="n"/>
      <c r="B13" s="1021" t="inlineStr">
        <is>
          <t>Desktop Hardware Assets</t>
        </is>
      </c>
      <c r="C13" s="1001" t="n"/>
      <c r="D13" s="942" t="n">
        <v>22089435.267966</v>
      </c>
      <c r="E13" s="942" t="n">
        <v>8389138.267965989</v>
      </c>
      <c r="F13" s="942" t="n">
        <v>10641323.267966</v>
      </c>
      <c r="G13" s="942" t="n">
        <v>22089435.267966</v>
      </c>
      <c r="H13" s="942" t="n">
        <v>8389138.267965989</v>
      </c>
      <c r="I13" s="1004">
        <f>SUM(C13:H13)</f>
        <v/>
      </c>
    </row>
    <row r="14" ht="13.2" customHeight="1" s="586">
      <c r="A14" s="1020" t="n"/>
      <c r="B14" s="1021" t="n"/>
      <c r="C14" s="1001" t="n"/>
      <c r="D14" s="942" t="n"/>
      <c r="E14" s="942" t="n"/>
      <c r="F14" s="942" t="n"/>
      <c r="G14" s="942" t="n"/>
      <c r="H14" s="942" t="n"/>
      <c r="I14" s="1027" t="n"/>
    </row>
    <row r="15" ht="13.2" customHeight="1" s="586">
      <c r="A15" s="1020" t="n"/>
      <c r="B15" s="1021" t="inlineStr">
        <is>
          <t>Server Management Assets</t>
        </is>
      </c>
      <c r="C15" s="1001" t="n"/>
      <c r="D15" s="942" t="n">
        <v>2137933.5</v>
      </c>
      <c r="E15" s="942" t="n">
        <v>2128486.5</v>
      </c>
      <c r="F15" s="942" t="n">
        <v>3782288.5</v>
      </c>
      <c r="G15" s="942" t="n">
        <v>2137933.5</v>
      </c>
      <c r="H15" s="942" t="n">
        <v>2128486.5</v>
      </c>
      <c r="I15" s="1004">
        <f>SUM(C15:H15)</f>
        <v/>
      </c>
    </row>
    <row r="16" ht="13.2" customHeight="1" s="586">
      <c r="A16" s="1020" t="n"/>
      <c r="B16" s="1021" t="n"/>
      <c r="C16" s="1001" t="n"/>
      <c r="D16" s="942" t="n"/>
      <c r="E16" s="942" t="n"/>
      <c r="F16" s="942" t="n"/>
      <c r="G16" s="942" t="n"/>
      <c r="H16" s="942" t="n"/>
      <c r="I16" s="1027" t="n"/>
    </row>
    <row r="17" ht="13.2" customHeight="1" s="586">
      <c r="A17" s="1020" t="n"/>
      <c r="B17" s="1021" t="inlineStr">
        <is>
          <t>2IM</t>
        </is>
      </c>
      <c r="C17" s="1001" t="n"/>
      <c r="D17" s="942" t="n"/>
      <c r="E17" s="942" t="n"/>
      <c r="F17" s="942" t="n"/>
      <c r="G17" s="942" t="n"/>
      <c r="H17" s="942" t="n"/>
      <c r="I17" s="1004">
        <f>SUM(C17:H17)</f>
        <v/>
      </c>
    </row>
    <row r="18" ht="13.2" customHeight="1" s="586">
      <c r="A18" s="1020" t="n"/>
      <c r="B18" s="1021" t="n"/>
      <c r="C18" s="1001" t="n"/>
      <c r="D18" s="942" t="n"/>
      <c r="E18" s="942" t="n"/>
      <c r="F18" s="942" t="n"/>
      <c r="G18" s="942" t="n"/>
      <c r="H18" s="942" t="n"/>
      <c r="I18" s="1027" t="n"/>
    </row>
    <row r="19" ht="13.2" customHeight="1" s="586">
      <c r="A19" s="1028" t="n"/>
      <c r="B19" s="1021" t="inlineStr">
        <is>
          <t>Other Investments</t>
        </is>
      </c>
      <c r="C19" s="1001" t="n"/>
      <c r="D19" s="942" t="n"/>
      <c r="E19" s="942" t="n"/>
      <c r="F19" s="942" t="n"/>
      <c r="G19" s="942" t="n"/>
      <c r="H19" s="942" t="n"/>
      <c r="I19" s="1004">
        <f>SUM(C19:H19)</f>
        <v/>
      </c>
    </row>
    <row r="20" ht="13.2" customHeight="1" s="586">
      <c r="A20" s="1029" t="n"/>
      <c r="B20" s="1030" t="n"/>
      <c r="C20" s="1031" t="n"/>
      <c r="D20" s="1032" t="n"/>
      <c r="E20" s="1032" t="n"/>
      <c r="F20" s="1032" t="n"/>
      <c r="G20" s="1032" t="n"/>
      <c r="H20" s="1032" t="n"/>
      <c r="I20" s="1033" t="n"/>
    </row>
    <row r="21" ht="14.25" customHeight="1" s="586">
      <c r="A21" s="1034" t="inlineStr">
        <is>
          <t>TOTAL INVESTMENTS</t>
        </is>
      </c>
      <c r="B21" s="1035" t="n"/>
      <c r="C21" s="1036">
        <f>SUM(C5:C19)</f>
        <v/>
      </c>
      <c r="D21" s="1010">
        <f>SUM(D5:D19)</f>
        <v/>
      </c>
      <c r="E21" s="1010">
        <f>SUM(E5:E19)</f>
        <v/>
      </c>
      <c r="F21" s="1010">
        <f>SUM(F5:F19)</f>
        <v/>
      </c>
      <c r="G21" s="1010">
        <f>SUM(G5:G19)</f>
        <v/>
      </c>
      <c r="H21" s="1010">
        <f>SUM(H5:H19)</f>
        <v/>
      </c>
      <c r="I21" s="1011">
        <f>SUM(C21:H21)</f>
        <v/>
      </c>
    </row>
  </sheetData>
  <printOptions horizontalCentered="1" verticalCentered="0" headings="0" gridLines="0" gridLinesSet="1"/>
  <pageMargins left="1" right="1" top="0.820138888888889" bottom="0.559722222222222" header="0.25" footer="0.25"/>
  <pageSetup orientation="landscape" paperSize="9"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 &amp;C&amp;"Times New Roman,Regular"&amp;8 &amp;KffffffAttach 4-A  &amp;A  &amp;P&amp;R&amp;"Times New Roman,Regular"&amp;8 &amp;Kffffff&amp;D</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BT205"/>
  <sheetViews>
    <sheetView showFormulas="0" showGridLines="1" showRowColHeaders="1" showZeros="1" rightToLeft="0" tabSelected="0" showOutlineSymbols="1" defaultGridColor="1" view="normal" topLeftCell="A1" colorId="64" zoomScale="85" zoomScaleNormal="85"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baseColWidth="8" defaultColWidth="9.59765625" defaultRowHeight="13.2" customHeight="1" zeroHeight="0" outlineLevelRow="0"/>
  <cols>
    <col width="12.7" customWidth="1" style="1037" min="1" max="1"/>
    <col width="8.49" customWidth="1" style="1037" min="2" max="2"/>
    <col width="31.52" customWidth="1" style="1037" min="3" max="3"/>
    <col width="17.81" customWidth="1" style="1038" min="4" max="4"/>
    <col width="14.4" customWidth="1" style="1037" min="5" max="5"/>
    <col width="11.8" customWidth="1" style="1037" min="6" max="6"/>
    <col width="18.6" customWidth="1" style="1037" min="7" max="7"/>
    <col width="13.2" customWidth="1" style="1037" min="8" max="12"/>
    <col width="9.6" customWidth="1" style="1037" min="13" max="72"/>
    <col width="9.6" customWidth="1" style="1037" min="73" max="257"/>
  </cols>
  <sheetData>
    <row r="1" ht="52.5" customHeight="1" s="586">
      <c r="A1" s="1039" t="inlineStr">
        <is>
          <t>Bundle</t>
        </is>
      </c>
      <c r="B1" s="1040" t="inlineStr">
        <is>
          <t>Country</t>
        </is>
      </c>
      <c r="C1" s="1040" t="inlineStr">
        <is>
          <t>Description</t>
        </is>
      </c>
      <c r="D1" s="1041" t="inlineStr">
        <is>
          <t>I = Investment
L = Lease
C = Contract
D = Direct Expence</t>
        </is>
      </c>
      <c r="E1" s="1040" t="inlineStr">
        <is>
          <t>Investment amount</t>
        </is>
      </c>
      <c r="F1" s="1040" t="inlineStr">
        <is>
          <t>Start Date
(month)</t>
        </is>
      </c>
      <c r="G1" s="1040" t="inlineStr">
        <is>
          <t>Duration (months)</t>
        </is>
      </c>
      <c r="H1" s="1042" t="inlineStr">
        <is>
          <t>Y1</t>
        </is>
      </c>
      <c r="I1" s="1042" t="inlineStr">
        <is>
          <t>Y2</t>
        </is>
      </c>
      <c r="J1" s="1042" t="inlineStr">
        <is>
          <t>Y3</t>
        </is>
      </c>
      <c r="K1" s="1042" t="inlineStr">
        <is>
          <t>Y4</t>
        </is>
      </c>
      <c r="L1" s="1043" t="inlineStr">
        <is>
          <t>Y5</t>
        </is>
      </c>
      <c r="M1" s="1044" t="n"/>
      <c r="N1" s="1044" t="n"/>
      <c r="O1" s="1044" t="n"/>
      <c r="P1" s="1044" t="n"/>
      <c r="Q1" s="1044" t="n"/>
      <c r="R1" s="1044" t="n"/>
      <c r="S1" s="1044" t="n"/>
      <c r="T1" s="1044" t="n"/>
      <c r="U1" s="1044" t="n"/>
      <c r="V1" s="1044" t="n"/>
      <c r="W1" s="1044" t="n"/>
      <c r="X1" s="1044" t="n"/>
      <c r="Y1" s="1044" t="n"/>
      <c r="Z1" s="1044" t="n"/>
      <c r="AA1" s="1044" t="n"/>
      <c r="AB1" s="1044" t="n"/>
      <c r="AC1" s="1044" t="n"/>
      <c r="AD1" s="1044" t="n"/>
      <c r="AE1" s="1044" t="n"/>
      <c r="AF1" s="1044" t="n"/>
      <c r="AG1" s="1044" t="n"/>
      <c r="AH1" s="1044" t="n"/>
      <c r="AI1" s="1044" t="n"/>
      <c r="AJ1" s="1044" t="n"/>
      <c r="AK1" s="1044" t="n"/>
      <c r="AL1" s="1044" t="n"/>
      <c r="AM1" s="1044" t="n"/>
      <c r="AN1" s="1044" t="n"/>
      <c r="AO1" s="1044" t="n"/>
      <c r="AP1" s="1044" t="n"/>
      <c r="AQ1" s="1044" t="n"/>
      <c r="AR1" s="1044" t="n"/>
      <c r="AS1" s="1044" t="n"/>
      <c r="AT1" s="1044" t="n"/>
      <c r="AU1" s="1044" t="n"/>
      <c r="AV1" s="1044" t="n"/>
      <c r="AW1" s="1044" t="n"/>
      <c r="AX1" s="1044" t="n"/>
      <c r="AY1" s="1044" t="n"/>
      <c r="AZ1" s="1044" t="n"/>
      <c r="BA1" s="1044" t="n"/>
      <c r="BB1" s="1044" t="n"/>
      <c r="BC1" s="1044" t="n"/>
      <c r="BD1" s="1044" t="n"/>
      <c r="BE1" s="1044" t="n"/>
      <c r="BF1" s="1044" t="n"/>
      <c r="BG1" s="1044" t="n"/>
      <c r="BH1" s="1044" t="n"/>
      <c r="BI1" s="1044" t="n"/>
      <c r="BJ1" s="1044" t="n"/>
      <c r="BK1" s="1044" t="n"/>
      <c r="BL1" s="1044" t="n"/>
      <c r="BM1" s="1044" t="n"/>
      <c r="BN1" s="1044" t="n"/>
      <c r="BO1" s="1044" t="n"/>
      <c r="BP1" s="1044" t="n"/>
      <c r="BQ1" s="1044" t="n"/>
      <c r="BR1" s="1044" t="n"/>
      <c r="BS1" s="1044" t="n"/>
      <c r="BT1" s="1044" t="n"/>
    </row>
    <row r="2" ht="13.2" customHeight="1" s="586">
      <c r="A2" s="1045" t="n"/>
      <c r="B2" s="1046" t="n"/>
      <c r="C2" s="1047" t="inlineStr">
        <is>
          <t>Subtotals</t>
        </is>
      </c>
      <c r="D2" s="1048" t="n"/>
      <c r="E2" s="1049" t="n"/>
      <c r="F2" s="1046" t="n"/>
      <c r="G2" s="1046" t="n"/>
      <c r="H2" s="1049" t="n"/>
      <c r="I2" s="1049" t="n"/>
      <c r="J2" s="1049" t="n"/>
      <c r="K2" s="1049" t="n"/>
      <c r="L2" s="1050" t="n"/>
    </row>
    <row r="3" ht="13.2" customHeight="1" s="586">
      <c r="A3" s="1051" t="n"/>
      <c r="B3" s="1052" t="n"/>
      <c r="C3" s="1052" t="inlineStr">
        <is>
          <t>LAN</t>
        </is>
      </c>
      <c r="D3" s="1053" t="n"/>
      <c r="E3" s="1054" t="n"/>
      <c r="F3" s="1052" t="n"/>
      <c r="G3" s="1052" t="n"/>
      <c r="H3" s="1055">
        <f>SUM(H10:H14)</f>
        <v/>
      </c>
      <c r="I3" s="1055">
        <f>SUM(I10:I14)</f>
        <v/>
      </c>
      <c r="J3" s="1055">
        <f>SUM(J10:J14)</f>
        <v/>
      </c>
      <c r="K3" s="1055">
        <f>SUM(K10:K14)</f>
        <v/>
      </c>
      <c r="L3" s="1025">
        <f>SUM(L10:L14)</f>
        <v/>
      </c>
    </row>
    <row r="4" ht="13.2" customHeight="1" s="586">
      <c r="A4" s="1051" t="n"/>
      <c r="B4" s="1052" t="n"/>
      <c r="C4" s="1052" t="inlineStr">
        <is>
          <t>Voice</t>
        </is>
      </c>
      <c r="D4" s="1053" t="n"/>
      <c r="E4" s="1054" t="n"/>
      <c r="F4" s="1052" t="n"/>
      <c r="G4" s="1052" t="n"/>
      <c r="H4" s="1054">
        <f>SUM(H17:H34)</f>
        <v/>
      </c>
      <c r="I4" s="1054">
        <f>SUM(I17:I34)</f>
        <v/>
      </c>
      <c r="J4" s="1054">
        <f>SUM(J17:J34)</f>
        <v/>
      </c>
      <c r="K4" s="1054">
        <f>SUM(K17:K34)</f>
        <v/>
      </c>
      <c r="L4" s="1056">
        <f>SUM(L17:L34)</f>
        <v/>
      </c>
    </row>
    <row r="5" ht="13.2" customHeight="1" s="586">
      <c r="A5" s="1051" t="n"/>
      <c r="B5" s="1052" t="n"/>
      <c r="C5" s="1052" t="inlineStr">
        <is>
          <t>Desktop HW</t>
        </is>
      </c>
      <c r="D5" s="1053" t="n"/>
      <c r="E5" s="1054" t="n"/>
      <c r="F5" s="1052" t="n"/>
      <c r="G5" s="1052" t="n"/>
      <c r="H5" s="1054">
        <f>SUM(H36:H149)</f>
        <v/>
      </c>
      <c r="I5" s="1054">
        <f>SUM(I36:I149)</f>
        <v/>
      </c>
      <c r="J5" s="1054">
        <f>SUM(J36:J149)</f>
        <v/>
      </c>
      <c r="K5" s="1054">
        <f>SUM(K36:K149)</f>
        <v/>
      </c>
      <c r="L5" s="1056">
        <f>SUM(L36:L149)</f>
        <v/>
      </c>
    </row>
    <row r="6" ht="13.2" customHeight="1" s="586">
      <c r="A6" s="1051" t="n"/>
      <c r="B6" s="1052" t="n"/>
      <c r="C6" s="1052" t="inlineStr">
        <is>
          <t>Server</t>
        </is>
      </c>
      <c r="D6" s="1053" t="n"/>
      <c r="E6" s="1054" t="n"/>
      <c r="F6" s="1052" t="n"/>
      <c r="G6" s="1052" t="n"/>
      <c r="H6" s="1054">
        <f>SUM(H151:H201)</f>
        <v/>
      </c>
      <c r="I6" s="1054">
        <f>SUM(I151:I201)</f>
        <v/>
      </c>
      <c r="J6" s="1054">
        <f>SUM(J151:J201)</f>
        <v/>
      </c>
      <c r="K6" s="1054">
        <f>SUM(K151:K201)</f>
        <v/>
      </c>
      <c r="L6" s="1056">
        <f>SUM(L151:L201)</f>
        <v/>
      </c>
    </row>
    <row r="7" ht="13.2" customHeight="1" s="586">
      <c r="A7" s="1051" t="n"/>
      <c r="B7" s="1052" t="n"/>
      <c r="C7" s="1052" t="inlineStr">
        <is>
          <t>2IM</t>
        </is>
      </c>
      <c r="D7" s="1053" t="n"/>
      <c r="E7" s="1054" t="n"/>
      <c r="F7" s="1052" t="n"/>
      <c r="G7" s="1052" t="n"/>
      <c r="H7" s="1054">
        <f>SUM(H203:H204)</f>
        <v/>
      </c>
      <c r="I7" s="1054">
        <f>SUM(I203:I204)</f>
        <v/>
      </c>
      <c r="J7" s="1054">
        <f>SUM(J203:J204)</f>
        <v/>
      </c>
      <c r="K7" s="1054">
        <f>SUM(K203:K204)</f>
        <v/>
      </c>
      <c r="L7" s="1056">
        <f>SUM(L203:L204)</f>
        <v/>
      </c>
    </row>
    <row r="8" ht="13.8" customHeight="1" s="586">
      <c r="A8" s="1057" t="n"/>
      <c r="B8" s="1058" t="n"/>
      <c r="C8" s="1058" t="inlineStr">
        <is>
          <t>Grand Total</t>
        </is>
      </c>
      <c r="D8" s="1059" t="n"/>
      <c r="E8" s="1058" t="n"/>
      <c r="F8" s="1058" t="n"/>
      <c r="G8" s="1058" t="n"/>
      <c r="H8" s="1060">
        <f>SUM(H3:H7)</f>
        <v/>
      </c>
      <c r="I8" s="1060">
        <f>SUM(I3:I7)</f>
        <v/>
      </c>
      <c r="J8" s="1060">
        <f>SUM(J3:J7)</f>
        <v/>
      </c>
      <c r="K8" s="1060">
        <f>SUM(K3:K7)</f>
        <v/>
      </c>
      <c r="L8" s="1061">
        <f>SUM(L3:L7)</f>
        <v/>
      </c>
    </row>
    <row r="9" ht="13.8" customHeight="1" s="586">
      <c r="A9" s="1051" t="n"/>
      <c r="B9" s="1052" t="n"/>
      <c r="C9" s="1052" t="n"/>
      <c r="D9" s="1053" t="n"/>
      <c r="E9" s="1054" t="n"/>
      <c r="F9" s="1052" t="n"/>
      <c r="G9" s="1052" t="n"/>
      <c r="H9" s="1052" t="n"/>
      <c r="I9" s="1052" t="n"/>
      <c r="J9" s="1052" t="n"/>
      <c r="K9" s="1052" t="n"/>
      <c r="L9" s="1062" t="n"/>
    </row>
    <row r="10" ht="13.2" customHeight="1" s="586">
      <c r="A10" s="1051" t="inlineStr">
        <is>
          <t>LAN</t>
        </is>
      </c>
      <c r="B10" s="1052" t="inlineStr">
        <is>
          <t>NL</t>
        </is>
      </c>
      <c r="C10" s="1052" t="n"/>
      <c r="D10" s="1053" t="inlineStr">
        <is>
          <t>I</t>
        </is>
      </c>
      <c r="E10" s="1054" t="n">
        <v>0</v>
      </c>
      <c r="F10" s="1052" t="n"/>
      <c r="G10" s="1052" t="n"/>
      <c r="H10" s="1063" t="n">
        <v>0</v>
      </c>
      <c r="I10" s="1063" t="n">
        <v>0</v>
      </c>
      <c r="J10" s="1063" t="n">
        <v>0</v>
      </c>
      <c r="K10" s="1063" t="n">
        <v>0</v>
      </c>
      <c r="L10" s="1056" t="n"/>
    </row>
    <row r="11" ht="13.2" customHeight="1" s="586">
      <c r="A11" s="1051" t="inlineStr">
        <is>
          <t>LAN</t>
        </is>
      </c>
      <c r="B11" s="1052" t="inlineStr">
        <is>
          <t>NL</t>
        </is>
      </c>
      <c r="C11" s="1052" t="inlineStr">
        <is>
          <t>Management connections</t>
        </is>
      </c>
      <c r="D11" s="1053" t="inlineStr">
        <is>
          <t>C</t>
        </is>
      </c>
      <c r="E11" s="1054" t="n"/>
      <c r="F11" s="1052" t="n"/>
      <c r="G11" s="1052" t="n"/>
      <c r="H11" s="1055" t="n">
        <v>196512</v>
      </c>
      <c r="I11" s="1055" t="n">
        <v>196512</v>
      </c>
      <c r="J11" s="1055" t="n">
        <v>196512</v>
      </c>
      <c r="K11" s="1055" t="n">
        <v>196512</v>
      </c>
      <c r="L11" s="1025" t="n">
        <v>196512</v>
      </c>
    </row>
    <row r="12" ht="13.2" customHeight="1" s="586">
      <c r="A12" s="1051" t="n"/>
      <c r="B12" s="1052" t="n"/>
      <c r="C12" s="1052" t="n"/>
      <c r="D12" s="1053" t="n"/>
      <c r="E12" s="1054" t="n"/>
      <c r="F12" s="1052" t="n"/>
      <c r="G12" s="1052" t="n"/>
      <c r="H12" s="1052" t="n"/>
      <c r="I12" s="1052" t="n"/>
      <c r="J12" s="1054" t="n"/>
      <c r="K12" s="1054" t="n"/>
      <c r="L12" s="1056" t="n"/>
    </row>
    <row r="13" ht="13.2" customHeight="1" s="586">
      <c r="A13" s="1051" t="inlineStr">
        <is>
          <t xml:space="preserve">LAN </t>
        </is>
      </c>
      <c r="B13" s="1052" t="inlineStr">
        <is>
          <t>BE</t>
        </is>
      </c>
      <c r="C13" s="1052" t="n"/>
      <c r="D13" s="1053" t="inlineStr">
        <is>
          <t>I</t>
        </is>
      </c>
      <c r="E13" s="1054" t="n">
        <v>0</v>
      </c>
      <c r="F13" s="1052" t="n"/>
      <c r="G13" s="1052" t="n"/>
      <c r="H13" s="1063" t="n">
        <v>0</v>
      </c>
      <c r="I13" s="1063" t="n">
        <v>0</v>
      </c>
      <c r="J13" s="1063" t="n">
        <v>0</v>
      </c>
      <c r="K13" s="1063" t="n">
        <v>0</v>
      </c>
      <c r="L13" s="1056" t="n"/>
    </row>
    <row r="14" ht="13.2" customHeight="1" s="586">
      <c r="A14" s="1051" t="inlineStr">
        <is>
          <t xml:space="preserve">LAN </t>
        </is>
      </c>
      <c r="B14" s="1052" t="inlineStr">
        <is>
          <t>BE</t>
        </is>
      </c>
      <c r="C14" s="1052" t="n"/>
      <c r="D14" s="1053" t="n"/>
      <c r="E14" s="1054" t="n"/>
      <c r="F14" s="1052" t="n"/>
      <c r="G14" s="1052" t="n"/>
      <c r="H14" s="1054" t="n"/>
      <c r="I14" s="1054" t="n"/>
      <c r="J14" s="1054" t="n"/>
      <c r="K14" s="1054" t="n"/>
      <c r="L14" s="1056" t="n"/>
    </row>
    <row r="15" ht="13.2" customHeight="1" s="586">
      <c r="A15" s="1051" t="n"/>
      <c r="B15" s="1052" t="n"/>
      <c r="C15" s="1052" t="n"/>
      <c r="D15" s="1053" t="n"/>
      <c r="E15" s="1054" t="n"/>
      <c r="F15" s="1052" t="n"/>
      <c r="G15" s="1052" t="n"/>
      <c r="H15" s="1052" t="n"/>
      <c r="I15" s="1052" t="n"/>
      <c r="J15" s="1052" t="n"/>
      <c r="K15" s="1052" t="n"/>
      <c r="L15" s="1062" t="n"/>
    </row>
    <row r="16" ht="13.2" customHeight="1" s="586">
      <c r="A16" s="1051" t="n"/>
      <c r="B16" s="1052" t="n"/>
      <c r="C16" s="1052" t="n"/>
      <c r="D16" s="1053" t="n"/>
      <c r="E16" s="1054" t="n"/>
      <c r="F16" s="1052" t="n"/>
      <c r="G16" s="1052" t="n"/>
      <c r="H16" s="1052" t="n"/>
      <c r="I16" s="1052" t="n"/>
      <c r="J16" s="1052" t="n"/>
      <c r="K16" s="1052" t="n"/>
      <c r="L16" s="1062" t="n"/>
    </row>
    <row r="17" ht="13.2" customHeight="1" s="586">
      <c r="A17" s="1051" t="inlineStr">
        <is>
          <t>Voice</t>
        </is>
      </c>
      <c r="B17" s="1052" t="inlineStr">
        <is>
          <t>NL</t>
        </is>
      </c>
      <c r="C17" s="1052" t="inlineStr">
        <is>
          <t>Refresh</t>
        </is>
      </c>
      <c r="D17" s="1053" t="inlineStr">
        <is>
          <t>I</t>
        </is>
      </c>
      <c r="E17" s="1054" t="n"/>
      <c r="F17" s="1052" t="n"/>
      <c r="G17" s="1052" t="n"/>
      <c r="H17" s="1054" t="n"/>
      <c r="I17" s="1054" t="n"/>
      <c r="J17" s="1054" t="n"/>
      <c r="K17" s="1054" t="n"/>
      <c r="L17" s="1056" t="n"/>
    </row>
    <row r="18" ht="13.2" customHeight="1" s="586">
      <c r="A18" s="1051" t="inlineStr">
        <is>
          <t>Voice</t>
        </is>
      </c>
      <c r="B18" s="1052" t="inlineStr">
        <is>
          <t>NL</t>
        </is>
      </c>
      <c r="C18" s="1052" t="n"/>
      <c r="D18" s="1053" t="inlineStr">
        <is>
          <t>I</t>
        </is>
      </c>
      <c r="E18" s="1054" t="n"/>
      <c r="F18" s="1052" t="n"/>
      <c r="G18" s="1052" t="n"/>
      <c r="H18" s="1054" t="n"/>
      <c r="I18" s="1054" t="n"/>
      <c r="J18" s="1054" t="n"/>
      <c r="K18" s="1054" t="n"/>
      <c r="L18" s="1056" t="n"/>
    </row>
    <row r="19" ht="13.2" customHeight="1" s="586">
      <c r="A19" s="1051" t="inlineStr">
        <is>
          <t>Voice</t>
        </is>
      </c>
      <c r="B19" s="1052" t="inlineStr">
        <is>
          <t>NL</t>
        </is>
      </c>
      <c r="C19" s="1052" t="n"/>
      <c r="D19" s="1053" t="inlineStr">
        <is>
          <t>I</t>
        </is>
      </c>
      <c r="E19" s="1054" t="n"/>
      <c r="F19" s="1052" t="n"/>
      <c r="G19" s="1052" t="n"/>
      <c r="H19" s="1054" t="n"/>
      <c r="I19" s="1054" t="n"/>
      <c r="J19" s="1054" t="n"/>
      <c r="K19" s="1054" t="n"/>
      <c r="L19" s="1056" t="n"/>
    </row>
    <row r="20" ht="13.2" customHeight="1" s="586">
      <c r="A20" s="1051" t="inlineStr">
        <is>
          <t>Voice</t>
        </is>
      </c>
      <c r="B20" s="1052" t="inlineStr">
        <is>
          <t>NL</t>
        </is>
      </c>
      <c r="C20" s="1052" t="n"/>
      <c r="D20" s="1053" t="inlineStr">
        <is>
          <t>I</t>
        </is>
      </c>
      <c r="E20" s="1054" t="n"/>
      <c r="F20" s="1052" t="n"/>
      <c r="G20" s="1052" t="n"/>
      <c r="H20" s="1054" t="n"/>
      <c r="I20" s="1054" t="n"/>
      <c r="J20" s="1054" t="n"/>
      <c r="K20" s="1054" t="n"/>
      <c r="L20" s="1056" t="n"/>
    </row>
    <row r="21" ht="13.2" customHeight="1" s="586">
      <c r="A21" s="1051" t="inlineStr">
        <is>
          <t>Voice</t>
        </is>
      </c>
      <c r="B21" s="1052" t="inlineStr">
        <is>
          <t>NL</t>
        </is>
      </c>
      <c r="C21" s="1052" t="n"/>
      <c r="D21" s="1053" t="inlineStr">
        <is>
          <t>I</t>
        </is>
      </c>
      <c r="E21" s="1054" t="n"/>
      <c r="F21" s="1052" t="n"/>
      <c r="G21" s="1052" t="n"/>
      <c r="H21" s="1054" t="n"/>
      <c r="I21" s="1054" t="n"/>
      <c r="J21" s="1054" t="n"/>
      <c r="K21" s="1054" t="n"/>
      <c r="L21" s="1056" t="n"/>
    </row>
    <row r="22" ht="13.2" customHeight="1" s="586">
      <c r="A22" s="1051" t="inlineStr">
        <is>
          <t>Voice</t>
        </is>
      </c>
      <c r="B22" s="1052" t="inlineStr">
        <is>
          <t>NL</t>
        </is>
      </c>
      <c r="C22" s="1052" t="n"/>
      <c r="D22" s="1053" t="inlineStr">
        <is>
          <t>I</t>
        </is>
      </c>
      <c r="E22" s="1054" t="n"/>
      <c r="F22" s="1052" t="n"/>
      <c r="G22" s="1052" t="n"/>
      <c r="H22" s="1054" t="n"/>
      <c r="I22" s="1054" t="n"/>
      <c r="J22" s="1054" t="n"/>
      <c r="K22" s="1054" t="n"/>
      <c r="L22" s="1056" t="n"/>
    </row>
    <row r="23" ht="13.2" customHeight="1" s="586">
      <c r="A23" s="1051" t="inlineStr">
        <is>
          <t>Voice</t>
        </is>
      </c>
      <c r="B23" s="1052" t="inlineStr">
        <is>
          <t>NL</t>
        </is>
      </c>
      <c r="C23" s="1052" t="n"/>
      <c r="D23" s="1053" t="inlineStr">
        <is>
          <t>I</t>
        </is>
      </c>
      <c r="E23" s="1054" t="n"/>
      <c r="F23" s="1052" t="n"/>
      <c r="G23" s="1052" t="n"/>
      <c r="H23" s="1054" t="n"/>
      <c r="I23" s="1054" t="n"/>
      <c r="J23" s="1054" t="n"/>
      <c r="K23" s="1054" t="n"/>
      <c r="L23" s="1056" t="n"/>
    </row>
    <row r="24" ht="13.2" customHeight="1" s="586">
      <c r="A24" s="1051" t="inlineStr">
        <is>
          <t>Voice</t>
        </is>
      </c>
      <c r="B24" s="1052" t="inlineStr">
        <is>
          <t>NL</t>
        </is>
      </c>
      <c r="C24" s="1052" t="inlineStr">
        <is>
          <t>Acquisition assets (excl. Fin costs)</t>
        </is>
      </c>
      <c r="D24" s="1053" t="inlineStr">
        <is>
          <t>I</t>
        </is>
      </c>
      <c r="E24" s="1054" t="n"/>
      <c r="F24" s="1052" t="n"/>
      <c r="G24" s="1052" t="n"/>
      <c r="H24" s="1054" t="n"/>
      <c r="I24" s="1054" t="n"/>
      <c r="J24" s="1054" t="n"/>
      <c r="K24" s="1054" t="n"/>
      <c r="L24" s="1056" t="n"/>
    </row>
    <row r="25" ht="13.2" customHeight="1" s="586">
      <c r="A25" s="1051" t="n"/>
      <c r="B25" s="1052" t="n"/>
      <c r="C25" s="1052" t="n"/>
      <c r="D25" s="1053" t="n"/>
      <c r="E25" s="1054" t="n"/>
      <c r="F25" s="1052" t="n"/>
      <c r="G25" s="1052" t="n"/>
      <c r="H25" s="1052" t="n"/>
      <c r="I25" s="1052" t="n"/>
      <c r="J25" s="1052" t="n"/>
      <c r="K25" s="1052" t="n"/>
      <c r="L25" s="1062" t="n"/>
    </row>
    <row r="26" ht="13.2" customHeight="1" s="586">
      <c r="A26" s="1051" t="n"/>
      <c r="B26" s="1052" t="n"/>
      <c r="C26" s="1052" t="n"/>
      <c r="D26" s="1053" t="n"/>
      <c r="E26" s="1054" t="n"/>
      <c r="F26" s="1052" t="n"/>
      <c r="G26" s="1052" t="n"/>
      <c r="H26" s="1052" t="n"/>
      <c r="I26" s="1052" t="n"/>
      <c r="J26" s="1052" t="n"/>
      <c r="K26" s="1052" t="n"/>
      <c r="L26" s="1062" t="n"/>
    </row>
    <row r="27" ht="13.2" customHeight="1" s="586">
      <c r="A27" s="1051" t="inlineStr">
        <is>
          <t>Voice</t>
        </is>
      </c>
      <c r="B27" s="1052" t="inlineStr">
        <is>
          <t>BE</t>
        </is>
      </c>
      <c r="C27" s="1052" t="inlineStr">
        <is>
          <t>Refresh</t>
        </is>
      </c>
      <c r="D27" s="1053" t="inlineStr">
        <is>
          <t>I</t>
        </is>
      </c>
      <c r="E27" s="1054" t="n"/>
      <c r="F27" s="1052" t="n"/>
      <c r="G27" s="1052" t="n"/>
      <c r="H27" s="1054" t="n"/>
      <c r="I27" s="1054" t="n"/>
      <c r="J27" s="1054" t="n"/>
      <c r="K27" s="1054" t="n"/>
      <c r="L27" s="1056" t="n"/>
    </row>
    <row r="28" ht="13.2" customHeight="1" s="586">
      <c r="A28" s="1051" t="inlineStr">
        <is>
          <t>Voice</t>
        </is>
      </c>
      <c r="B28" s="1052" t="inlineStr">
        <is>
          <t>BE</t>
        </is>
      </c>
      <c r="C28" s="1052" t="n"/>
      <c r="D28" s="1053" t="inlineStr">
        <is>
          <t>I</t>
        </is>
      </c>
      <c r="E28" s="1054" t="n"/>
      <c r="F28" s="1052" t="n"/>
      <c r="G28" s="1052" t="n"/>
      <c r="H28" s="1054" t="n"/>
      <c r="I28" s="1054" t="n"/>
      <c r="J28" s="1054" t="n"/>
      <c r="K28" s="1054" t="n"/>
      <c r="L28" s="1056" t="n"/>
    </row>
    <row r="29" ht="13.2" customHeight="1" s="586">
      <c r="A29" s="1051" t="inlineStr">
        <is>
          <t>Voice</t>
        </is>
      </c>
      <c r="B29" s="1052" t="inlineStr">
        <is>
          <t>BE</t>
        </is>
      </c>
      <c r="C29" s="1052" t="n"/>
      <c r="D29" s="1053" t="inlineStr">
        <is>
          <t>I</t>
        </is>
      </c>
      <c r="E29" s="1054" t="n"/>
      <c r="F29" s="1052" t="n"/>
      <c r="G29" s="1052" t="n"/>
      <c r="H29" s="1054" t="n"/>
      <c r="I29" s="1054" t="n"/>
      <c r="J29" s="1054" t="n"/>
      <c r="K29" s="1054" t="n"/>
      <c r="L29" s="1056" t="n"/>
    </row>
    <row r="30" ht="13.2" customHeight="1" s="586">
      <c r="A30" s="1051" t="inlineStr">
        <is>
          <t>Voice</t>
        </is>
      </c>
      <c r="B30" s="1052" t="inlineStr">
        <is>
          <t>BE</t>
        </is>
      </c>
      <c r="C30" s="1052" t="n"/>
      <c r="D30" s="1053" t="inlineStr">
        <is>
          <t>I</t>
        </is>
      </c>
      <c r="E30" s="1054" t="n"/>
      <c r="F30" s="1052" t="n"/>
      <c r="G30" s="1052" t="n"/>
      <c r="H30" s="1054" t="n"/>
      <c r="I30" s="1054" t="n"/>
      <c r="J30" s="1054" t="n"/>
      <c r="K30" s="1054" t="n"/>
      <c r="L30" s="1056" t="n"/>
    </row>
    <row r="31" ht="13.2" customHeight="1" s="586">
      <c r="A31" s="1051" t="inlineStr">
        <is>
          <t>Voice</t>
        </is>
      </c>
      <c r="B31" s="1052" t="inlineStr">
        <is>
          <t>BE</t>
        </is>
      </c>
      <c r="C31" s="1052" t="n"/>
      <c r="D31" s="1053" t="inlineStr">
        <is>
          <t>I</t>
        </is>
      </c>
      <c r="E31" s="1054" t="n"/>
      <c r="F31" s="1052" t="n"/>
      <c r="G31" s="1052" t="n"/>
      <c r="H31" s="1054" t="n"/>
      <c r="I31" s="1054" t="n"/>
      <c r="J31" s="1054" t="n"/>
      <c r="K31" s="1054" t="n"/>
      <c r="L31" s="1056" t="n"/>
    </row>
    <row r="32" ht="13.2" customHeight="1" s="586">
      <c r="A32" s="1051" t="inlineStr">
        <is>
          <t>Voice</t>
        </is>
      </c>
      <c r="B32" s="1052" t="inlineStr">
        <is>
          <t>BE</t>
        </is>
      </c>
      <c r="C32" s="1052" t="n"/>
      <c r="D32" s="1053" t="inlineStr">
        <is>
          <t>I</t>
        </is>
      </c>
      <c r="E32" s="1054" t="n"/>
      <c r="F32" s="1052" t="n"/>
      <c r="G32" s="1052" t="n"/>
      <c r="H32" s="1054" t="n"/>
      <c r="I32" s="1054" t="n"/>
      <c r="J32" s="1054" t="n"/>
      <c r="K32" s="1054" t="n"/>
      <c r="L32" s="1056" t="n"/>
    </row>
    <row r="33" ht="13.2" customHeight="1" s="586">
      <c r="A33" s="1051" t="inlineStr">
        <is>
          <t>Voice</t>
        </is>
      </c>
      <c r="B33" s="1052" t="inlineStr">
        <is>
          <t>BE</t>
        </is>
      </c>
      <c r="C33" s="1052" t="n"/>
      <c r="D33" s="1053" t="inlineStr">
        <is>
          <t>I</t>
        </is>
      </c>
      <c r="E33" s="1054" t="n"/>
      <c r="F33" s="1052" t="n"/>
      <c r="G33" s="1052" t="n"/>
      <c r="H33" s="1054" t="n"/>
      <c r="I33" s="1054" t="n"/>
      <c r="J33" s="1054" t="n"/>
      <c r="K33" s="1054" t="n"/>
      <c r="L33" s="1056" t="n"/>
    </row>
    <row r="34" ht="13.2" customHeight="1" s="586">
      <c r="A34" s="1051" t="inlineStr">
        <is>
          <t>Voice</t>
        </is>
      </c>
      <c r="B34" s="1052" t="inlineStr">
        <is>
          <t>BE</t>
        </is>
      </c>
      <c r="C34" s="1052" t="inlineStr">
        <is>
          <t>Acquisition assets (excl. Fin costs)</t>
        </is>
      </c>
      <c r="D34" s="1053" t="inlineStr">
        <is>
          <t>I</t>
        </is>
      </c>
      <c r="E34" s="1054" t="n"/>
      <c r="F34" s="1052" t="n"/>
      <c r="G34" s="1052" t="n"/>
      <c r="H34" s="1054" t="n"/>
      <c r="I34" s="1054" t="n"/>
      <c r="J34" s="1054" t="n"/>
      <c r="K34" s="1054" t="n"/>
      <c r="L34" s="1056" t="n"/>
    </row>
    <row r="35" ht="13.2" customHeight="1" s="586">
      <c r="A35" s="1051" t="n"/>
      <c r="B35" s="1052" t="n"/>
      <c r="C35" s="1052" t="n"/>
      <c r="D35" s="1053" t="n"/>
      <c r="E35" s="1054" t="n"/>
      <c r="F35" s="1052" t="n"/>
      <c r="G35" s="1052" t="n"/>
      <c r="H35" s="1054" t="n"/>
      <c r="I35" s="1054" t="n"/>
      <c r="J35" s="1054" t="n"/>
      <c r="K35" s="1054" t="n"/>
      <c r="L35" s="1056" t="n"/>
    </row>
    <row r="36" ht="13.2" customHeight="1" s="586">
      <c r="A36" s="1051" t="inlineStr">
        <is>
          <t>Desktop HW</t>
        </is>
      </c>
      <c r="B36" s="1052" t="inlineStr">
        <is>
          <t>NL</t>
        </is>
      </c>
      <c r="C36" s="1052" t="inlineStr">
        <is>
          <t>Desktop</t>
        </is>
      </c>
      <c r="D36" s="1053" t="inlineStr">
        <is>
          <t>L</t>
        </is>
      </c>
      <c r="E36" s="1054" t="n">
        <v>11735935</v>
      </c>
      <c r="F36" s="1052" t="n">
        <v>1</v>
      </c>
      <c r="G36" s="1052" t="n">
        <v>36</v>
      </c>
      <c r="H36" s="1054" t="n">
        <v>3298267.1724</v>
      </c>
      <c r="I36" s="1054" t="n">
        <v>3298267.1724</v>
      </c>
      <c r="J36" s="1054" t="n">
        <v>3298267.1724</v>
      </c>
      <c r="K36" s="1054" t="n"/>
      <c r="L36" s="1056" t="n"/>
      <c r="M36" s="1064" t="n"/>
      <c r="N36" s="1064" t="n"/>
      <c r="O36" s="1064" t="n"/>
      <c r="P36" s="1064" t="n"/>
      <c r="Q36" s="1064" t="n"/>
      <c r="R36" s="1064" t="n"/>
      <c r="S36" s="1064" t="n"/>
      <c r="T36" s="1064" t="n"/>
      <c r="U36" s="1064" t="n"/>
      <c r="V36" s="1064" t="n"/>
      <c r="W36" s="1064" t="n"/>
      <c r="X36" s="1064" t="n"/>
      <c r="Y36" s="1064" t="n"/>
      <c r="Z36" s="1064" t="n"/>
      <c r="AA36" s="1064" t="n"/>
      <c r="AB36" s="1064" t="n"/>
      <c r="AC36" s="1064" t="n"/>
      <c r="AD36" s="1064" t="n"/>
      <c r="AE36" s="1064" t="n"/>
      <c r="AF36" s="1064" t="n"/>
      <c r="AG36" s="1064" t="n"/>
      <c r="AH36" s="1064" t="n"/>
      <c r="AI36" s="1064" t="n"/>
      <c r="AJ36" s="1064" t="n"/>
      <c r="AK36" s="1064" t="n"/>
      <c r="AL36" s="1064" t="n"/>
      <c r="AM36" s="1064" t="n"/>
      <c r="AN36" s="1064" t="n"/>
      <c r="AO36" s="1064" t="n"/>
      <c r="AP36" s="1064" t="n"/>
      <c r="AQ36" s="1064" t="n"/>
      <c r="AR36" s="1064" t="n"/>
      <c r="AS36" s="1064" t="n"/>
      <c r="AT36" s="1064" t="n"/>
      <c r="AU36" s="1064" t="n"/>
      <c r="AV36" s="1064" t="n"/>
      <c r="AW36" s="1064" t="n"/>
      <c r="AX36" s="1064" t="n"/>
      <c r="AY36" s="1064" t="n"/>
      <c r="AZ36" s="1064" t="n"/>
      <c r="BA36" s="1064" t="n"/>
      <c r="BB36" s="1064" t="n"/>
      <c r="BC36" s="1064" t="n"/>
      <c r="BD36" s="1064" t="n"/>
      <c r="BE36" s="1064" t="n"/>
      <c r="BF36" s="1064" t="n"/>
      <c r="BG36" s="1064" t="n"/>
      <c r="BH36" s="1064" t="n"/>
      <c r="BI36" s="1064" t="n"/>
      <c r="BJ36" s="1064" t="n"/>
      <c r="BK36" s="1064" t="n"/>
      <c r="BL36" s="1064" t="n"/>
      <c r="BM36" s="1064" t="n"/>
      <c r="BN36" s="1064" t="n"/>
      <c r="BO36" s="1064" t="n"/>
      <c r="BP36" s="1064" t="n"/>
      <c r="BQ36" s="1064" t="n"/>
      <c r="BR36" s="1064" t="n"/>
      <c r="BS36" s="1064" t="n"/>
      <c r="BT36" s="1064" t="n"/>
    </row>
    <row r="37" ht="13.2" customHeight="1" s="586">
      <c r="A37" s="1051" t="inlineStr">
        <is>
          <t>Desktop HW</t>
        </is>
      </c>
      <c r="B37" s="1052" t="inlineStr">
        <is>
          <t>NL</t>
        </is>
      </c>
      <c r="C37" s="1052" t="inlineStr">
        <is>
          <t>Desktop</t>
        </is>
      </c>
      <c r="D37" s="1053" t="inlineStr">
        <is>
          <t>L</t>
        </is>
      </c>
      <c r="E37" s="1054" t="n">
        <v>1117723</v>
      </c>
      <c r="F37" s="1052" t="n">
        <v>13</v>
      </c>
      <c r="G37" s="1052" t="n">
        <v>36</v>
      </c>
      <c r="H37" s="1054" t="n"/>
      <c r="I37" s="1054" t="n">
        <v>314124.87192</v>
      </c>
      <c r="J37" s="1054" t="n">
        <v>314124.87192</v>
      </c>
      <c r="K37" s="1054" t="n">
        <v>314124.87192</v>
      </c>
      <c r="L37" s="1056" t="n"/>
      <c r="M37" s="1064" t="n"/>
      <c r="N37" s="1064" t="n"/>
      <c r="O37" s="1064" t="n"/>
      <c r="P37" s="1064" t="n"/>
      <c r="Q37" s="1064" t="n"/>
      <c r="R37" s="1064" t="n"/>
      <c r="S37" s="1064" t="n"/>
      <c r="T37" s="1064" t="n"/>
      <c r="U37" s="1064" t="n"/>
      <c r="V37" s="1064" t="n"/>
      <c r="W37" s="1064" t="n"/>
      <c r="X37" s="1064" t="n"/>
      <c r="Y37" s="1064" t="n"/>
      <c r="Z37" s="1064" t="n"/>
      <c r="AA37" s="1064" t="n"/>
      <c r="AB37" s="1064" t="n"/>
      <c r="AC37" s="1064" t="n"/>
      <c r="AD37" s="1064" t="n"/>
      <c r="AE37" s="1064" t="n"/>
      <c r="AF37" s="1064" t="n"/>
      <c r="AG37" s="1064" t="n"/>
      <c r="AH37" s="1064" t="n"/>
      <c r="AI37" s="1064" t="n"/>
      <c r="AJ37" s="1064" t="n"/>
      <c r="AK37" s="1064" t="n"/>
      <c r="AL37" s="1064" t="n"/>
      <c r="AM37" s="1064" t="n"/>
      <c r="AN37" s="1064" t="n"/>
      <c r="AO37" s="1064" t="n"/>
      <c r="AP37" s="1064" t="n"/>
      <c r="AQ37" s="1064" t="n"/>
      <c r="AR37" s="1064" t="n"/>
      <c r="AS37" s="1064" t="n"/>
      <c r="AT37" s="1064" t="n"/>
      <c r="AU37" s="1064" t="n"/>
      <c r="AV37" s="1064" t="n"/>
      <c r="AW37" s="1064" t="n"/>
      <c r="AX37" s="1064" t="n"/>
      <c r="AY37" s="1064" t="n"/>
      <c r="AZ37" s="1064" t="n"/>
      <c r="BA37" s="1064" t="n"/>
      <c r="BB37" s="1064" t="n"/>
      <c r="BC37" s="1064" t="n"/>
      <c r="BD37" s="1064" t="n"/>
      <c r="BE37" s="1064" t="n"/>
      <c r="BF37" s="1064" t="n"/>
      <c r="BG37" s="1064" t="n"/>
      <c r="BH37" s="1064" t="n"/>
      <c r="BI37" s="1064" t="n"/>
      <c r="BJ37" s="1064" t="n"/>
      <c r="BK37" s="1064" t="n"/>
      <c r="BL37" s="1064" t="n"/>
      <c r="BM37" s="1064" t="n"/>
      <c r="BN37" s="1064" t="n"/>
      <c r="BO37" s="1064" t="n"/>
      <c r="BP37" s="1064" t="n"/>
      <c r="BQ37" s="1064" t="n"/>
      <c r="BR37" s="1064" t="n"/>
      <c r="BS37" s="1064" t="n"/>
      <c r="BT37" s="1064" t="n"/>
    </row>
    <row r="38" ht="13.2" customHeight="1" s="586">
      <c r="A38" s="1051" t="inlineStr">
        <is>
          <t>Desktop HW</t>
        </is>
      </c>
      <c r="B38" s="1052" t="inlineStr">
        <is>
          <t>NL</t>
        </is>
      </c>
      <c r="C38" s="1052" t="inlineStr">
        <is>
          <t>Desktop</t>
        </is>
      </c>
      <c r="D38" s="1053" t="inlineStr">
        <is>
          <t>L</t>
        </is>
      </c>
      <c r="E38" s="1054" t="n">
        <v>262607</v>
      </c>
      <c r="F38" s="1052" t="n">
        <v>25</v>
      </c>
      <c r="G38" s="1052" t="n">
        <v>36</v>
      </c>
      <c r="H38" s="1054" t="n"/>
      <c r="I38" s="1054" t="n"/>
      <c r="J38" s="1054" t="n">
        <v>73803.07128</v>
      </c>
      <c r="K38" s="1054" t="n">
        <v>73803.07128</v>
      </c>
      <c r="L38" s="1056" t="n">
        <v>73803.07128</v>
      </c>
      <c r="M38" s="1064" t="n"/>
      <c r="N38" s="1064" t="n"/>
      <c r="O38" s="1064" t="n"/>
      <c r="P38" s="1064" t="n"/>
      <c r="Q38" s="1064" t="n"/>
      <c r="R38" s="1064" t="n"/>
      <c r="S38" s="1064" t="n"/>
      <c r="T38" s="1064" t="n"/>
      <c r="U38" s="1064" t="n"/>
      <c r="V38" s="1064" t="n"/>
      <c r="W38" s="1064" t="n"/>
      <c r="X38" s="1064" t="n"/>
      <c r="Y38" s="1064" t="n"/>
      <c r="Z38" s="1064" t="n"/>
      <c r="AA38" s="1064" t="n"/>
      <c r="AB38" s="1064" t="n"/>
      <c r="AC38" s="1064" t="n"/>
      <c r="AD38" s="1064" t="n"/>
      <c r="AE38" s="1064" t="n"/>
      <c r="AF38" s="1064" t="n"/>
      <c r="AG38" s="1064" t="n"/>
      <c r="AH38" s="1064" t="n"/>
      <c r="AI38" s="1064" t="n"/>
      <c r="AJ38" s="1064" t="n"/>
      <c r="AK38" s="1064" t="n"/>
      <c r="AL38" s="1064" t="n"/>
      <c r="AM38" s="1064" t="n"/>
      <c r="AN38" s="1064" t="n"/>
      <c r="AO38" s="1064" t="n"/>
      <c r="AP38" s="1064" t="n"/>
      <c r="AQ38" s="1064" t="n"/>
      <c r="AR38" s="1064" t="n"/>
      <c r="AS38" s="1064" t="n"/>
      <c r="AT38" s="1064" t="n"/>
      <c r="AU38" s="1064" t="n"/>
      <c r="AV38" s="1064" t="n"/>
      <c r="AW38" s="1064" t="n"/>
      <c r="AX38" s="1064" t="n"/>
      <c r="AY38" s="1064" t="n"/>
      <c r="AZ38" s="1064" t="n"/>
      <c r="BA38" s="1064" t="n"/>
      <c r="BB38" s="1064" t="n"/>
      <c r="BC38" s="1064" t="n"/>
      <c r="BD38" s="1064" t="n"/>
      <c r="BE38" s="1064" t="n"/>
      <c r="BF38" s="1064" t="n"/>
      <c r="BG38" s="1064" t="n"/>
      <c r="BH38" s="1064" t="n"/>
      <c r="BI38" s="1064" t="n"/>
      <c r="BJ38" s="1064" t="n"/>
      <c r="BK38" s="1064" t="n"/>
      <c r="BL38" s="1064" t="n"/>
      <c r="BM38" s="1064" t="n"/>
      <c r="BN38" s="1064" t="n"/>
      <c r="BO38" s="1064" t="n"/>
      <c r="BP38" s="1064" t="n"/>
      <c r="BQ38" s="1064" t="n"/>
      <c r="BR38" s="1064" t="n"/>
      <c r="BS38" s="1064" t="n"/>
      <c r="BT38" s="1064" t="n"/>
    </row>
    <row r="39" ht="13.2" customHeight="1" s="586">
      <c r="A39" s="1051" t="inlineStr">
        <is>
          <t>Desktop HW</t>
        </is>
      </c>
      <c r="B39" s="1052" t="inlineStr">
        <is>
          <t>NL</t>
        </is>
      </c>
      <c r="C39" s="1052" t="inlineStr">
        <is>
          <t>Desktop</t>
        </is>
      </c>
      <c r="D39" s="1053" t="inlineStr">
        <is>
          <t>L</t>
        </is>
      </c>
      <c r="E39" s="1054" t="n">
        <v>11735935</v>
      </c>
      <c r="F39" s="1052" t="n">
        <v>37</v>
      </c>
      <c r="G39" s="1052" t="n">
        <v>36</v>
      </c>
      <c r="H39" s="1054" t="n"/>
      <c r="I39" s="1054" t="n"/>
      <c r="J39" s="1054" t="n"/>
      <c r="K39" s="1054" t="n">
        <v>3298267.1724</v>
      </c>
      <c r="L39" s="1056" t="n">
        <v>3298267.1724</v>
      </c>
      <c r="M39" s="1064" t="n"/>
      <c r="N39" s="1064" t="n"/>
      <c r="O39" s="1064" t="n"/>
      <c r="P39" s="1064" t="n"/>
      <c r="Q39" s="1064" t="n"/>
      <c r="R39" s="1064" t="n"/>
      <c r="S39" s="1064" t="n"/>
      <c r="T39" s="1064" t="n"/>
      <c r="U39" s="1064" t="n"/>
      <c r="V39" s="1064" t="n"/>
      <c r="W39" s="1064" t="n"/>
      <c r="X39" s="1064" t="n"/>
      <c r="Y39" s="1064" t="n"/>
      <c r="Z39" s="1064" t="n"/>
      <c r="AA39" s="1064" t="n"/>
      <c r="AB39" s="1064" t="n"/>
      <c r="AC39" s="1064" t="n"/>
      <c r="AD39" s="1064" t="n"/>
      <c r="AE39" s="1064" t="n"/>
      <c r="AF39" s="1064" t="n"/>
      <c r="AG39" s="1064" t="n"/>
      <c r="AH39" s="1064" t="n"/>
      <c r="AI39" s="1064" t="n"/>
      <c r="AJ39" s="1064" t="n"/>
      <c r="AK39" s="1064" t="n"/>
      <c r="AL39" s="1064" t="n"/>
      <c r="AM39" s="1064" t="n"/>
      <c r="AN39" s="1064" t="n"/>
      <c r="AO39" s="1064" t="n"/>
      <c r="AP39" s="1064" t="n"/>
      <c r="AQ39" s="1064" t="n"/>
      <c r="AR39" s="1064" t="n"/>
      <c r="AS39" s="1064" t="n"/>
      <c r="AT39" s="1064" t="n"/>
      <c r="AU39" s="1064" t="n"/>
      <c r="AV39" s="1064" t="n"/>
      <c r="AW39" s="1064" t="n"/>
      <c r="AX39" s="1064" t="n"/>
      <c r="AY39" s="1064" t="n"/>
      <c r="AZ39" s="1064" t="n"/>
      <c r="BA39" s="1064" t="n"/>
      <c r="BB39" s="1064" t="n"/>
      <c r="BC39" s="1064" t="n"/>
      <c r="BD39" s="1064" t="n"/>
      <c r="BE39" s="1064" t="n"/>
      <c r="BF39" s="1064" t="n"/>
      <c r="BG39" s="1064" t="n"/>
      <c r="BH39" s="1064" t="n"/>
      <c r="BI39" s="1064" t="n"/>
      <c r="BJ39" s="1064" t="n"/>
      <c r="BK39" s="1064" t="n"/>
      <c r="BL39" s="1064" t="n"/>
      <c r="BM39" s="1064" t="n"/>
      <c r="BN39" s="1064" t="n"/>
      <c r="BO39" s="1064" t="n"/>
      <c r="BP39" s="1064" t="n"/>
      <c r="BQ39" s="1064" t="n"/>
      <c r="BR39" s="1064" t="n"/>
      <c r="BS39" s="1064" t="n"/>
      <c r="BT39" s="1064" t="n"/>
    </row>
    <row r="40" ht="13.2" customHeight="1" s="586">
      <c r="A40" s="1051" t="inlineStr">
        <is>
          <t>Desktop HW</t>
        </is>
      </c>
      <c r="B40" s="1052" t="inlineStr">
        <is>
          <t>NL</t>
        </is>
      </c>
      <c r="C40" s="1052" t="inlineStr">
        <is>
          <t>Desktop</t>
        </is>
      </c>
      <c r="D40" s="1053" t="inlineStr">
        <is>
          <t>L</t>
        </is>
      </c>
      <c r="E40" s="1054" t="n">
        <v>1117723</v>
      </c>
      <c r="F40" s="1052" t="n">
        <v>49</v>
      </c>
      <c r="G40" s="1052" t="n">
        <v>36</v>
      </c>
      <c r="H40" s="1054" t="n"/>
      <c r="I40" s="1054" t="n"/>
      <c r="J40" s="1054" t="n"/>
      <c r="K40" s="1054" t="n"/>
      <c r="L40" s="1056" t="n">
        <v>314124.87192</v>
      </c>
      <c r="M40" s="1064" t="n"/>
      <c r="N40" s="1064" t="n"/>
      <c r="O40" s="1064" t="n"/>
      <c r="P40" s="1064" t="n"/>
      <c r="Q40" s="1064" t="n"/>
      <c r="R40" s="1064" t="n"/>
      <c r="S40" s="1064" t="n"/>
      <c r="T40" s="1064" t="n"/>
      <c r="U40" s="1064" t="n"/>
      <c r="V40" s="1064" t="n"/>
      <c r="W40" s="1064" t="n"/>
      <c r="X40" s="1064" t="n"/>
      <c r="Y40" s="1064" t="n"/>
      <c r="Z40" s="1064" t="n"/>
      <c r="AA40" s="1064" t="n"/>
      <c r="AB40" s="1064" t="n"/>
      <c r="AC40" s="1064" t="n"/>
      <c r="AD40" s="1064" t="n"/>
      <c r="AE40" s="1064" t="n"/>
      <c r="AF40" s="1064" t="n"/>
      <c r="AG40" s="1064" t="n"/>
      <c r="AH40" s="1064" t="n"/>
      <c r="AI40" s="1064" t="n"/>
      <c r="AJ40" s="1064" t="n"/>
      <c r="AK40" s="1064" t="n"/>
      <c r="AL40" s="1064" t="n"/>
      <c r="AM40" s="1064" t="n"/>
      <c r="AN40" s="1064" t="n"/>
      <c r="AO40" s="1064" t="n"/>
      <c r="AP40" s="1064" t="n"/>
      <c r="AQ40" s="1064" t="n"/>
      <c r="AR40" s="1064" t="n"/>
      <c r="AS40" s="1064" t="n"/>
      <c r="AT40" s="1064" t="n"/>
      <c r="AU40" s="1064" t="n"/>
      <c r="AV40" s="1064" t="n"/>
      <c r="AW40" s="1064" t="n"/>
      <c r="AX40" s="1064" t="n"/>
      <c r="AY40" s="1064" t="n"/>
      <c r="AZ40" s="1064" t="n"/>
      <c r="BA40" s="1064" t="n"/>
      <c r="BB40" s="1064" t="n"/>
      <c r="BC40" s="1064" t="n"/>
      <c r="BD40" s="1064" t="n"/>
      <c r="BE40" s="1064" t="n"/>
      <c r="BF40" s="1064" t="n"/>
      <c r="BG40" s="1064" t="n"/>
      <c r="BH40" s="1064" t="n"/>
      <c r="BI40" s="1064" t="n"/>
      <c r="BJ40" s="1064" t="n"/>
      <c r="BK40" s="1064" t="n"/>
      <c r="BL40" s="1064" t="n"/>
      <c r="BM40" s="1064" t="n"/>
      <c r="BN40" s="1064" t="n"/>
      <c r="BO40" s="1064" t="n"/>
      <c r="BP40" s="1064" t="n"/>
      <c r="BQ40" s="1064" t="n"/>
      <c r="BR40" s="1064" t="n"/>
      <c r="BS40" s="1064" t="n"/>
      <c r="BT40" s="1064" t="n"/>
    </row>
    <row r="41" ht="13.2" customHeight="1" s="586">
      <c r="A41" s="1051" t="inlineStr">
        <is>
          <t>Desktop HW</t>
        </is>
      </c>
      <c r="B41" s="1052" t="inlineStr">
        <is>
          <t>NL</t>
        </is>
      </c>
      <c r="C41" s="1052" t="inlineStr">
        <is>
          <t>Laptop</t>
        </is>
      </c>
      <c r="D41" s="1053" t="inlineStr">
        <is>
          <t>L</t>
        </is>
      </c>
      <c r="E41" s="1054" t="n">
        <v>705795</v>
      </c>
      <c r="F41" s="1052" t="n">
        <v>1</v>
      </c>
      <c r="G41" s="1052" t="n">
        <v>36</v>
      </c>
      <c r="H41" s="1054" t="n">
        <v>198356.6268</v>
      </c>
      <c r="I41" s="1054" t="n">
        <v>198356.6268</v>
      </c>
      <c r="J41" s="1054" t="n">
        <v>198356.6268</v>
      </c>
      <c r="K41" s="1054" t="n"/>
      <c r="L41" s="1056" t="n"/>
      <c r="M41" s="1064" t="n"/>
      <c r="N41" s="1064" t="n"/>
      <c r="O41" s="1064" t="n"/>
      <c r="P41" s="1064" t="n"/>
      <c r="Q41" s="1064" t="n"/>
      <c r="R41" s="1064" t="n"/>
      <c r="S41" s="1064" t="n"/>
      <c r="T41" s="1064" t="n"/>
      <c r="U41" s="1064" t="n"/>
      <c r="V41" s="1064" t="n"/>
      <c r="W41" s="1064" t="n"/>
      <c r="X41" s="1064" t="n"/>
      <c r="Y41" s="1064" t="n"/>
      <c r="Z41" s="1064" t="n"/>
      <c r="AA41" s="1064" t="n"/>
      <c r="AB41" s="1064" t="n"/>
      <c r="AC41" s="1064" t="n"/>
      <c r="AD41" s="1064" t="n"/>
      <c r="AE41" s="1064" t="n"/>
      <c r="AF41" s="1064" t="n"/>
      <c r="AG41" s="1064" t="n"/>
      <c r="AH41" s="1064" t="n"/>
      <c r="AI41" s="1064" t="n"/>
      <c r="AJ41" s="1064" t="n"/>
      <c r="AK41" s="1064" t="n"/>
      <c r="AL41" s="1064" t="n"/>
      <c r="AM41" s="1064" t="n"/>
      <c r="AN41" s="1064" t="n"/>
      <c r="AO41" s="1064" t="n"/>
      <c r="AP41" s="1064" t="n"/>
      <c r="AQ41" s="1064" t="n"/>
      <c r="AR41" s="1064" t="n"/>
      <c r="AS41" s="1064" t="n"/>
      <c r="AT41" s="1064" t="n"/>
      <c r="AU41" s="1064" t="n"/>
      <c r="AV41" s="1064" t="n"/>
      <c r="AW41" s="1064" t="n"/>
      <c r="AX41" s="1064" t="n"/>
      <c r="AY41" s="1064" t="n"/>
      <c r="AZ41" s="1064" t="n"/>
      <c r="BA41" s="1064" t="n"/>
      <c r="BB41" s="1064" t="n"/>
      <c r="BC41" s="1064" t="n"/>
      <c r="BD41" s="1064" t="n"/>
      <c r="BE41" s="1064" t="n"/>
      <c r="BF41" s="1064" t="n"/>
      <c r="BG41" s="1064" t="n"/>
      <c r="BH41" s="1064" t="n"/>
      <c r="BI41" s="1064" t="n"/>
      <c r="BJ41" s="1064" t="n"/>
      <c r="BK41" s="1064" t="n"/>
      <c r="BL41" s="1064" t="n"/>
      <c r="BM41" s="1064" t="n"/>
      <c r="BN41" s="1064" t="n"/>
      <c r="BO41" s="1064" t="n"/>
      <c r="BP41" s="1064" t="n"/>
      <c r="BQ41" s="1064" t="n"/>
      <c r="BR41" s="1064" t="n"/>
      <c r="BS41" s="1064" t="n"/>
      <c r="BT41" s="1064" t="n"/>
    </row>
    <row r="42" ht="13.2" customHeight="1" s="586">
      <c r="A42" s="1051" t="inlineStr">
        <is>
          <t>Desktop HW</t>
        </is>
      </c>
      <c r="B42" s="1052" t="inlineStr">
        <is>
          <t>NL</t>
        </is>
      </c>
      <c r="C42" s="1052" t="inlineStr">
        <is>
          <t>Laptop</t>
        </is>
      </c>
      <c r="D42" s="1053" t="inlineStr">
        <is>
          <t>L</t>
        </is>
      </c>
      <c r="E42" s="1054" t="n">
        <v>2010345</v>
      </c>
      <c r="F42" s="1052" t="n">
        <v>13</v>
      </c>
      <c r="G42" s="1052" t="n">
        <v>36</v>
      </c>
      <c r="H42" s="1054" t="n"/>
      <c r="I42" s="1054" t="n">
        <v>564987.3588</v>
      </c>
      <c r="J42" s="1054" t="n">
        <v>564987.3588</v>
      </c>
      <c r="K42" s="1054" t="n">
        <v>564987.3588</v>
      </c>
      <c r="L42" s="1056" t="n"/>
      <c r="M42" s="1064" t="n"/>
      <c r="N42" s="1064" t="n"/>
      <c r="O42" s="1064" t="n"/>
      <c r="P42" s="1064" t="n"/>
      <c r="Q42" s="1064" t="n"/>
      <c r="R42" s="1064" t="n"/>
      <c r="S42" s="1064" t="n"/>
      <c r="T42" s="1064" t="n"/>
      <c r="U42" s="1064" t="n"/>
      <c r="V42" s="1064" t="n"/>
      <c r="W42" s="1064" t="n"/>
      <c r="X42" s="1064" t="n"/>
      <c r="Y42" s="1064" t="n"/>
      <c r="Z42" s="1064" t="n"/>
      <c r="AA42" s="1064" t="n"/>
      <c r="AB42" s="1064" t="n"/>
      <c r="AC42" s="1064" t="n"/>
      <c r="AD42" s="1064" t="n"/>
      <c r="AE42" s="1064" t="n"/>
      <c r="AF42" s="1064" t="n"/>
      <c r="AG42" s="1064" t="n"/>
      <c r="AH42" s="1064" t="n"/>
      <c r="AI42" s="1064" t="n"/>
      <c r="AJ42" s="1064" t="n"/>
      <c r="AK42" s="1064" t="n"/>
      <c r="AL42" s="1064" t="n"/>
      <c r="AM42" s="1064" t="n"/>
      <c r="AN42" s="1064" t="n"/>
      <c r="AO42" s="1064" t="n"/>
      <c r="AP42" s="1064" t="n"/>
      <c r="AQ42" s="1064" t="n"/>
      <c r="AR42" s="1064" t="n"/>
      <c r="AS42" s="1064" t="n"/>
      <c r="AT42" s="1064" t="n"/>
      <c r="AU42" s="1064" t="n"/>
      <c r="AV42" s="1064" t="n"/>
      <c r="AW42" s="1064" t="n"/>
      <c r="AX42" s="1064" t="n"/>
      <c r="AY42" s="1064" t="n"/>
      <c r="AZ42" s="1064" t="n"/>
      <c r="BA42" s="1064" t="n"/>
      <c r="BB42" s="1064" t="n"/>
      <c r="BC42" s="1064" t="n"/>
      <c r="BD42" s="1064" t="n"/>
      <c r="BE42" s="1064" t="n"/>
      <c r="BF42" s="1064" t="n"/>
      <c r="BG42" s="1064" t="n"/>
      <c r="BH42" s="1064" t="n"/>
      <c r="BI42" s="1064" t="n"/>
      <c r="BJ42" s="1064" t="n"/>
      <c r="BK42" s="1064" t="n"/>
      <c r="BL42" s="1064" t="n"/>
      <c r="BM42" s="1064" t="n"/>
      <c r="BN42" s="1064" t="n"/>
      <c r="BO42" s="1064" t="n"/>
      <c r="BP42" s="1064" t="n"/>
      <c r="BQ42" s="1064" t="n"/>
      <c r="BR42" s="1064" t="n"/>
      <c r="BS42" s="1064" t="n"/>
      <c r="BT42" s="1064" t="n"/>
    </row>
    <row r="43" ht="13.2" customHeight="1" s="586">
      <c r="A43" s="1051" t="inlineStr">
        <is>
          <t>Desktop HW</t>
        </is>
      </c>
      <c r="B43" s="1052" t="inlineStr">
        <is>
          <t>NL</t>
        </is>
      </c>
      <c r="C43" s="1052" t="inlineStr">
        <is>
          <t>Laptop</t>
        </is>
      </c>
      <c r="D43" s="1053" t="inlineStr">
        <is>
          <t>L</t>
        </is>
      </c>
      <c r="E43" s="1054" t="n">
        <v>331824</v>
      </c>
      <c r="F43" s="1052" t="n">
        <v>25</v>
      </c>
      <c r="G43" s="1052" t="n">
        <v>36</v>
      </c>
      <c r="H43" s="1054" t="n"/>
      <c r="I43" s="1054" t="n"/>
      <c r="J43" s="1054" t="n">
        <v>93255.81696</v>
      </c>
      <c r="K43" s="1054" t="n">
        <v>93255.81696</v>
      </c>
      <c r="L43" s="1056" t="n">
        <v>93255.81696</v>
      </c>
      <c r="M43" s="1064" t="n"/>
      <c r="N43" s="1064" t="n"/>
      <c r="O43" s="1064" t="n"/>
      <c r="P43" s="1064" t="n"/>
      <c r="Q43" s="1064" t="n"/>
      <c r="R43" s="1064" t="n"/>
      <c r="S43" s="1064" t="n"/>
      <c r="T43" s="1064" t="n"/>
      <c r="U43" s="1064" t="n"/>
      <c r="V43" s="1064" t="n"/>
      <c r="W43" s="1064" t="n"/>
      <c r="X43" s="1064" t="n"/>
      <c r="Y43" s="1064" t="n"/>
      <c r="Z43" s="1064" t="n"/>
      <c r="AA43" s="1064" t="n"/>
      <c r="AB43" s="1064" t="n"/>
      <c r="AC43" s="1064" t="n"/>
      <c r="AD43" s="1064" t="n"/>
      <c r="AE43" s="1064" t="n"/>
      <c r="AF43" s="1064" t="n"/>
      <c r="AG43" s="1064" t="n"/>
      <c r="AH43" s="1064" t="n"/>
      <c r="AI43" s="1064" t="n"/>
      <c r="AJ43" s="1064" t="n"/>
      <c r="AK43" s="1064" t="n"/>
      <c r="AL43" s="1064" t="n"/>
      <c r="AM43" s="1064" t="n"/>
      <c r="AN43" s="1064" t="n"/>
      <c r="AO43" s="1064" t="n"/>
      <c r="AP43" s="1064" t="n"/>
      <c r="AQ43" s="1064" t="n"/>
      <c r="AR43" s="1064" t="n"/>
      <c r="AS43" s="1064" t="n"/>
      <c r="AT43" s="1064" t="n"/>
      <c r="AU43" s="1064" t="n"/>
      <c r="AV43" s="1064" t="n"/>
      <c r="AW43" s="1064" t="n"/>
      <c r="AX43" s="1064" t="n"/>
      <c r="AY43" s="1064" t="n"/>
      <c r="AZ43" s="1064" t="n"/>
      <c r="BA43" s="1064" t="n"/>
      <c r="BB43" s="1064" t="n"/>
      <c r="BC43" s="1064" t="n"/>
      <c r="BD43" s="1064" t="n"/>
      <c r="BE43" s="1064" t="n"/>
      <c r="BF43" s="1064" t="n"/>
      <c r="BG43" s="1064" t="n"/>
      <c r="BH43" s="1064" t="n"/>
      <c r="BI43" s="1064" t="n"/>
      <c r="BJ43" s="1064" t="n"/>
      <c r="BK43" s="1064" t="n"/>
      <c r="BL43" s="1064" t="n"/>
      <c r="BM43" s="1064" t="n"/>
      <c r="BN43" s="1064" t="n"/>
      <c r="BO43" s="1064" t="n"/>
      <c r="BP43" s="1064" t="n"/>
      <c r="BQ43" s="1064" t="n"/>
      <c r="BR43" s="1064" t="n"/>
      <c r="BS43" s="1064" t="n"/>
      <c r="BT43" s="1064" t="n"/>
    </row>
    <row r="44" ht="13.2" customHeight="1" s="586">
      <c r="A44" s="1051" t="inlineStr">
        <is>
          <t>Desktop HW</t>
        </is>
      </c>
      <c r="B44" s="1052" t="inlineStr">
        <is>
          <t>NL</t>
        </is>
      </c>
      <c r="C44" s="1052" t="inlineStr">
        <is>
          <t>Laptop</t>
        </is>
      </c>
      <c r="D44" s="1053" t="inlineStr">
        <is>
          <t>L</t>
        </is>
      </c>
      <c r="E44" s="1054" t="n">
        <v>705795</v>
      </c>
      <c r="F44" s="1052" t="n">
        <v>37</v>
      </c>
      <c r="G44" s="1052" t="n">
        <v>36</v>
      </c>
      <c r="H44" s="1054" t="n"/>
      <c r="I44" s="1054" t="n"/>
      <c r="J44" s="1054" t="n"/>
      <c r="K44" s="1054" t="n">
        <v>198356.6268</v>
      </c>
      <c r="L44" s="1056" t="n">
        <v>198356.6268</v>
      </c>
      <c r="M44" s="1064" t="n"/>
      <c r="N44" s="1064" t="n"/>
      <c r="O44" s="1064" t="n"/>
      <c r="P44" s="1064" t="n"/>
      <c r="Q44" s="1064" t="n"/>
      <c r="R44" s="1064" t="n"/>
      <c r="S44" s="1064" t="n"/>
      <c r="T44" s="1064" t="n"/>
      <c r="U44" s="1064" t="n"/>
      <c r="V44" s="1064" t="n"/>
      <c r="W44" s="1064" t="n"/>
      <c r="X44" s="1064" t="n"/>
      <c r="Y44" s="1064" t="n"/>
      <c r="Z44" s="1064" t="n"/>
      <c r="AA44" s="1064" t="n"/>
      <c r="AB44" s="1064" t="n"/>
      <c r="AC44" s="1064" t="n"/>
      <c r="AD44" s="1064" t="n"/>
      <c r="AE44" s="1064" t="n"/>
      <c r="AF44" s="1064" t="n"/>
      <c r="AG44" s="1064" t="n"/>
      <c r="AH44" s="1064" t="n"/>
      <c r="AI44" s="1064" t="n"/>
      <c r="AJ44" s="1064" t="n"/>
      <c r="AK44" s="1064" t="n"/>
      <c r="AL44" s="1064" t="n"/>
      <c r="AM44" s="1064" t="n"/>
      <c r="AN44" s="1064" t="n"/>
      <c r="AO44" s="1064" t="n"/>
      <c r="AP44" s="1064" t="n"/>
      <c r="AQ44" s="1064" t="n"/>
      <c r="AR44" s="1064" t="n"/>
      <c r="AS44" s="1064" t="n"/>
      <c r="AT44" s="1064" t="n"/>
      <c r="AU44" s="1064" t="n"/>
      <c r="AV44" s="1064" t="n"/>
      <c r="AW44" s="1064" t="n"/>
      <c r="AX44" s="1064" t="n"/>
      <c r="AY44" s="1064" t="n"/>
      <c r="AZ44" s="1064" t="n"/>
      <c r="BA44" s="1064" t="n"/>
      <c r="BB44" s="1064" t="n"/>
      <c r="BC44" s="1064" t="n"/>
      <c r="BD44" s="1064" t="n"/>
      <c r="BE44" s="1064" t="n"/>
      <c r="BF44" s="1064" t="n"/>
      <c r="BG44" s="1064" t="n"/>
      <c r="BH44" s="1064" t="n"/>
      <c r="BI44" s="1064" t="n"/>
      <c r="BJ44" s="1064" t="n"/>
      <c r="BK44" s="1064" t="n"/>
      <c r="BL44" s="1064" t="n"/>
      <c r="BM44" s="1064" t="n"/>
      <c r="BN44" s="1064" t="n"/>
      <c r="BO44" s="1064" t="n"/>
      <c r="BP44" s="1064" t="n"/>
      <c r="BQ44" s="1064" t="n"/>
      <c r="BR44" s="1064" t="n"/>
      <c r="BS44" s="1064" t="n"/>
      <c r="BT44" s="1064" t="n"/>
    </row>
    <row r="45" ht="13.2" customHeight="1" s="586">
      <c r="A45" s="1051" t="inlineStr">
        <is>
          <t>Desktop HW</t>
        </is>
      </c>
      <c r="B45" s="1052" t="inlineStr">
        <is>
          <t>NL</t>
        </is>
      </c>
      <c r="C45" s="1052" t="inlineStr">
        <is>
          <t>Laptop</t>
        </is>
      </c>
      <c r="D45" s="1053" t="inlineStr">
        <is>
          <t>L</t>
        </is>
      </c>
      <c r="E45" s="1054" t="n">
        <v>2010345</v>
      </c>
      <c r="F45" s="1052" t="n">
        <v>49</v>
      </c>
      <c r="G45" s="1052" t="n">
        <v>36</v>
      </c>
      <c r="H45" s="1054" t="n"/>
      <c r="I45" s="1054" t="n"/>
      <c r="J45" s="1054" t="n"/>
      <c r="K45" s="1054" t="n"/>
      <c r="L45" s="1056" t="n">
        <v>564987.3588</v>
      </c>
      <c r="M45" s="1064" t="n"/>
      <c r="N45" s="1064" t="n"/>
      <c r="O45" s="1064" t="n"/>
      <c r="P45" s="1064" t="n"/>
      <c r="Q45" s="1064" t="n"/>
      <c r="R45" s="1064" t="n"/>
      <c r="S45" s="1064" t="n"/>
      <c r="T45" s="1064" t="n"/>
      <c r="U45" s="1064" t="n"/>
      <c r="V45" s="1064" t="n"/>
      <c r="W45" s="1064" t="n"/>
      <c r="X45" s="1064" t="n"/>
      <c r="Y45" s="1064" t="n"/>
      <c r="Z45" s="1064" t="n"/>
      <c r="AA45" s="1064" t="n"/>
      <c r="AB45" s="1064" t="n"/>
      <c r="AC45" s="1064" t="n"/>
      <c r="AD45" s="1064" t="n"/>
      <c r="AE45" s="1064" t="n"/>
      <c r="AF45" s="1064" t="n"/>
      <c r="AG45" s="1064" t="n"/>
      <c r="AH45" s="1064" t="n"/>
      <c r="AI45" s="1064" t="n"/>
      <c r="AJ45" s="1064" t="n"/>
      <c r="AK45" s="1064" t="n"/>
      <c r="AL45" s="1064" t="n"/>
      <c r="AM45" s="1064" t="n"/>
      <c r="AN45" s="1064" t="n"/>
      <c r="AO45" s="1064" t="n"/>
      <c r="AP45" s="1064" t="n"/>
      <c r="AQ45" s="1064" t="n"/>
      <c r="AR45" s="1064" t="n"/>
      <c r="AS45" s="1064" t="n"/>
      <c r="AT45" s="1064" t="n"/>
      <c r="AU45" s="1064" t="n"/>
      <c r="AV45" s="1064" t="n"/>
      <c r="AW45" s="1064" t="n"/>
      <c r="AX45" s="1064" t="n"/>
      <c r="AY45" s="1064" t="n"/>
      <c r="AZ45" s="1064" t="n"/>
      <c r="BA45" s="1064" t="n"/>
      <c r="BB45" s="1064" t="n"/>
      <c r="BC45" s="1064" t="n"/>
      <c r="BD45" s="1064" t="n"/>
      <c r="BE45" s="1064" t="n"/>
      <c r="BF45" s="1064" t="n"/>
      <c r="BG45" s="1064" t="n"/>
      <c r="BH45" s="1064" t="n"/>
      <c r="BI45" s="1064" t="n"/>
      <c r="BJ45" s="1064" t="n"/>
      <c r="BK45" s="1064" t="n"/>
      <c r="BL45" s="1064" t="n"/>
      <c r="BM45" s="1064" t="n"/>
      <c r="BN45" s="1064" t="n"/>
      <c r="BO45" s="1064" t="n"/>
      <c r="BP45" s="1064" t="n"/>
      <c r="BQ45" s="1064" t="n"/>
      <c r="BR45" s="1064" t="n"/>
      <c r="BS45" s="1064" t="n"/>
      <c r="BT45" s="1064" t="n"/>
    </row>
    <row r="46" ht="13.2" customHeight="1" s="586">
      <c r="A46" s="1051" t="inlineStr">
        <is>
          <t>Desktop HW</t>
        </is>
      </c>
      <c r="B46" s="1052" t="inlineStr">
        <is>
          <t>NL</t>
        </is>
      </c>
      <c r="C46" s="1052" t="inlineStr">
        <is>
          <t>Monitor</t>
        </is>
      </c>
      <c r="D46" s="1053" t="inlineStr">
        <is>
          <t>L</t>
        </is>
      </c>
      <c r="E46" s="1054" t="n">
        <v>4063015</v>
      </c>
      <c r="F46" s="1052" t="n">
        <v>1</v>
      </c>
      <c r="G46" s="1052" t="n">
        <v>36</v>
      </c>
      <c r="H46" s="1054" t="n">
        <v>1141869.7356</v>
      </c>
      <c r="I46" s="1054" t="n">
        <v>1141869.7356</v>
      </c>
      <c r="J46" s="1054" t="n">
        <v>1141869.7356</v>
      </c>
      <c r="K46" s="1054" t="n"/>
      <c r="L46" s="1056" t="n"/>
      <c r="M46" s="1064" t="n"/>
      <c r="N46" s="1064" t="n"/>
      <c r="O46" s="1064" t="n"/>
      <c r="P46" s="1064" t="n"/>
      <c r="Q46" s="1064" t="n"/>
      <c r="R46" s="1064" t="n"/>
      <c r="S46" s="1064" t="n"/>
      <c r="T46" s="1064" t="n"/>
      <c r="U46" s="1064" t="n"/>
      <c r="V46" s="1064" t="n"/>
      <c r="W46" s="1064" t="n"/>
      <c r="X46" s="1064" t="n"/>
      <c r="Y46" s="1064" t="n"/>
      <c r="Z46" s="1064" t="n"/>
      <c r="AA46" s="1064" t="n"/>
      <c r="AB46" s="1064" t="n"/>
      <c r="AC46" s="1064" t="n"/>
      <c r="AD46" s="1064" t="n"/>
      <c r="AE46" s="1064" t="n"/>
      <c r="AF46" s="1064" t="n"/>
      <c r="AG46" s="1064" t="n"/>
      <c r="AH46" s="1064" t="n"/>
      <c r="AI46" s="1064" t="n"/>
      <c r="AJ46" s="1064" t="n"/>
      <c r="AK46" s="1064" t="n"/>
      <c r="AL46" s="1064" t="n"/>
      <c r="AM46" s="1064" t="n"/>
      <c r="AN46" s="1064" t="n"/>
      <c r="AO46" s="1064" t="n"/>
      <c r="AP46" s="1064" t="n"/>
      <c r="AQ46" s="1064" t="n"/>
      <c r="AR46" s="1064" t="n"/>
      <c r="AS46" s="1064" t="n"/>
      <c r="AT46" s="1064" t="n"/>
      <c r="AU46" s="1064" t="n"/>
      <c r="AV46" s="1064" t="n"/>
      <c r="AW46" s="1064" t="n"/>
      <c r="AX46" s="1064" t="n"/>
      <c r="AY46" s="1064" t="n"/>
      <c r="AZ46" s="1064" t="n"/>
      <c r="BA46" s="1064" t="n"/>
      <c r="BB46" s="1064" t="n"/>
      <c r="BC46" s="1064" t="n"/>
      <c r="BD46" s="1064" t="n"/>
      <c r="BE46" s="1064" t="n"/>
      <c r="BF46" s="1064" t="n"/>
      <c r="BG46" s="1064" t="n"/>
      <c r="BH46" s="1064" t="n"/>
      <c r="BI46" s="1064" t="n"/>
      <c r="BJ46" s="1064" t="n"/>
      <c r="BK46" s="1064" t="n"/>
      <c r="BL46" s="1064" t="n"/>
      <c r="BM46" s="1064" t="n"/>
      <c r="BN46" s="1064" t="n"/>
      <c r="BO46" s="1064" t="n"/>
      <c r="BP46" s="1064" t="n"/>
      <c r="BQ46" s="1064" t="n"/>
      <c r="BR46" s="1064" t="n"/>
      <c r="BS46" s="1064" t="n"/>
      <c r="BT46" s="1064" t="n"/>
    </row>
    <row r="47" ht="13.2" customHeight="1" s="586">
      <c r="A47" s="1051" t="inlineStr">
        <is>
          <t>Desktop HW</t>
        </is>
      </c>
      <c r="B47" s="1052" t="inlineStr">
        <is>
          <t>NL</t>
        </is>
      </c>
      <c r="C47" s="1052" t="inlineStr">
        <is>
          <t>Monitor</t>
        </is>
      </c>
      <c r="D47" s="1053" t="inlineStr">
        <is>
          <t>L</t>
        </is>
      </c>
      <c r="E47" s="1054" t="n">
        <v>973710</v>
      </c>
      <c r="F47" s="1052" t="n">
        <v>13</v>
      </c>
      <c r="G47" s="1052" t="n">
        <v>36</v>
      </c>
      <c r="H47" s="1054" t="n"/>
      <c r="I47" s="1054" t="n">
        <v>273651.4584</v>
      </c>
      <c r="J47" s="1054" t="n">
        <v>273651.4584</v>
      </c>
      <c r="K47" s="1054" t="n">
        <v>273651.4584</v>
      </c>
      <c r="L47" s="1056" t="n"/>
      <c r="M47" s="1064" t="n"/>
      <c r="N47" s="1064" t="n"/>
      <c r="O47" s="1064" t="n"/>
      <c r="P47" s="1064" t="n"/>
      <c r="Q47" s="1064" t="n"/>
      <c r="R47" s="1064" t="n"/>
      <c r="S47" s="1064" t="n"/>
      <c r="T47" s="1064" t="n"/>
      <c r="U47" s="1064" t="n"/>
      <c r="V47" s="1064" t="n"/>
      <c r="W47" s="1064" t="n"/>
      <c r="X47" s="1064" t="n"/>
      <c r="Y47" s="1064" t="n"/>
      <c r="Z47" s="1064" t="n"/>
      <c r="AA47" s="1064" t="n"/>
      <c r="AB47" s="1064" t="n"/>
      <c r="AC47" s="1064" t="n"/>
      <c r="AD47" s="1064" t="n"/>
      <c r="AE47" s="1064" t="n"/>
      <c r="AF47" s="1064" t="n"/>
      <c r="AG47" s="1064" t="n"/>
      <c r="AH47" s="1064" t="n"/>
      <c r="AI47" s="1064" t="n"/>
      <c r="AJ47" s="1064" t="n"/>
      <c r="AK47" s="1064" t="n"/>
      <c r="AL47" s="1064" t="n"/>
      <c r="AM47" s="1064" t="n"/>
      <c r="AN47" s="1064" t="n"/>
      <c r="AO47" s="1064" t="n"/>
      <c r="AP47" s="1064" t="n"/>
      <c r="AQ47" s="1064" t="n"/>
      <c r="AR47" s="1064" t="n"/>
      <c r="AS47" s="1064" t="n"/>
      <c r="AT47" s="1064" t="n"/>
      <c r="AU47" s="1064" t="n"/>
      <c r="AV47" s="1064" t="n"/>
      <c r="AW47" s="1064" t="n"/>
      <c r="AX47" s="1064" t="n"/>
      <c r="AY47" s="1064" t="n"/>
      <c r="AZ47" s="1064" t="n"/>
      <c r="BA47" s="1064" t="n"/>
      <c r="BB47" s="1064" t="n"/>
      <c r="BC47" s="1064" t="n"/>
      <c r="BD47" s="1064" t="n"/>
      <c r="BE47" s="1064" t="n"/>
      <c r="BF47" s="1064" t="n"/>
      <c r="BG47" s="1064" t="n"/>
      <c r="BH47" s="1064" t="n"/>
      <c r="BI47" s="1064" t="n"/>
      <c r="BJ47" s="1064" t="n"/>
      <c r="BK47" s="1064" t="n"/>
      <c r="BL47" s="1064" t="n"/>
      <c r="BM47" s="1064" t="n"/>
      <c r="BN47" s="1064" t="n"/>
      <c r="BO47" s="1064" t="n"/>
      <c r="BP47" s="1064" t="n"/>
      <c r="BQ47" s="1064" t="n"/>
      <c r="BR47" s="1064" t="n"/>
      <c r="BS47" s="1064" t="n"/>
      <c r="BT47" s="1064" t="n"/>
    </row>
    <row r="48" ht="13.2" customHeight="1" s="586">
      <c r="A48" s="1051" t="inlineStr">
        <is>
          <t>Desktop HW</t>
        </is>
      </c>
      <c r="B48" s="1052" t="inlineStr">
        <is>
          <t>NL</t>
        </is>
      </c>
      <c r="C48" s="1052" t="inlineStr">
        <is>
          <t>Monitor</t>
        </is>
      </c>
      <c r="D48" s="1053" t="inlineStr">
        <is>
          <t>L</t>
        </is>
      </c>
      <c r="E48" s="1054" t="n">
        <v>1458550</v>
      </c>
      <c r="F48" s="1052" t="n">
        <v>25</v>
      </c>
      <c r="G48" s="1052" t="n">
        <v>36</v>
      </c>
      <c r="H48" s="1054" t="n"/>
      <c r="I48" s="1054" t="n"/>
      <c r="J48" s="1054" t="n">
        <v>409910.892</v>
      </c>
      <c r="K48" s="1054" t="n">
        <v>409910.892</v>
      </c>
      <c r="L48" s="1056" t="n">
        <v>409910.892</v>
      </c>
      <c r="M48" s="1064" t="n"/>
      <c r="N48" s="1064" t="n"/>
      <c r="O48" s="1064" t="n"/>
      <c r="P48" s="1064" t="n"/>
      <c r="Q48" s="1064" t="n"/>
      <c r="R48" s="1064" t="n"/>
      <c r="S48" s="1064" t="n"/>
      <c r="T48" s="1064" t="n"/>
      <c r="U48" s="1064" t="n"/>
      <c r="V48" s="1064" t="n"/>
      <c r="W48" s="1064" t="n"/>
      <c r="X48" s="1064" t="n"/>
      <c r="Y48" s="1064" t="n"/>
      <c r="Z48" s="1064" t="n"/>
      <c r="AA48" s="1064" t="n"/>
      <c r="AB48" s="1064" t="n"/>
      <c r="AC48" s="1064" t="n"/>
      <c r="AD48" s="1064" t="n"/>
      <c r="AE48" s="1064" t="n"/>
      <c r="AF48" s="1064" t="n"/>
      <c r="AG48" s="1064" t="n"/>
      <c r="AH48" s="1064" t="n"/>
      <c r="AI48" s="1064" t="n"/>
      <c r="AJ48" s="1064" t="n"/>
      <c r="AK48" s="1064" t="n"/>
      <c r="AL48" s="1064" t="n"/>
      <c r="AM48" s="1064" t="n"/>
      <c r="AN48" s="1064" t="n"/>
      <c r="AO48" s="1064" t="n"/>
      <c r="AP48" s="1064" t="n"/>
      <c r="AQ48" s="1064" t="n"/>
      <c r="AR48" s="1064" t="n"/>
      <c r="AS48" s="1064" t="n"/>
      <c r="AT48" s="1064" t="n"/>
      <c r="AU48" s="1064" t="n"/>
      <c r="AV48" s="1064" t="n"/>
      <c r="AW48" s="1064" t="n"/>
      <c r="AX48" s="1064" t="n"/>
      <c r="AY48" s="1064" t="n"/>
      <c r="AZ48" s="1064" t="n"/>
      <c r="BA48" s="1064" t="n"/>
      <c r="BB48" s="1064" t="n"/>
      <c r="BC48" s="1064" t="n"/>
      <c r="BD48" s="1064" t="n"/>
      <c r="BE48" s="1064" t="n"/>
      <c r="BF48" s="1064" t="n"/>
      <c r="BG48" s="1064" t="n"/>
      <c r="BH48" s="1064" t="n"/>
      <c r="BI48" s="1064" t="n"/>
      <c r="BJ48" s="1064" t="n"/>
      <c r="BK48" s="1064" t="n"/>
      <c r="BL48" s="1064" t="n"/>
      <c r="BM48" s="1064" t="n"/>
      <c r="BN48" s="1064" t="n"/>
      <c r="BO48" s="1064" t="n"/>
      <c r="BP48" s="1064" t="n"/>
      <c r="BQ48" s="1064" t="n"/>
      <c r="BR48" s="1064" t="n"/>
      <c r="BS48" s="1064" t="n"/>
      <c r="BT48" s="1064" t="n"/>
    </row>
    <row r="49" ht="13.2" customHeight="1" s="586">
      <c r="A49" s="1051" t="inlineStr">
        <is>
          <t>Desktop HW</t>
        </is>
      </c>
      <c r="B49" s="1052" t="inlineStr">
        <is>
          <t>NL</t>
        </is>
      </c>
      <c r="C49" s="1052" t="inlineStr">
        <is>
          <t>Monitor</t>
        </is>
      </c>
      <c r="D49" s="1053" t="inlineStr">
        <is>
          <t>L</t>
        </is>
      </c>
      <c r="E49" s="1054" t="n">
        <v>4063015</v>
      </c>
      <c r="F49" s="1052" t="n">
        <v>37</v>
      </c>
      <c r="G49" s="1052" t="n">
        <v>36</v>
      </c>
      <c r="H49" s="1054" t="n"/>
      <c r="I49" s="1054" t="n"/>
      <c r="J49" s="1054" t="n"/>
      <c r="K49" s="1054" t="n">
        <v>1141869.7356</v>
      </c>
      <c r="L49" s="1056" t="n">
        <v>1141869.7356</v>
      </c>
      <c r="M49" s="1064" t="n"/>
      <c r="N49" s="1064" t="n"/>
      <c r="O49" s="1064" t="n"/>
      <c r="P49" s="1064" t="n"/>
      <c r="Q49" s="1064" t="n"/>
      <c r="R49" s="1064" t="n"/>
      <c r="S49" s="1064" t="n"/>
      <c r="T49" s="1064" t="n"/>
      <c r="U49" s="1064" t="n"/>
      <c r="V49" s="1064" t="n"/>
      <c r="W49" s="1064" t="n"/>
      <c r="X49" s="1064" t="n"/>
      <c r="Y49" s="1064" t="n"/>
      <c r="Z49" s="1064" t="n"/>
      <c r="AA49" s="1064" t="n"/>
      <c r="AB49" s="1064" t="n"/>
      <c r="AC49" s="1064" t="n"/>
      <c r="AD49" s="1064" t="n"/>
      <c r="AE49" s="1064" t="n"/>
      <c r="AF49" s="1064" t="n"/>
      <c r="AG49" s="1064" t="n"/>
      <c r="AH49" s="1064" t="n"/>
      <c r="AI49" s="1064" t="n"/>
      <c r="AJ49" s="1064" t="n"/>
      <c r="AK49" s="1064" t="n"/>
      <c r="AL49" s="1064" t="n"/>
      <c r="AM49" s="1064" t="n"/>
      <c r="AN49" s="1064" t="n"/>
      <c r="AO49" s="1064" t="n"/>
      <c r="AP49" s="1064" t="n"/>
      <c r="AQ49" s="1064" t="n"/>
      <c r="AR49" s="1064" t="n"/>
      <c r="AS49" s="1064" t="n"/>
      <c r="AT49" s="1064" t="n"/>
      <c r="AU49" s="1064" t="n"/>
      <c r="AV49" s="1064" t="n"/>
      <c r="AW49" s="1064" t="n"/>
      <c r="AX49" s="1064" t="n"/>
      <c r="AY49" s="1064" t="n"/>
      <c r="AZ49" s="1064" t="n"/>
      <c r="BA49" s="1064" t="n"/>
      <c r="BB49" s="1064" t="n"/>
      <c r="BC49" s="1064" t="n"/>
      <c r="BD49" s="1064" t="n"/>
      <c r="BE49" s="1064" t="n"/>
      <c r="BF49" s="1064" t="n"/>
      <c r="BG49" s="1064" t="n"/>
      <c r="BH49" s="1064" t="n"/>
      <c r="BI49" s="1064" t="n"/>
      <c r="BJ49" s="1064" t="n"/>
      <c r="BK49" s="1064" t="n"/>
      <c r="BL49" s="1064" t="n"/>
      <c r="BM49" s="1064" t="n"/>
      <c r="BN49" s="1064" t="n"/>
      <c r="BO49" s="1064" t="n"/>
      <c r="BP49" s="1064" t="n"/>
      <c r="BQ49" s="1064" t="n"/>
      <c r="BR49" s="1064" t="n"/>
      <c r="BS49" s="1064" t="n"/>
      <c r="BT49" s="1064" t="n"/>
    </row>
    <row r="50" ht="13.2" customHeight="1" s="586">
      <c r="A50" s="1051" t="inlineStr">
        <is>
          <t>Desktop HW</t>
        </is>
      </c>
      <c r="B50" s="1052" t="inlineStr">
        <is>
          <t>NL</t>
        </is>
      </c>
      <c r="C50" s="1052" t="inlineStr">
        <is>
          <t>Monitor</t>
        </is>
      </c>
      <c r="D50" s="1053" t="inlineStr">
        <is>
          <t>L</t>
        </is>
      </c>
      <c r="E50" s="1054" t="n">
        <v>973710</v>
      </c>
      <c r="F50" s="1052" t="n">
        <v>49</v>
      </c>
      <c r="G50" s="1052" t="n">
        <v>36</v>
      </c>
      <c r="H50" s="1054" t="n"/>
      <c r="I50" s="1054" t="n"/>
      <c r="J50" s="1054" t="n"/>
      <c r="K50" s="1054" t="n"/>
      <c r="L50" s="1056" t="n">
        <v>273651.4584</v>
      </c>
      <c r="M50" s="1064" t="n"/>
      <c r="N50" s="1064" t="n"/>
      <c r="O50" s="1064" t="n"/>
      <c r="P50" s="1064" t="n"/>
      <c r="Q50" s="1064" t="n"/>
      <c r="R50" s="1064" t="n"/>
      <c r="S50" s="1064" t="n"/>
      <c r="T50" s="1064" t="n"/>
      <c r="U50" s="1064" t="n"/>
      <c r="V50" s="1064" t="n"/>
      <c r="W50" s="1064" t="n"/>
      <c r="X50" s="1064" t="n"/>
      <c r="Y50" s="1064" t="n"/>
      <c r="Z50" s="1064" t="n"/>
      <c r="AA50" s="1064" t="n"/>
      <c r="AB50" s="1064" t="n"/>
      <c r="AC50" s="1064" t="n"/>
      <c r="AD50" s="1064" t="n"/>
      <c r="AE50" s="1064" t="n"/>
      <c r="AF50" s="1064" t="n"/>
      <c r="AG50" s="1064" t="n"/>
      <c r="AH50" s="1064" t="n"/>
      <c r="AI50" s="1064" t="n"/>
      <c r="AJ50" s="1064" t="n"/>
      <c r="AK50" s="1064" t="n"/>
      <c r="AL50" s="1064" t="n"/>
      <c r="AM50" s="1064" t="n"/>
      <c r="AN50" s="1064" t="n"/>
      <c r="AO50" s="1064" t="n"/>
      <c r="AP50" s="1064" t="n"/>
      <c r="AQ50" s="1064" t="n"/>
      <c r="AR50" s="1064" t="n"/>
      <c r="AS50" s="1064" t="n"/>
      <c r="AT50" s="1064" t="n"/>
      <c r="AU50" s="1064" t="n"/>
      <c r="AV50" s="1064" t="n"/>
      <c r="AW50" s="1064" t="n"/>
      <c r="AX50" s="1064" t="n"/>
      <c r="AY50" s="1064" t="n"/>
      <c r="AZ50" s="1064" t="n"/>
      <c r="BA50" s="1064" t="n"/>
      <c r="BB50" s="1064" t="n"/>
      <c r="BC50" s="1064" t="n"/>
      <c r="BD50" s="1064" t="n"/>
      <c r="BE50" s="1064" t="n"/>
      <c r="BF50" s="1064" t="n"/>
      <c r="BG50" s="1064" t="n"/>
      <c r="BH50" s="1064" t="n"/>
      <c r="BI50" s="1064" t="n"/>
      <c r="BJ50" s="1064" t="n"/>
      <c r="BK50" s="1064" t="n"/>
      <c r="BL50" s="1064" t="n"/>
      <c r="BM50" s="1064" t="n"/>
      <c r="BN50" s="1064" t="n"/>
      <c r="BO50" s="1064" t="n"/>
      <c r="BP50" s="1064" t="n"/>
      <c r="BQ50" s="1064" t="n"/>
      <c r="BR50" s="1064" t="n"/>
      <c r="BS50" s="1064" t="n"/>
      <c r="BT50" s="1064" t="n"/>
    </row>
    <row r="51" ht="13.2" customHeight="1" s="586">
      <c r="A51" s="1051" t="inlineStr">
        <is>
          <t>Desktop HW</t>
        </is>
      </c>
      <c r="B51" s="1052" t="inlineStr">
        <is>
          <t>NL</t>
        </is>
      </c>
      <c r="C51" s="1052" t="inlineStr">
        <is>
          <t>S&amp;LB Printer Local Mono</t>
        </is>
      </c>
      <c r="D51" s="1053" t="inlineStr">
        <is>
          <t>L</t>
        </is>
      </c>
      <c r="E51" s="1054" t="n">
        <v>0</v>
      </c>
      <c r="F51" s="1052" t="n">
        <v>1</v>
      </c>
      <c r="G51" s="1052" t="n">
        <v>36</v>
      </c>
      <c r="H51" s="1054" t="n">
        <v>11936.1664472289</v>
      </c>
      <c r="I51" s="1054" t="n"/>
      <c r="J51" s="1054" t="n"/>
      <c r="K51" s="1054" t="n"/>
      <c r="L51" s="1056" t="n"/>
      <c r="M51" s="1064" t="n"/>
      <c r="N51" s="1064" t="n"/>
      <c r="O51" s="1064" t="n"/>
      <c r="P51" s="1064" t="n"/>
      <c r="Q51" s="1064" t="n"/>
      <c r="R51" s="1064" t="n"/>
      <c r="S51" s="1064" t="n"/>
      <c r="T51" s="1064" t="n"/>
      <c r="U51" s="1064" t="n"/>
      <c r="V51" s="1064" t="n"/>
      <c r="W51" s="1064" t="n"/>
      <c r="X51" s="1064" t="n"/>
      <c r="Y51" s="1064" t="n"/>
      <c r="Z51" s="1064" t="n"/>
      <c r="AA51" s="1064" t="n"/>
      <c r="AB51" s="1064" t="n"/>
      <c r="AC51" s="1064" t="n"/>
      <c r="AD51" s="1064" t="n"/>
      <c r="AE51" s="1064" t="n"/>
      <c r="AF51" s="1064" t="n"/>
      <c r="AG51" s="1064" t="n"/>
      <c r="AH51" s="1064" t="n"/>
      <c r="AI51" s="1064" t="n"/>
      <c r="AJ51" s="1064" t="n"/>
      <c r="AK51" s="1064" t="n"/>
      <c r="AL51" s="1064" t="n"/>
      <c r="AM51" s="1064" t="n"/>
      <c r="AN51" s="1064" t="n"/>
      <c r="AO51" s="1064" t="n"/>
      <c r="AP51" s="1064" t="n"/>
      <c r="AQ51" s="1064" t="n"/>
      <c r="AR51" s="1064" t="n"/>
      <c r="AS51" s="1064" t="n"/>
      <c r="AT51" s="1064" t="n"/>
      <c r="AU51" s="1064" t="n"/>
      <c r="AV51" s="1064" t="n"/>
      <c r="AW51" s="1064" t="n"/>
      <c r="AX51" s="1064" t="n"/>
      <c r="AY51" s="1064" t="n"/>
      <c r="AZ51" s="1064" t="n"/>
      <c r="BA51" s="1064" t="n"/>
      <c r="BB51" s="1064" t="n"/>
      <c r="BC51" s="1064" t="n"/>
      <c r="BD51" s="1064" t="n"/>
      <c r="BE51" s="1064" t="n"/>
      <c r="BF51" s="1064" t="n"/>
      <c r="BG51" s="1064" t="n"/>
      <c r="BH51" s="1064" t="n"/>
      <c r="BI51" s="1064" t="n"/>
      <c r="BJ51" s="1064" t="n"/>
      <c r="BK51" s="1064" t="n"/>
      <c r="BL51" s="1064" t="n"/>
      <c r="BM51" s="1064" t="n"/>
      <c r="BN51" s="1064" t="n"/>
      <c r="BO51" s="1064" t="n"/>
      <c r="BP51" s="1064" t="n"/>
      <c r="BQ51" s="1064" t="n"/>
      <c r="BR51" s="1064" t="n"/>
      <c r="BS51" s="1064" t="n"/>
      <c r="BT51" s="1064" t="n"/>
    </row>
    <row r="52" ht="13.2" customHeight="1" s="586">
      <c r="A52" s="1051" t="inlineStr">
        <is>
          <t>Desktop HW</t>
        </is>
      </c>
      <c r="B52" s="1052" t="inlineStr">
        <is>
          <t>NL</t>
        </is>
      </c>
      <c r="C52" s="1052" t="inlineStr">
        <is>
          <t>S&amp;LB Printer Local Mono</t>
        </is>
      </c>
      <c r="D52" s="1053" t="inlineStr">
        <is>
          <t>L</t>
        </is>
      </c>
      <c r="E52" s="1054" t="n">
        <v>0</v>
      </c>
      <c r="F52" s="1052" t="n">
        <v>1</v>
      </c>
      <c r="G52" s="1052" t="n">
        <v>36</v>
      </c>
      <c r="H52" s="1054" t="n">
        <v>11936.1664472289</v>
      </c>
      <c r="I52" s="1054" t="n">
        <v>11936.1664472289</v>
      </c>
      <c r="J52" s="1054" t="n"/>
      <c r="K52" s="1054" t="n"/>
      <c r="L52" s="1056" t="n"/>
      <c r="M52" s="1064" t="n"/>
      <c r="N52" s="1064" t="n"/>
      <c r="O52" s="1064" t="n"/>
      <c r="P52" s="1064" t="n"/>
      <c r="Q52" s="1064" t="n"/>
      <c r="R52" s="1064" t="n"/>
      <c r="S52" s="1064" t="n"/>
      <c r="T52" s="1064" t="n"/>
      <c r="U52" s="1064" t="n"/>
      <c r="V52" s="1064" t="n"/>
      <c r="W52" s="1064" t="n"/>
      <c r="X52" s="1064" t="n"/>
      <c r="Y52" s="1064" t="n"/>
      <c r="Z52" s="1064" t="n"/>
      <c r="AA52" s="1064" t="n"/>
      <c r="AB52" s="1064" t="n"/>
      <c r="AC52" s="1064" t="n"/>
      <c r="AD52" s="1064" t="n"/>
      <c r="AE52" s="1064" t="n"/>
      <c r="AF52" s="1064" t="n"/>
      <c r="AG52" s="1064" t="n"/>
      <c r="AH52" s="1064" t="n"/>
      <c r="AI52" s="1064" t="n"/>
      <c r="AJ52" s="1064" t="n"/>
      <c r="AK52" s="1064" t="n"/>
      <c r="AL52" s="1064" t="n"/>
      <c r="AM52" s="1064" t="n"/>
      <c r="AN52" s="1064" t="n"/>
      <c r="AO52" s="1064" t="n"/>
      <c r="AP52" s="1064" t="n"/>
      <c r="AQ52" s="1064" t="n"/>
      <c r="AR52" s="1064" t="n"/>
      <c r="AS52" s="1064" t="n"/>
      <c r="AT52" s="1064" t="n"/>
      <c r="AU52" s="1064" t="n"/>
      <c r="AV52" s="1064" t="n"/>
      <c r="AW52" s="1064" t="n"/>
      <c r="AX52" s="1064" t="n"/>
      <c r="AY52" s="1064" t="n"/>
      <c r="AZ52" s="1064" t="n"/>
      <c r="BA52" s="1064" t="n"/>
      <c r="BB52" s="1064" t="n"/>
      <c r="BC52" s="1064" t="n"/>
      <c r="BD52" s="1064" t="n"/>
      <c r="BE52" s="1064" t="n"/>
      <c r="BF52" s="1064" t="n"/>
      <c r="BG52" s="1064" t="n"/>
      <c r="BH52" s="1064" t="n"/>
      <c r="BI52" s="1064" t="n"/>
      <c r="BJ52" s="1064" t="n"/>
      <c r="BK52" s="1064" t="n"/>
      <c r="BL52" s="1064" t="n"/>
      <c r="BM52" s="1064" t="n"/>
      <c r="BN52" s="1064" t="n"/>
      <c r="BO52" s="1064" t="n"/>
      <c r="BP52" s="1064" t="n"/>
      <c r="BQ52" s="1064" t="n"/>
      <c r="BR52" s="1064" t="n"/>
      <c r="BS52" s="1064" t="n"/>
      <c r="BT52" s="1064" t="n"/>
    </row>
    <row r="53" ht="13.2" customHeight="1" s="586">
      <c r="A53" s="1051" t="inlineStr">
        <is>
          <t>Desktop HW</t>
        </is>
      </c>
      <c r="B53" s="1052" t="inlineStr">
        <is>
          <t>NL</t>
        </is>
      </c>
      <c r="C53" s="1052" t="inlineStr">
        <is>
          <t>Printer Local Mono</t>
        </is>
      </c>
      <c r="D53" s="1053" t="inlineStr">
        <is>
          <t>L</t>
        </is>
      </c>
      <c r="E53" s="1054" t="n">
        <v>42471.4149132825</v>
      </c>
      <c r="F53" s="1052" t="n">
        <v>1</v>
      </c>
      <c r="G53" s="1052" t="n">
        <v>36</v>
      </c>
      <c r="H53" s="1054" t="n">
        <v>11936.1664472289</v>
      </c>
      <c r="I53" s="1054" t="n">
        <v>11936.1664472289</v>
      </c>
      <c r="J53" s="1054" t="n">
        <v>11936.1664472289</v>
      </c>
      <c r="K53" s="1054" t="n"/>
      <c r="L53" s="1056" t="n"/>
      <c r="M53" s="1064" t="n"/>
      <c r="N53" s="1064" t="n"/>
      <c r="O53" s="1064" t="n"/>
      <c r="P53" s="1064" t="n"/>
      <c r="Q53" s="1064" t="n"/>
      <c r="R53" s="1064" t="n"/>
      <c r="S53" s="1064" t="n"/>
      <c r="T53" s="1064" t="n"/>
      <c r="U53" s="1064" t="n"/>
      <c r="V53" s="1064" t="n"/>
      <c r="W53" s="1064" t="n"/>
      <c r="X53" s="1064" t="n"/>
      <c r="Y53" s="1064" t="n"/>
      <c r="Z53" s="1064" t="n"/>
      <c r="AA53" s="1064" t="n"/>
      <c r="AB53" s="1064" t="n"/>
      <c r="AC53" s="1064" t="n"/>
      <c r="AD53" s="1064" t="n"/>
      <c r="AE53" s="1064" t="n"/>
      <c r="AF53" s="1064" t="n"/>
      <c r="AG53" s="1064" t="n"/>
      <c r="AH53" s="1064" t="n"/>
      <c r="AI53" s="1064" t="n"/>
      <c r="AJ53" s="1064" t="n"/>
      <c r="AK53" s="1064" t="n"/>
      <c r="AL53" s="1064" t="n"/>
      <c r="AM53" s="1064" t="n"/>
      <c r="AN53" s="1064" t="n"/>
      <c r="AO53" s="1064" t="n"/>
      <c r="AP53" s="1064" t="n"/>
      <c r="AQ53" s="1064" t="n"/>
      <c r="AR53" s="1064" t="n"/>
      <c r="AS53" s="1064" t="n"/>
      <c r="AT53" s="1064" t="n"/>
      <c r="AU53" s="1064" t="n"/>
      <c r="AV53" s="1064" t="n"/>
      <c r="AW53" s="1064" t="n"/>
      <c r="AX53" s="1064" t="n"/>
      <c r="AY53" s="1064" t="n"/>
      <c r="AZ53" s="1064" t="n"/>
      <c r="BA53" s="1064" t="n"/>
      <c r="BB53" s="1064" t="n"/>
      <c r="BC53" s="1064" t="n"/>
      <c r="BD53" s="1064" t="n"/>
      <c r="BE53" s="1064" t="n"/>
      <c r="BF53" s="1064" t="n"/>
      <c r="BG53" s="1064" t="n"/>
      <c r="BH53" s="1064" t="n"/>
      <c r="BI53" s="1064" t="n"/>
      <c r="BJ53" s="1064" t="n"/>
      <c r="BK53" s="1064" t="n"/>
      <c r="BL53" s="1064" t="n"/>
      <c r="BM53" s="1064" t="n"/>
      <c r="BN53" s="1064" t="n"/>
      <c r="BO53" s="1064" t="n"/>
      <c r="BP53" s="1064" t="n"/>
      <c r="BQ53" s="1064" t="n"/>
      <c r="BR53" s="1064" t="n"/>
      <c r="BS53" s="1064" t="n"/>
      <c r="BT53" s="1064" t="n"/>
    </row>
    <row r="54" ht="13.2" customHeight="1" s="586">
      <c r="A54" s="1051" t="inlineStr">
        <is>
          <t>Desktop HW</t>
        </is>
      </c>
      <c r="B54" s="1052" t="inlineStr">
        <is>
          <t>NL</t>
        </is>
      </c>
      <c r="C54" s="1052" t="inlineStr">
        <is>
          <t>Printer Local Mono</t>
        </is>
      </c>
      <c r="D54" s="1053" t="inlineStr">
        <is>
          <t>L</t>
        </is>
      </c>
      <c r="E54" s="1054" t="n">
        <v>42471.4149132825</v>
      </c>
      <c r="F54" s="1052" t="n">
        <v>13</v>
      </c>
      <c r="G54" s="1052" t="n">
        <v>36</v>
      </c>
      <c r="H54" s="1054" t="n"/>
      <c r="I54" s="1054" t="n">
        <v>11936.1664472289</v>
      </c>
      <c r="J54" s="1054" t="n">
        <v>11936.1664472289</v>
      </c>
      <c r="K54" s="1054" t="n">
        <v>11936.1664472289</v>
      </c>
      <c r="L54" s="1056" t="n"/>
      <c r="M54" s="1064" t="n"/>
      <c r="N54" s="1064" t="n"/>
      <c r="O54" s="1064" t="n"/>
      <c r="P54" s="1064" t="n"/>
      <c r="Q54" s="1064" t="n"/>
      <c r="R54" s="1064" t="n"/>
      <c r="S54" s="1064" t="n"/>
      <c r="T54" s="1064" t="n"/>
      <c r="U54" s="1064" t="n"/>
      <c r="V54" s="1064" t="n"/>
      <c r="W54" s="1064" t="n"/>
      <c r="X54" s="1064" t="n"/>
      <c r="Y54" s="1064" t="n"/>
      <c r="Z54" s="1064" t="n"/>
      <c r="AA54" s="1064" t="n"/>
      <c r="AB54" s="1064" t="n"/>
      <c r="AC54" s="1064" t="n"/>
      <c r="AD54" s="1064" t="n"/>
      <c r="AE54" s="1064" t="n"/>
      <c r="AF54" s="1064" t="n"/>
      <c r="AG54" s="1064" t="n"/>
      <c r="AH54" s="1064" t="n"/>
      <c r="AI54" s="1064" t="n"/>
      <c r="AJ54" s="1064" t="n"/>
      <c r="AK54" s="1064" t="n"/>
      <c r="AL54" s="1064" t="n"/>
      <c r="AM54" s="1064" t="n"/>
      <c r="AN54" s="1064" t="n"/>
      <c r="AO54" s="1064" t="n"/>
      <c r="AP54" s="1064" t="n"/>
      <c r="AQ54" s="1064" t="n"/>
      <c r="AR54" s="1064" t="n"/>
      <c r="AS54" s="1064" t="n"/>
      <c r="AT54" s="1064" t="n"/>
      <c r="AU54" s="1064" t="n"/>
      <c r="AV54" s="1064" t="n"/>
      <c r="AW54" s="1064" t="n"/>
      <c r="AX54" s="1064" t="n"/>
      <c r="AY54" s="1064" t="n"/>
      <c r="AZ54" s="1064" t="n"/>
      <c r="BA54" s="1064" t="n"/>
      <c r="BB54" s="1064" t="n"/>
      <c r="BC54" s="1064" t="n"/>
      <c r="BD54" s="1064" t="n"/>
      <c r="BE54" s="1064" t="n"/>
      <c r="BF54" s="1064" t="n"/>
      <c r="BG54" s="1064" t="n"/>
      <c r="BH54" s="1064" t="n"/>
      <c r="BI54" s="1064" t="n"/>
      <c r="BJ54" s="1064" t="n"/>
      <c r="BK54" s="1064" t="n"/>
      <c r="BL54" s="1064" t="n"/>
      <c r="BM54" s="1064" t="n"/>
      <c r="BN54" s="1064" t="n"/>
      <c r="BO54" s="1064" t="n"/>
      <c r="BP54" s="1064" t="n"/>
      <c r="BQ54" s="1064" t="n"/>
      <c r="BR54" s="1064" t="n"/>
      <c r="BS54" s="1064" t="n"/>
      <c r="BT54" s="1064" t="n"/>
    </row>
    <row r="55" ht="13.2" customHeight="1" s="586">
      <c r="A55" s="1051" t="inlineStr">
        <is>
          <t>Desktop HW</t>
        </is>
      </c>
      <c r="B55" s="1052" t="inlineStr">
        <is>
          <t>NL</t>
        </is>
      </c>
      <c r="C55" s="1052" t="inlineStr">
        <is>
          <t>Printer Local Mono</t>
        </is>
      </c>
      <c r="D55" s="1053" t="inlineStr">
        <is>
          <t>L</t>
        </is>
      </c>
      <c r="E55" s="1054" t="n">
        <v>42471.4149132825</v>
      </c>
      <c r="F55" s="1052" t="n">
        <v>25</v>
      </c>
      <c r="G55" s="1052" t="n">
        <v>36</v>
      </c>
      <c r="H55" s="1054" t="n"/>
      <c r="I55" s="1054" t="n"/>
      <c r="J55" s="1054" t="n">
        <v>11936.1664472289</v>
      </c>
      <c r="K55" s="1054" t="n">
        <v>11936.1664472289</v>
      </c>
      <c r="L55" s="1056" t="n">
        <v>11936.1664472289</v>
      </c>
      <c r="M55" s="1064" t="n"/>
      <c r="N55" s="1064" t="n"/>
      <c r="O55" s="1064" t="n"/>
      <c r="P55" s="1064" t="n"/>
      <c r="Q55" s="1064" t="n"/>
      <c r="R55" s="1064" t="n"/>
      <c r="S55" s="1064" t="n"/>
      <c r="T55" s="1064" t="n"/>
      <c r="U55" s="1064" t="n"/>
      <c r="V55" s="1064" t="n"/>
      <c r="W55" s="1064" t="n"/>
      <c r="X55" s="1064" t="n"/>
      <c r="Y55" s="1064" t="n"/>
      <c r="Z55" s="1064" t="n"/>
      <c r="AA55" s="1064" t="n"/>
      <c r="AB55" s="1064" t="n"/>
      <c r="AC55" s="1064" t="n"/>
      <c r="AD55" s="1064" t="n"/>
      <c r="AE55" s="1064" t="n"/>
      <c r="AF55" s="1064" t="n"/>
      <c r="AG55" s="1064" t="n"/>
      <c r="AH55" s="1064" t="n"/>
      <c r="AI55" s="1064" t="n"/>
      <c r="AJ55" s="1064" t="n"/>
      <c r="AK55" s="1064" t="n"/>
      <c r="AL55" s="1064" t="n"/>
      <c r="AM55" s="1064" t="n"/>
      <c r="AN55" s="1064" t="n"/>
      <c r="AO55" s="1064" t="n"/>
      <c r="AP55" s="1064" t="n"/>
      <c r="AQ55" s="1064" t="n"/>
      <c r="AR55" s="1064" t="n"/>
      <c r="AS55" s="1064" t="n"/>
      <c r="AT55" s="1064" t="n"/>
      <c r="AU55" s="1064" t="n"/>
      <c r="AV55" s="1064" t="n"/>
      <c r="AW55" s="1064" t="n"/>
      <c r="AX55" s="1064" t="n"/>
      <c r="AY55" s="1064" t="n"/>
      <c r="AZ55" s="1064" t="n"/>
      <c r="BA55" s="1064" t="n"/>
      <c r="BB55" s="1064" t="n"/>
      <c r="BC55" s="1064" t="n"/>
      <c r="BD55" s="1064" t="n"/>
      <c r="BE55" s="1064" t="n"/>
      <c r="BF55" s="1064" t="n"/>
      <c r="BG55" s="1064" t="n"/>
      <c r="BH55" s="1064" t="n"/>
      <c r="BI55" s="1064" t="n"/>
      <c r="BJ55" s="1064" t="n"/>
      <c r="BK55" s="1064" t="n"/>
      <c r="BL55" s="1064" t="n"/>
      <c r="BM55" s="1064" t="n"/>
      <c r="BN55" s="1064" t="n"/>
      <c r="BO55" s="1064" t="n"/>
      <c r="BP55" s="1064" t="n"/>
      <c r="BQ55" s="1064" t="n"/>
      <c r="BR55" s="1064" t="n"/>
      <c r="BS55" s="1064" t="n"/>
      <c r="BT55" s="1064" t="n"/>
    </row>
    <row r="56" ht="13.2" customHeight="1" s="586">
      <c r="A56" s="1051" t="inlineStr">
        <is>
          <t>Desktop HW</t>
        </is>
      </c>
      <c r="B56" s="1052" t="inlineStr">
        <is>
          <t>NL</t>
        </is>
      </c>
      <c r="C56" s="1052" t="inlineStr">
        <is>
          <t>Printer Local Mono</t>
        </is>
      </c>
      <c r="D56" s="1053" t="inlineStr">
        <is>
          <t>L</t>
        </is>
      </c>
      <c r="E56" s="1054" t="n">
        <v>42471.4149132825</v>
      </c>
      <c r="F56" s="1052" t="n">
        <v>37</v>
      </c>
      <c r="G56" s="1052" t="n">
        <v>36</v>
      </c>
      <c r="H56" s="1054" t="n"/>
      <c r="I56" s="1054" t="n"/>
      <c r="J56" s="1054" t="n"/>
      <c r="K56" s="1054" t="n">
        <v>11936.1664472289</v>
      </c>
      <c r="L56" s="1056" t="n">
        <v>11936.1664472289</v>
      </c>
      <c r="M56" s="1064" t="n"/>
      <c r="N56" s="1064" t="n"/>
      <c r="O56" s="1064" t="n"/>
      <c r="P56" s="1064" t="n"/>
      <c r="Q56" s="1064" t="n"/>
      <c r="R56" s="1064" t="n"/>
      <c r="S56" s="1064" t="n"/>
      <c r="T56" s="1064" t="n"/>
      <c r="U56" s="1064" t="n"/>
      <c r="V56" s="1064" t="n"/>
      <c r="W56" s="1064" t="n"/>
      <c r="X56" s="1064" t="n"/>
      <c r="Y56" s="1064" t="n"/>
      <c r="Z56" s="1064" t="n"/>
      <c r="AA56" s="1064" t="n"/>
      <c r="AB56" s="1064" t="n"/>
      <c r="AC56" s="1064" t="n"/>
      <c r="AD56" s="1064" t="n"/>
      <c r="AE56" s="1064" t="n"/>
      <c r="AF56" s="1064" t="n"/>
      <c r="AG56" s="1064" t="n"/>
      <c r="AH56" s="1064" t="n"/>
      <c r="AI56" s="1064" t="n"/>
      <c r="AJ56" s="1064" t="n"/>
      <c r="AK56" s="1064" t="n"/>
      <c r="AL56" s="1064" t="n"/>
      <c r="AM56" s="1064" t="n"/>
      <c r="AN56" s="1064" t="n"/>
      <c r="AO56" s="1064" t="n"/>
      <c r="AP56" s="1064" t="n"/>
      <c r="AQ56" s="1064" t="n"/>
      <c r="AR56" s="1064" t="n"/>
      <c r="AS56" s="1064" t="n"/>
      <c r="AT56" s="1064" t="n"/>
      <c r="AU56" s="1064" t="n"/>
      <c r="AV56" s="1064" t="n"/>
      <c r="AW56" s="1064" t="n"/>
      <c r="AX56" s="1064" t="n"/>
      <c r="AY56" s="1064" t="n"/>
      <c r="AZ56" s="1064" t="n"/>
      <c r="BA56" s="1064" t="n"/>
      <c r="BB56" s="1064" t="n"/>
      <c r="BC56" s="1064" t="n"/>
      <c r="BD56" s="1064" t="n"/>
      <c r="BE56" s="1064" t="n"/>
      <c r="BF56" s="1064" t="n"/>
      <c r="BG56" s="1064" t="n"/>
      <c r="BH56" s="1064" t="n"/>
      <c r="BI56" s="1064" t="n"/>
      <c r="BJ56" s="1064" t="n"/>
      <c r="BK56" s="1064" t="n"/>
      <c r="BL56" s="1064" t="n"/>
      <c r="BM56" s="1064" t="n"/>
      <c r="BN56" s="1064" t="n"/>
      <c r="BO56" s="1064" t="n"/>
      <c r="BP56" s="1064" t="n"/>
      <c r="BQ56" s="1064" t="n"/>
      <c r="BR56" s="1064" t="n"/>
      <c r="BS56" s="1064" t="n"/>
      <c r="BT56" s="1064" t="n"/>
    </row>
    <row r="57" ht="13.2" customHeight="1" s="586">
      <c r="A57" s="1051" t="inlineStr">
        <is>
          <t>Desktop HW</t>
        </is>
      </c>
      <c r="B57" s="1052" t="inlineStr">
        <is>
          <t>NL</t>
        </is>
      </c>
      <c r="C57" s="1052" t="inlineStr">
        <is>
          <t>Printer Local Mono</t>
        </is>
      </c>
      <c r="D57" s="1053" t="inlineStr">
        <is>
          <t>L</t>
        </is>
      </c>
      <c r="E57" s="1054" t="n">
        <v>42471.4149132825</v>
      </c>
      <c r="F57" s="1052" t="n">
        <v>49</v>
      </c>
      <c r="G57" s="1052" t="n">
        <v>36</v>
      </c>
      <c r="H57" s="1054" t="n"/>
      <c r="I57" s="1054" t="n"/>
      <c r="J57" s="1054" t="n"/>
      <c r="K57" s="1054" t="n"/>
      <c r="L57" s="1056" t="n">
        <v>11936.1664472289</v>
      </c>
      <c r="M57" s="1064" t="n"/>
      <c r="N57" s="1064" t="n"/>
      <c r="O57" s="1064" t="n"/>
      <c r="P57" s="1064" t="n"/>
      <c r="Q57" s="1064" t="n"/>
      <c r="R57" s="1064" t="n"/>
      <c r="S57" s="1064" t="n"/>
      <c r="T57" s="1064" t="n"/>
      <c r="U57" s="1064" t="n"/>
      <c r="V57" s="1064" t="n"/>
      <c r="W57" s="1064" t="n"/>
      <c r="X57" s="1064" t="n"/>
      <c r="Y57" s="1064" t="n"/>
      <c r="Z57" s="1064" t="n"/>
      <c r="AA57" s="1064" t="n"/>
      <c r="AB57" s="1064" t="n"/>
      <c r="AC57" s="1064" t="n"/>
      <c r="AD57" s="1064" t="n"/>
      <c r="AE57" s="1064" t="n"/>
      <c r="AF57" s="1064" t="n"/>
      <c r="AG57" s="1064" t="n"/>
      <c r="AH57" s="1064" t="n"/>
      <c r="AI57" s="1064" t="n"/>
      <c r="AJ57" s="1064" t="n"/>
      <c r="AK57" s="1064" t="n"/>
      <c r="AL57" s="1064" t="n"/>
      <c r="AM57" s="1064" t="n"/>
      <c r="AN57" s="1064" t="n"/>
      <c r="AO57" s="1064" t="n"/>
      <c r="AP57" s="1064" t="n"/>
      <c r="AQ57" s="1064" t="n"/>
      <c r="AR57" s="1064" t="n"/>
      <c r="AS57" s="1064" t="n"/>
      <c r="AT57" s="1064" t="n"/>
      <c r="AU57" s="1064" t="n"/>
      <c r="AV57" s="1064" t="n"/>
      <c r="AW57" s="1064" t="n"/>
      <c r="AX57" s="1064" t="n"/>
      <c r="AY57" s="1064" t="n"/>
      <c r="AZ57" s="1064" t="n"/>
      <c r="BA57" s="1064" t="n"/>
      <c r="BB57" s="1064" t="n"/>
      <c r="BC57" s="1064" t="n"/>
      <c r="BD57" s="1064" t="n"/>
      <c r="BE57" s="1064" t="n"/>
      <c r="BF57" s="1064" t="n"/>
      <c r="BG57" s="1064" t="n"/>
      <c r="BH57" s="1064" t="n"/>
      <c r="BI57" s="1064" t="n"/>
      <c r="BJ57" s="1064" t="n"/>
      <c r="BK57" s="1064" t="n"/>
      <c r="BL57" s="1064" t="n"/>
      <c r="BM57" s="1064" t="n"/>
      <c r="BN57" s="1064" t="n"/>
      <c r="BO57" s="1064" t="n"/>
      <c r="BP57" s="1064" t="n"/>
      <c r="BQ57" s="1064" t="n"/>
      <c r="BR57" s="1064" t="n"/>
      <c r="BS57" s="1064" t="n"/>
      <c r="BT57" s="1064" t="n"/>
    </row>
    <row r="58" ht="13.2" customHeight="1" s="586">
      <c r="A58" s="1051" t="inlineStr">
        <is>
          <t>Desktop HW</t>
        </is>
      </c>
      <c r="B58" s="1052" t="inlineStr">
        <is>
          <t>NL</t>
        </is>
      </c>
      <c r="C58" s="1052" t="inlineStr">
        <is>
          <t>S&amp;LB Printer Local Color</t>
        </is>
      </c>
      <c r="D58" s="1053" t="inlineStr">
        <is>
          <t>L</t>
        </is>
      </c>
      <c r="E58" s="1054" t="n">
        <v>0</v>
      </c>
      <c r="F58" s="1052" t="n">
        <v>1</v>
      </c>
      <c r="G58" s="1052" t="n">
        <v>36</v>
      </c>
      <c r="H58" s="1054" t="n">
        <v>43682.4550347232</v>
      </c>
      <c r="I58" s="1054" t="n"/>
      <c r="J58" s="1054" t="n"/>
      <c r="K58" s="1054" t="n"/>
      <c r="L58" s="1056" t="n"/>
      <c r="M58" s="1064" t="n"/>
      <c r="N58" s="1064" t="n"/>
      <c r="O58" s="1064" t="n"/>
      <c r="P58" s="1064" t="n"/>
      <c r="Q58" s="1064" t="n"/>
      <c r="R58" s="1064" t="n"/>
      <c r="S58" s="1064" t="n"/>
      <c r="T58" s="1064" t="n"/>
      <c r="U58" s="1064" t="n"/>
      <c r="V58" s="1064" t="n"/>
      <c r="W58" s="1064" t="n"/>
      <c r="X58" s="1064" t="n"/>
      <c r="Y58" s="1064" t="n"/>
      <c r="Z58" s="1064" t="n"/>
      <c r="AA58" s="1064" t="n"/>
      <c r="AB58" s="1064" t="n"/>
      <c r="AC58" s="1064" t="n"/>
      <c r="AD58" s="1064" t="n"/>
      <c r="AE58" s="1064" t="n"/>
      <c r="AF58" s="1064" t="n"/>
      <c r="AG58" s="1064" t="n"/>
      <c r="AH58" s="1064" t="n"/>
      <c r="AI58" s="1064" t="n"/>
      <c r="AJ58" s="1064" t="n"/>
      <c r="AK58" s="1064" t="n"/>
      <c r="AL58" s="1064" t="n"/>
      <c r="AM58" s="1064" t="n"/>
      <c r="AN58" s="1064" t="n"/>
      <c r="AO58" s="1064" t="n"/>
      <c r="AP58" s="1064" t="n"/>
      <c r="AQ58" s="1064" t="n"/>
      <c r="AR58" s="1064" t="n"/>
      <c r="AS58" s="1064" t="n"/>
      <c r="AT58" s="1064" t="n"/>
      <c r="AU58" s="1064" t="n"/>
      <c r="AV58" s="1064" t="n"/>
      <c r="AW58" s="1064" t="n"/>
      <c r="AX58" s="1064" t="n"/>
      <c r="AY58" s="1064" t="n"/>
      <c r="AZ58" s="1064" t="n"/>
      <c r="BA58" s="1064" t="n"/>
      <c r="BB58" s="1064" t="n"/>
      <c r="BC58" s="1064" t="n"/>
      <c r="BD58" s="1064" t="n"/>
      <c r="BE58" s="1064" t="n"/>
      <c r="BF58" s="1064" t="n"/>
      <c r="BG58" s="1064" t="n"/>
      <c r="BH58" s="1064" t="n"/>
      <c r="BI58" s="1064" t="n"/>
      <c r="BJ58" s="1064" t="n"/>
      <c r="BK58" s="1064" t="n"/>
      <c r="BL58" s="1064" t="n"/>
      <c r="BM58" s="1064" t="n"/>
      <c r="BN58" s="1064" t="n"/>
      <c r="BO58" s="1064" t="n"/>
      <c r="BP58" s="1064" t="n"/>
      <c r="BQ58" s="1064" t="n"/>
      <c r="BR58" s="1064" t="n"/>
      <c r="BS58" s="1064" t="n"/>
      <c r="BT58" s="1064" t="n"/>
    </row>
    <row r="59" ht="13.2" customHeight="1" s="586">
      <c r="A59" s="1051" t="inlineStr">
        <is>
          <t>Desktop HW</t>
        </is>
      </c>
      <c r="B59" s="1052" t="inlineStr">
        <is>
          <t>NL</t>
        </is>
      </c>
      <c r="C59" s="1052" t="inlineStr">
        <is>
          <t>S&amp;LB Printer Local Color</t>
        </is>
      </c>
      <c r="D59" s="1053" t="inlineStr">
        <is>
          <t>L</t>
        </is>
      </c>
      <c r="E59" s="1054" t="n">
        <v>0</v>
      </c>
      <c r="F59" s="1052" t="n">
        <v>1</v>
      </c>
      <c r="G59" s="1052" t="n">
        <v>36</v>
      </c>
      <c r="H59" s="1054" t="n">
        <v>43682.4550347232</v>
      </c>
      <c r="I59" s="1054" t="n">
        <v>43682.4550347232</v>
      </c>
      <c r="J59" s="1054" t="n"/>
      <c r="K59" s="1054" t="n"/>
      <c r="L59" s="1056" t="n"/>
      <c r="M59" s="1064" t="n"/>
      <c r="N59" s="1064" t="n"/>
      <c r="O59" s="1064" t="n"/>
      <c r="P59" s="1064" t="n"/>
      <c r="Q59" s="1064" t="n"/>
      <c r="R59" s="1064" t="n"/>
      <c r="S59" s="1064" t="n"/>
      <c r="T59" s="1064" t="n"/>
      <c r="U59" s="1064" t="n"/>
      <c r="V59" s="1064" t="n"/>
      <c r="W59" s="1064" t="n"/>
      <c r="X59" s="1064" t="n"/>
      <c r="Y59" s="1064" t="n"/>
      <c r="Z59" s="1064" t="n"/>
      <c r="AA59" s="1064" t="n"/>
      <c r="AB59" s="1064" t="n"/>
      <c r="AC59" s="1064" t="n"/>
      <c r="AD59" s="1064" t="n"/>
      <c r="AE59" s="1064" t="n"/>
      <c r="AF59" s="1064" t="n"/>
      <c r="AG59" s="1064" t="n"/>
      <c r="AH59" s="1064" t="n"/>
      <c r="AI59" s="1064" t="n"/>
      <c r="AJ59" s="1064" t="n"/>
      <c r="AK59" s="1064" t="n"/>
      <c r="AL59" s="1064" t="n"/>
      <c r="AM59" s="1064" t="n"/>
      <c r="AN59" s="1064" t="n"/>
      <c r="AO59" s="1064" t="n"/>
      <c r="AP59" s="1064" t="n"/>
      <c r="AQ59" s="1064" t="n"/>
      <c r="AR59" s="1064" t="n"/>
      <c r="AS59" s="1064" t="n"/>
      <c r="AT59" s="1064" t="n"/>
      <c r="AU59" s="1064" t="n"/>
      <c r="AV59" s="1064" t="n"/>
      <c r="AW59" s="1064" t="n"/>
      <c r="AX59" s="1064" t="n"/>
      <c r="AY59" s="1064" t="n"/>
      <c r="AZ59" s="1064" t="n"/>
      <c r="BA59" s="1064" t="n"/>
      <c r="BB59" s="1064" t="n"/>
      <c r="BC59" s="1064" t="n"/>
      <c r="BD59" s="1064" t="n"/>
      <c r="BE59" s="1064" t="n"/>
      <c r="BF59" s="1064" t="n"/>
      <c r="BG59" s="1064" t="n"/>
      <c r="BH59" s="1064" t="n"/>
      <c r="BI59" s="1064" t="n"/>
      <c r="BJ59" s="1064" t="n"/>
      <c r="BK59" s="1064" t="n"/>
      <c r="BL59" s="1064" t="n"/>
      <c r="BM59" s="1064" t="n"/>
      <c r="BN59" s="1064" t="n"/>
      <c r="BO59" s="1064" t="n"/>
      <c r="BP59" s="1064" t="n"/>
      <c r="BQ59" s="1064" t="n"/>
      <c r="BR59" s="1064" t="n"/>
      <c r="BS59" s="1064" t="n"/>
      <c r="BT59" s="1064" t="n"/>
    </row>
    <row r="60" ht="13.2" customHeight="1" s="586">
      <c r="A60" s="1051" t="inlineStr">
        <is>
          <t>Desktop HW</t>
        </is>
      </c>
      <c r="B60" s="1052" t="inlineStr">
        <is>
          <t>NL</t>
        </is>
      </c>
      <c r="C60" s="1065" t="inlineStr">
        <is>
          <t>Printer Local Color</t>
        </is>
      </c>
      <c r="D60" s="1053" t="inlineStr">
        <is>
          <t>L</t>
        </is>
      </c>
      <c r="E60" s="1054" t="n">
        <v>155431.451162551</v>
      </c>
      <c r="F60" s="1052" t="n">
        <v>1</v>
      </c>
      <c r="G60" s="1052" t="n">
        <v>36</v>
      </c>
      <c r="H60" s="1054" t="n">
        <v>43682.4550347232</v>
      </c>
      <c r="I60" s="1054" t="n">
        <v>43682.4550347232</v>
      </c>
      <c r="J60" s="1054" t="n">
        <v>43682.4550347232</v>
      </c>
      <c r="K60" s="1054" t="n"/>
      <c r="L60" s="1056" t="n"/>
      <c r="M60" s="1064" t="n"/>
      <c r="N60" s="1064" t="n"/>
      <c r="O60" s="1064" t="n"/>
      <c r="P60" s="1064" t="n"/>
      <c r="Q60" s="1064" t="n"/>
      <c r="R60" s="1064" t="n"/>
      <c r="S60" s="1064" t="n"/>
      <c r="T60" s="1064" t="n"/>
      <c r="U60" s="1064" t="n"/>
      <c r="V60" s="1064" t="n"/>
      <c r="W60" s="1064" t="n"/>
      <c r="X60" s="1064" t="n"/>
      <c r="Y60" s="1064" t="n"/>
      <c r="Z60" s="1064" t="n"/>
      <c r="AA60" s="1064" t="n"/>
      <c r="AB60" s="1064" t="n"/>
      <c r="AC60" s="1064" t="n"/>
      <c r="AD60" s="1064" t="n"/>
      <c r="AE60" s="1064" t="n"/>
      <c r="AF60" s="1064" t="n"/>
      <c r="AG60" s="1064" t="n"/>
      <c r="AH60" s="1064" t="n"/>
      <c r="AI60" s="1064" t="n"/>
      <c r="AJ60" s="1064" t="n"/>
      <c r="AK60" s="1064" t="n"/>
      <c r="AL60" s="1064" t="n"/>
      <c r="AM60" s="1064" t="n"/>
      <c r="AN60" s="1064" t="n"/>
      <c r="AO60" s="1064" t="n"/>
      <c r="AP60" s="1064" t="n"/>
      <c r="AQ60" s="1064" t="n"/>
      <c r="AR60" s="1064" t="n"/>
      <c r="AS60" s="1064" t="n"/>
      <c r="AT60" s="1064" t="n"/>
      <c r="AU60" s="1064" t="n"/>
      <c r="AV60" s="1064" t="n"/>
      <c r="AW60" s="1064" t="n"/>
      <c r="AX60" s="1064" t="n"/>
      <c r="AY60" s="1064" t="n"/>
      <c r="AZ60" s="1064" t="n"/>
      <c r="BA60" s="1064" t="n"/>
      <c r="BB60" s="1064" t="n"/>
      <c r="BC60" s="1064" t="n"/>
      <c r="BD60" s="1064" t="n"/>
      <c r="BE60" s="1064" t="n"/>
      <c r="BF60" s="1064" t="n"/>
      <c r="BG60" s="1064" t="n"/>
      <c r="BH60" s="1064" t="n"/>
      <c r="BI60" s="1064" t="n"/>
      <c r="BJ60" s="1064" t="n"/>
      <c r="BK60" s="1064" t="n"/>
      <c r="BL60" s="1064" t="n"/>
      <c r="BM60" s="1064" t="n"/>
      <c r="BN60" s="1064" t="n"/>
      <c r="BO60" s="1064" t="n"/>
      <c r="BP60" s="1064" t="n"/>
      <c r="BQ60" s="1064" t="n"/>
      <c r="BR60" s="1064" t="n"/>
      <c r="BS60" s="1064" t="n"/>
      <c r="BT60" s="1064" t="n"/>
    </row>
    <row r="61" ht="13.2" customHeight="1" s="586">
      <c r="A61" s="1051" t="inlineStr">
        <is>
          <t>Desktop HW</t>
        </is>
      </c>
      <c r="B61" s="1052" t="inlineStr">
        <is>
          <t>NL</t>
        </is>
      </c>
      <c r="C61" s="1065" t="inlineStr">
        <is>
          <t>Printer Local Color</t>
        </is>
      </c>
      <c r="D61" s="1053" t="inlineStr">
        <is>
          <t>L</t>
        </is>
      </c>
      <c r="E61" s="1054" t="n">
        <v>155431.451162551</v>
      </c>
      <c r="F61" s="1052" t="n">
        <v>13</v>
      </c>
      <c r="G61" s="1052" t="n">
        <v>36</v>
      </c>
      <c r="H61" s="1054" t="n"/>
      <c r="I61" s="1054" t="n">
        <v>43682.4550347232</v>
      </c>
      <c r="J61" s="1054" t="n">
        <v>43682.4550347232</v>
      </c>
      <c r="K61" s="1054" t="n">
        <v>43682.4550347232</v>
      </c>
      <c r="L61" s="1056" t="n"/>
      <c r="M61" s="1064" t="n"/>
      <c r="N61" s="1064" t="n"/>
      <c r="O61" s="1064" t="n"/>
      <c r="P61" s="1064" t="n"/>
      <c r="Q61" s="1064" t="n"/>
      <c r="R61" s="1064" t="n"/>
      <c r="S61" s="1064" t="n"/>
      <c r="T61" s="1064" t="n"/>
      <c r="U61" s="1064" t="n"/>
      <c r="V61" s="1064" t="n"/>
      <c r="W61" s="1064" t="n"/>
      <c r="X61" s="1064" t="n"/>
      <c r="Y61" s="1064" t="n"/>
      <c r="Z61" s="1064" t="n"/>
      <c r="AA61" s="1064" t="n"/>
      <c r="AB61" s="1064" t="n"/>
      <c r="AC61" s="1064" t="n"/>
      <c r="AD61" s="1064" t="n"/>
      <c r="AE61" s="1064" t="n"/>
      <c r="AF61" s="1064" t="n"/>
      <c r="AG61" s="1064" t="n"/>
      <c r="AH61" s="1064" t="n"/>
      <c r="AI61" s="1064" t="n"/>
      <c r="AJ61" s="1064" t="n"/>
      <c r="AK61" s="1064" t="n"/>
      <c r="AL61" s="1064" t="n"/>
      <c r="AM61" s="1064" t="n"/>
      <c r="AN61" s="1064" t="n"/>
      <c r="AO61" s="1064" t="n"/>
      <c r="AP61" s="1064" t="n"/>
      <c r="AQ61" s="1064" t="n"/>
      <c r="AR61" s="1064" t="n"/>
      <c r="AS61" s="1064" t="n"/>
      <c r="AT61" s="1064" t="n"/>
      <c r="AU61" s="1064" t="n"/>
      <c r="AV61" s="1064" t="n"/>
      <c r="AW61" s="1064" t="n"/>
      <c r="AX61" s="1064" t="n"/>
      <c r="AY61" s="1064" t="n"/>
      <c r="AZ61" s="1064" t="n"/>
      <c r="BA61" s="1064" t="n"/>
      <c r="BB61" s="1064" t="n"/>
      <c r="BC61" s="1064" t="n"/>
      <c r="BD61" s="1064" t="n"/>
      <c r="BE61" s="1064" t="n"/>
      <c r="BF61" s="1064" t="n"/>
      <c r="BG61" s="1064" t="n"/>
      <c r="BH61" s="1064" t="n"/>
      <c r="BI61" s="1064" t="n"/>
      <c r="BJ61" s="1064" t="n"/>
      <c r="BK61" s="1064" t="n"/>
      <c r="BL61" s="1064" t="n"/>
      <c r="BM61" s="1064" t="n"/>
      <c r="BN61" s="1064" t="n"/>
      <c r="BO61" s="1064" t="n"/>
      <c r="BP61" s="1064" t="n"/>
      <c r="BQ61" s="1064" t="n"/>
      <c r="BR61" s="1064" t="n"/>
      <c r="BS61" s="1064" t="n"/>
      <c r="BT61" s="1064" t="n"/>
    </row>
    <row r="62" ht="13.2" customHeight="1" s="586">
      <c r="A62" s="1051" t="inlineStr">
        <is>
          <t>Desktop HW</t>
        </is>
      </c>
      <c r="B62" s="1052" t="inlineStr">
        <is>
          <t>NL</t>
        </is>
      </c>
      <c r="C62" s="1065" t="inlineStr">
        <is>
          <t>Printer Local Color</t>
        </is>
      </c>
      <c r="D62" s="1053" t="inlineStr">
        <is>
          <t>L</t>
        </is>
      </c>
      <c r="E62" s="1054" t="n">
        <v>155431.451162551</v>
      </c>
      <c r="F62" s="1052" t="n">
        <v>25</v>
      </c>
      <c r="G62" s="1052" t="n">
        <v>36</v>
      </c>
      <c r="H62" s="1054" t="n"/>
      <c r="I62" s="1054" t="n"/>
      <c r="J62" s="1054" t="n">
        <v>43682.4550347232</v>
      </c>
      <c r="K62" s="1054" t="n">
        <v>43682.4550347232</v>
      </c>
      <c r="L62" s="1056" t="n">
        <v>43682.4550347232</v>
      </c>
      <c r="M62" s="1064" t="n"/>
      <c r="N62" s="1064" t="n"/>
      <c r="O62" s="1064" t="n"/>
      <c r="P62" s="1064" t="n"/>
      <c r="Q62" s="1064" t="n"/>
      <c r="R62" s="1064" t="n"/>
      <c r="S62" s="1064" t="n"/>
      <c r="T62" s="1064" t="n"/>
      <c r="U62" s="1064" t="n"/>
      <c r="V62" s="1064" t="n"/>
      <c r="W62" s="1064" t="n"/>
      <c r="X62" s="1064" t="n"/>
      <c r="Y62" s="1064" t="n"/>
      <c r="Z62" s="1064" t="n"/>
      <c r="AA62" s="1064" t="n"/>
      <c r="AB62" s="1064" t="n"/>
      <c r="AC62" s="1064" t="n"/>
      <c r="AD62" s="1064" t="n"/>
      <c r="AE62" s="1064" t="n"/>
      <c r="AF62" s="1064" t="n"/>
      <c r="AG62" s="1064" t="n"/>
      <c r="AH62" s="1064" t="n"/>
      <c r="AI62" s="1064" t="n"/>
      <c r="AJ62" s="1064" t="n"/>
      <c r="AK62" s="1064" t="n"/>
      <c r="AL62" s="1064" t="n"/>
      <c r="AM62" s="1064" t="n"/>
      <c r="AN62" s="1064" t="n"/>
      <c r="AO62" s="1064" t="n"/>
      <c r="AP62" s="1064" t="n"/>
      <c r="AQ62" s="1064" t="n"/>
      <c r="AR62" s="1064" t="n"/>
      <c r="AS62" s="1064" t="n"/>
      <c r="AT62" s="1064" t="n"/>
      <c r="AU62" s="1064" t="n"/>
      <c r="AV62" s="1064" t="n"/>
      <c r="AW62" s="1064" t="n"/>
      <c r="AX62" s="1064" t="n"/>
      <c r="AY62" s="1064" t="n"/>
      <c r="AZ62" s="1064" t="n"/>
      <c r="BA62" s="1064" t="n"/>
      <c r="BB62" s="1064" t="n"/>
      <c r="BC62" s="1064" t="n"/>
      <c r="BD62" s="1064" t="n"/>
      <c r="BE62" s="1064" t="n"/>
      <c r="BF62" s="1064" t="n"/>
      <c r="BG62" s="1064" t="n"/>
      <c r="BH62" s="1064" t="n"/>
      <c r="BI62" s="1064" t="n"/>
      <c r="BJ62" s="1064" t="n"/>
      <c r="BK62" s="1064" t="n"/>
      <c r="BL62" s="1064" t="n"/>
      <c r="BM62" s="1064" t="n"/>
      <c r="BN62" s="1064" t="n"/>
      <c r="BO62" s="1064" t="n"/>
      <c r="BP62" s="1064" t="n"/>
      <c r="BQ62" s="1064" t="n"/>
      <c r="BR62" s="1064" t="n"/>
      <c r="BS62" s="1064" t="n"/>
      <c r="BT62" s="1064" t="n"/>
    </row>
    <row r="63" ht="13.2" customHeight="1" s="586">
      <c r="A63" s="1051" t="inlineStr">
        <is>
          <t>Desktop HW</t>
        </is>
      </c>
      <c r="B63" s="1052" t="inlineStr">
        <is>
          <t>NL</t>
        </is>
      </c>
      <c r="C63" s="1065" t="inlineStr">
        <is>
          <t>Printer Local Color</t>
        </is>
      </c>
      <c r="D63" s="1053" t="inlineStr">
        <is>
          <t>L</t>
        </is>
      </c>
      <c r="E63" s="1054" t="n">
        <v>155431.451162551</v>
      </c>
      <c r="F63" s="1052" t="n">
        <v>37</v>
      </c>
      <c r="G63" s="1052" t="n">
        <v>36</v>
      </c>
      <c r="H63" s="1054" t="n"/>
      <c r="I63" s="1054" t="n"/>
      <c r="J63" s="1054" t="n"/>
      <c r="K63" s="1054" t="n">
        <v>43682.4550347232</v>
      </c>
      <c r="L63" s="1056" t="n">
        <v>43682.4550347232</v>
      </c>
      <c r="M63" s="1064" t="n"/>
      <c r="N63" s="1064" t="n"/>
      <c r="O63" s="1064" t="n"/>
      <c r="P63" s="1064" t="n"/>
      <c r="Q63" s="1064" t="n"/>
      <c r="R63" s="1064" t="n"/>
      <c r="S63" s="1064" t="n"/>
      <c r="T63" s="1064" t="n"/>
      <c r="U63" s="1064" t="n"/>
      <c r="V63" s="1064" t="n"/>
      <c r="W63" s="1064" t="n"/>
      <c r="X63" s="1064" t="n"/>
      <c r="Y63" s="1064" t="n"/>
      <c r="Z63" s="1064" t="n"/>
      <c r="AA63" s="1064" t="n"/>
      <c r="AB63" s="1064" t="n"/>
      <c r="AC63" s="1064" t="n"/>
      <c r="AD63" s="1064" t="n"/>
      <c r="AE63" s="1064" t="n"/>
      <c r="AF63" s="1064" t="n"/>
      <c r="AG63" s="1064" t="n"/>
      <c r="AH63" s="1064" t="n"/>
      <c r="AI63" s="1064" t="n"/>
      <c r="AJ63" s="1064" t="n"/>
      <c r="AK63" s="1064" t="n"/>
      <c r="AL63" s="1064" t="n"/>
      <c r="AM63" s="1064" t="n"/>
      <c r="AN63" s="1064" t="n"/>
      <c r="AO63" s="1064" t="n"/>
      <c r="AP63" s="1064" t="n"/>
      <c r="AQ63" s="1064" t="n"/>
      <c r="AR63" s="1064" t="n"/>
      <c r="AS63" s="1064" t="n"/>
      <c r="AT63" s="1064" t="n"/>
      <c r="AU63" s="1064" t="n"/>
      <c r="AV63" s="1064" t="n"/>
      <c r="AW63" s="1064" t="n"/>
      <c r="AX63" s="1064" t="n"/>
      <c r="AY63" s="1064" t="n"/>
      <c r="AZ63" s="1064" t="n"/>
      <c r="BA63" s="1064" t="n"/>
      <c r="BB63" s="1064" t="n"/>
      <c r="BC63" s="1064" t="n"/>
      <c r="BD63" s="1064" t="n"/>
      <c r="BE63" s="1064" t="n"/>
      <c r="BF63" s="1064" t="n"/>
      <c r="BG63" s="1064" t="n"/>
      <c r="BH63" s="1064" t="n"/>
      <c r="BI63" s="1064" t="n"/>
      <c r="BJ63" s="1064" t="n"/>
      <c r="BK63" s="1064" t="n"/>
      <c r="BL63" s="1064" t="n"/>
      <c r="BM63" s="1064" t="n"/>
      <c r="BN63" s="1064" t="n"/>
      <c r="BO63" s="1064" t="n"/>
      <c r="BP63" s="1064" t="n"/>
      <c r="BQ63" s="1064" t="n"/>
      <c r="BR63" s="1064" t="n"/>
      <c r="BS63" s="1064" t="n"/>
      <c r="BT63" s="1064" t="n"/>
    </row>
    <row r="64" ht="13.2" customHeight="1" s="586">
      <c r="A64" s="1051" t="inlineStr">
        <is>
          <t>Desktop HW</t>
        </is>
      </c>
      <c r="B64" s="1052" t="inlineStr">
        <is>
          <t>NL</t>
        </is>
      </c>
      <c r="C64" s="1065" t="inlineStr">
        <is>
          <t>Printer Local Color</t>
        </is>
      </c>
      <c r="D64" s="1053" t="inlineStr">
        <is>
          <t>L</t>
        </is>
      </c>
      <c r="E64" s="1054" t="n">
        <v>155431.451162551</v>
      </c>
      <c r="F64" s="1052" t="n">
        <v>49</v>
      </c>
      <c r="G64" s="1052" t="n">
        <v>36</v>
      </c>
      <c r="H64" s="1054" t="n"/>
      <c r="I64" s="1054" t="n"/>
      <c r="J64" s="1054" t="n"/>
      <c r="K64" s="1054" t="n"/>
      <c r="L64" s="1056" t="n">
        <v>43682.4550347232</v>
      </c>
      <c r="M64" s="1064" t="n"/>
      <c r="N64" s="1064" t="n"/>
      <c r="O64" s="1064" t="n"/>
      <c r="P64" s="1064" t="n"/>
      <c r="Q64" s="1064" t="n"/>
      <c r="R64" s="1064" t="n"/>
      <c r="S64" s="1064" t="n"/>
      <c r="T64" s="1064" t="n"/>
      <c r="U64" s="1064" t="n"/>
      <c r="V64" s="1064" t="n"/>
      <c r="W64" s="1064" t="n"/>
      <c r="X64" s="1064" t="n"/>
      <c r="Y64" s="1064" t="n"/>
      <c r="Z64" s="1064" t="n"/>
      <c r="AA64" s="1064" t="n"/>
      <c r="AB64" s="1064" t="n"/>
      <c r="AC64" s="1064" t="n"/>
      <c r="AD64" s="1064" t="n"/>
      <c r="AE64" s="1064" t="n"/>
      <c r="AF64" s="1064" t="n"/>
      <c r="AG64" s="1064" t="n"/>
      <c r="AH64" s="1064" t="n"/>
      <c r="AI64" s="1064" t="n"/>
      <c r="AJ64" s="1064" t="n"/>
      <c r="AK64" s="1064" t="n"/>
      <c r="AL64" s="1064" t="n"/>
      <c r="AM64" s="1064" t="n"/>
      <c r="AN64" s="1064" t="n"/>
      <c r="AO64" s="1064" t="n"/>
      <c r="AP64" s="1064" t="n"/>
      <c r="AQ64" s="1064" t="n"/>
      <c r="AR64" s="1064" t="n"/>
      <c r="AS64" s="1064" t="n"/>
      <c r="AT64" s="1064" t="n"/>
      <c r="AU64" s="1064" t="n"/>
      <c r="AV64" s="1064" t="n"/>
      <c r="AW64" s="1064" t="n"/>
      <c r="AX64" s="1064" t="n"/>
      <c r="AY64" s="1064" t="n"/>
      <c r="AZ64" s="1064" t="n"/>
      <c r="BA64" s="1064" t="n"/>
      <c r="BB64" s="1064" t="n"/>
      <c r="BC64" s="1064" t="n"/>
      <c r="BD64" s="1064" t="n"/>
      <c r="BE64" s="1064" t="n"/>
      <c r="BF64" s="1064" t="n"/>
      <c r="BG64" s="1064" t="n"/>
      <c r="BH64" s="1064" t="n"/>
      <c r="BI64" s="1064" t="n"/>
      <c r="BJ64" s="1064" t="n"/>
      <c r="BK64" s="1064" t="n"/>
      <c r="BL64" s="1064" t="n"/>
      <c r="BM64" s="1064" t="n"/>
      <c r="BN64" s="1064" t="n"/>
      <c r="BO64" s="1064" t="n"/>
      <c r="BP64" s="1064" t="n"/>
      <c r="BQ64" s="1064" t="n"/>
      <c r="BR64" s="1064" t="n"/>
      <c r="BS64" s="1064" t="n"/>
      <c r="BT64" s="1064" t="n"/>
    </row>
    <row r="65" ht="13.2" customHeight="1" s="586">
      <c r="A65" s="1051" t="inlineStr">
        <is>
          <t>Desktop HW</t>
        </is>
      </c>
      <c r="B65" s="1052" t="inlineStr">
        <is>
          <t>NL</t>
        </is>
      </c>
      <c r="C65" s="1052" t="inlineStr">
        <is>
          <t>S&amp;LB Printer Network small Mono</t>
        </is>
      </c>
      <c r="D65" s="1053" t="inlineStr">
        <is>
          <t>L</t>
        </is>
      </c>
      <c r="E65" s="1054" t="n">
        <v>0</v>
      </c>
      <c r="F65" s="1052" t="n">
        <v>1</v>
      </c>
      <c r="G65" s="1052" t="n">
        <v>36</v>
      </c>
      <c r="H65" s="1054" t="n">
        <v>35137.4138700407</v>
      </c>
      <c r="I65" s="1054" t="n"/>
      <c r="J65" s="1054" t="n"/>
      <c r="K65" s="1054" t="n"/>
      <c r="L65" s="1056" t="n"/>
      <c r="M65" s="1064" t="n"/>
      <c r="N65" s="1064" t="n"/>
      <c r="O65" s="1064" t="n"/>
      <c r="P65" s="1064" t="n"/>
      <c r="Q65" s="1064" t="n"/>
      <c r="R65" s="1064" t="n"/>
      <c r="S65" s="1064" t="n"/>
      <c r="T65" s="1064" t="n"/>
      <c r="U65" s="1064" t="n"/>
      <c r="V65" s="1064" t="n"/>
      <c r="W65" s="1064" t="n"/>
      <c r="X65" s="1064" t="n"/>
      <c r="Y65" s="1064" t="n"/>
      <c r="Z65" s="1064" t="n"/>
      <c r="AA65" s="1064" t="n"/>
      <c r="AB65" s="1064" t="n"/>
      <c r="AC65" s="1064" t="n"/>
      <c r="AD65" s="1064" t="n"/>
      <c r="AE65" s="1064" t="n"/>
      <c r="AF65" s="1064" t="n"/>
      <c r="AG65" s="1064" t="n"/>
      <c r="AH65" s="1064" t="n"/>
      <c r="AI65" s="1064" t="n"/>
      <c r="AJ65" s="1064" t="n"/>
      <c r="AK65" s="1064" t="n"/>
      <c r="AL65" s="1064" t="n"/>
      <c r="AM65" s="1064" t="n"/>
      <c r="AN65" s="1064" t="n"/>
      <c r="AO65" s="1064" t="n"/>
      <c r="AP65" s="1064" t="n"/>
      <c r="AQ65" s="1064" t="n"/>
      <c r="AR65" s="1064" t="n"/>
      <c r="AS65" s="1064" t="n"/>
      <c r="AT65" s="1064" t="n"/>
      <c r="AU65" s="1064" t="n"/>
      <c r="AV65" s="1064" t="n"/>
      <c r="AW65" s="1064" t="n"/>
      <c r="AX65" s="1064" t="n"/>
      <c r="AY65" s="1064" t="n"/>
      <c r="AZ65" s="1064" t="n"/>
      <c r="BA65" s="1064" t="n"/>
      <c r="BB65" s="1064" t="n"/>
      <c r="BC65" s="1064" t="n"/>
      <c r="BD65" s="1064" t="n"/>
      <c r="BE65" s="1064" t="n"/>
      <c r="BF65" s="1064" t="n"/>
      <c r="BG65" s="1064" t="n"/>
      <c r="BH65" s="1064" t="n"/>
      <c r="BI65" s="1064" t="n"/>
      <c r="BJ65" s="1064" t="n"/>
      <c r="BK65" s="1064" t="n"/>
      <c r="BL65" s="1064" t="n"/>
      <c r="BM65" s="1064" t="n"/>
      <c r="BN65" s="1064" t="n"/>
      <c r="BO65" s="1064" t="n"/>
      <c r="BP65" s="1064" t="n"/>
      <c r="BQ65" s="1064" t="n"/>
      <c r="BR65" s="1064" t="n"/>
      <c r="BS65" s="1064" t="n"/>
      <c r="BT65" s="1064" t="n"/>
    </row>
    <row r="66" ht="13.2" customHeight="1" s="586">
      <c r="A66" s="1051" t="inlineStr">
        <is>
          <t>Desktop HW</t>
        </is>
      </c>
      <c r="B66" s="1052" t="inlineStr">
        <is>
          <t>NL</t>
        </is>
      </c>
      <c r="C66" s="1052" t="inlineStr">
        <is>
          <t>S&amp;LB Printer Network small Mono</t>
        </is>
      </c>
      <c r="D66" s="1053" t="inlineStr">
        <is>
          <t>L</t>
        </is>
      </c>
      <c r="E66" s="1054" t="n">
        <v>0</v>
      </c>
      <c r="F66" s="1052" t="n">
        <v>1</v>
      </c>
      <c r="G66" s="1052" t="n">
        <v>36</v>
      </c>
      <c r="H66" s="1054" t="n">
        <v>35137.4138700407</v>
      </c>
      <c r="I66" s="1054" t="n">
        <v>35137.4138700407</v>
      </c>
      <c r="J66" s="1054" t="n"/>
      <c r="K66" s="1054" t="n"/>
      <c r="L66" s="1056" t="n"/>
      <c r="M66" s="1064" t="n"/>
      <c r="N66" s="1064" t="n"/>
      <c r="O66" s="1064" t="n"/>
      <c r="P66" s="1064" t="n"/>
      <c r="Q66" s="1064" t="n"/>
      <c r="R66" s="1064" t="n"/>
      <c r="S66" s="1064" t="n"/>
      <c r="T66" s="1064" t="n"/>
      <c r="U66" s="1064" t="n"/>
      <c r="V66" s="1064" t="n"/>
      <c r="W66" s="1064" t="n"/>
      <c r="X66" s="1064" t="n"/>
      <c r="Y66" s="1064" t="n"/>
      <c r="Z66" s="1064" t="n"/>
      <c r="AA66" s="1064" t="n"/>
      <c r="AB66" s="1064" t="n"/>
      <c r="AC66" s="1064" t="n"/>
      <c r="AD66" s="1064" t="n"/>
      <c r="AE66" s="1064" t="n"/>
      <c r="AF66" s="1064" t="n"/>
      <c r="AG66" s="1064" t="n"/>
      <c r="AH66" s="1064" t="n"/>
      <c r="AI66" s="1064" t="n"/>
      <c r="AJ66" s="1064" t="n"/>
      <c r="AK66" s="1064" t="n"/>
      <c r="AL66" s="1064" t="n"/>
      <c r="AM66" s="1064" t="n"/>
      <c r="AN66" s="1064" t="n"/>
      <c r="AO66" s="1064" t="n"/>
      <c r="AP66" s="1064" t="n"/>
      <c r="AQ66" s="1064" t="n"/>
      <c r="AR66" s="1064" t="n"/>
      <c r="AS66" s="1064" t="n"/>
      <c r="AT66" s="1064" t="n"/>
      <c r="AU66" s="1064" t="n"/>
      <c r="AV66" s="1064" t="n"/>
      <c r="AW66" s="1064" t="n"/>
      <c r="AX66" s="1064" t="n"/>
      <c r="AY66" s="1064" t="n"/>
      <c r="AZ66" s="1064" t="n"/>
      <c r="BA66" s="1064" t="n"/>
      <c r="BB66" s="1064" t="n"/>
      <c r="BC66" s="1064" t="n"/>
      <c r="BD66" s="1064" t="n"/>
      <c r="BE66" s="1064" t="n"/>
      <c r="BF66" s="1064" t="n"/>
      <c r="BG66" s="1064" t="n"/>
      <c r="BH66" s="1064" t="n"/>
      <c r="BI66" s="1064" t="n"/>
      <c r="BJ66" s="1064" t="n"/>
      <c r="BK66" s="1064" t="n"/>
      <c r="BL66" s="1064" t="n"/>
      <c r="BM66" s="1064" t="n"/>
      <c r="BN66" s="1064" t="n"/>
      <c r="BO66" s="1064" t="n"/>
      <c r="BP66" s="1064" t="n"/>
      <c r="BQ66" s="1064" t="n"/>
      <c r="BR66" s="1064" t="n"/>
      <c r="BS66" s="1064" t="n"/>
      <c r="BT66" s="1064" t="n"/>
    </row>
    <row r="67" ht="13.2" customHeight="1" s="586">
      <c r="A67" s="1051" t="inlineStr">
        <is>
          <t>Desktop HW</t>
        </is>
      </c>
      <c r="B67" s="1052" t="inlineStr">
        <is>
          <t>NL</t>
        </is>
      </c>
      <c r="C67" s="1065" t="inlineStr">
        <is>
          <t>Printer Network small Mono</t>
        </is>
      </c>
      <c r="D67" s="1053" t="inlineStr">
        <is>
          <t>L</t>
        </is>
      </c>
      <c r="E67" s="1054" t="n">
        <v>125026.38012397</v>
      </c>
      <c r="F67" s="1052" t="n">
        <v>1</v>
      </c>
      <c r="G67" s="1052" t="n">
        <v>36</v>
      </c>
      <c r="H67" s="1054" t="n">
        <v>35137.4138700407</v>
      </c>
      <c r="I67" s="1054" t="n">
        <v>35137.4138700407</v>
      </c>
      <c r="J67" s="1054" t="n">
        <v>35137.4138700407</v>
      </c>
      <c r="K67" s="1054" t="n"/>
      <c r="L67" s="1056" t="n"/>
      <c r="M67" s="1064" t="n"/>
      <c r="N67" s="1064" t="n"/>
      <c r="O67" s="1064" t="n"/>
      <c r="P67" s="1064" t="n"/>
      <c r="Q67" s="1064" t="n"/>
      <c r="R67" s="1064" t="n"/>
      <c r="S67" s="1064" t="n"/>
      <c r="T67" s="1064" t="n"/>
      <c r="U67" s="1064" t="n"/>
      <c r="V67" s="1064" t="n"/>
      <c r="W67" s="1064" t="n"/>
      <c r="X67" s="1064" t="n"/>
      <c r="Y67" s="1064" t="n"/>
      <c r="Z67" s="1064" t="n"/>
      <c r="AA67" s="1064" t="n"/>
      <c r="AB67" s="1064" t="n"/>
      <c r="AC67" s="1064" t="n"/>
      <c r="AD67" s="1064" t="n"/>
      <c r="AE67" s="1064" t="n"/>
      <c r="AF67" s="1064" t="n"/>
      <c r="AG67" s="1064" t="n"/>
      <c r="AH67" s="1064" t="n"/>
      <c r="AI67" s="1064" t="n"/>
      <c r="AJ67" s="1064" t="n"/>
      <c r="AK67" s="1064" t="n"/>
      <c r="AL67" s="1064" t="n"/>
      <c r="AM67" s="1064" t="n"/>
      <c r="AN67" s="1064" t="n"/>
      <c r="AO67" s="1064" t="n"/>
      <c r="AP67" s="1064" t="n"/>
      <c r="AQ67" s="1064" t="n"/>
      <c r="AR67" s="1064" t="n"/>
      <c r="AS67" s="1064" t="n"/>
      <c r="AT67" s="1064" t="n"/>
      <c r="AU67" s="1064" t="n"/>
      <c r="AV67" s="1064" t="n"/>
      <c r="AW67" s="1064" t="n"/>
      <c r="AX67" s="1064" t="n"/>
      <c r="AY67" s="1064" t="n"/>
      <c r="AZ67" s="1064" t="n"/>
      <c r="BA67" s="1064" t="n"/>
      <c r="BB67" s="1064" t="n"/>
      <c r="BC67" s="1064" t="n"/>
      <c r="BD67" s="1064" t="n"/>
      <c r="BE67" s="1064" t="n"/>
      <c r="BF67" s="1064" t="n"/>
      <c r="BG67" s="1064" t="n"/>
      <c r="BH67" s="1064" t="n"/>
      <c r="BI67" s="1064" t="n"/>
      <c r="BJ67" s="1064" t="n"/>
      <c r="BK67" s="1064" t="n"/>
      <c r="BL67" s="1064" t="n"/>
      <c r="BM67" s="1064" t="n"/>
      <c r="BN67" s="1064" t="n"/>
      <c r="BO67" s="1064" t="n"/>
      <c r="BP67" s="1064" t="n"/>
      <c r="BQ67" s="1064" t="n"/>
      <c r="BR67" s="1064" t="n"/>
      <c r="BS67" s="1064" t="n"/>
      <c r="BT67" s="1064" t="n"/>
    </row>
    <row r="68" ht="13.2" customHeight="1" s="586">
      <c r="A68" s="1051" t="inlineStr">
        <is>
          <t>Desktop HW</t>
        </is>
      </c>
      <c r="B68" s="1052" t="inlineStr">
        <is>
          <t>NL</t>
        </is>
      </c>
      <c r="C68" s="1065" t="inlineStr">
        <is>
          <t>Printer Network small Mono</t>
        </is>
      </c>
      <c r="D68" s="1053" t="inlineStr">
        <is>
          <t>L</t>
        </is>
      </c>
      <c r="E68" s="1054" t="n">
        <v>125026.38012397</v>
      </c>
      <c r="F68" s="1052" t="n">
        <v>13</v>
      </c>
      <c r="G68" s="1052" t="n">
        <v>36</v>
      </c>
      <c r="H68" s="1054" t="n"/>
      <c r="I68" s="1054" t="n">
        <v>35137.4138700407</v>
      </c>
      <c r="J68" s="1054" t="n">
        <v>35137.4138700407</v>
      </c>
      <c r="K68" s="1054" t="n">
        <v>35137.4138700407</v>
      </c>
      <c r="L68" s="1056" t="n"/>
      <c r="M68" s="1064" t="n"/>
      <c r="N68" s="1064" t="n"/>
      <c r="O68" s="1064" t="n"/>
      <c r="P68" s="1064" t="n"/>
      <c r="Q68" s="1064" t="n"/>
      <c r="R68" s="1064" t="n"/>
      <c r="S68" s="1064" t="n"/>
      <c r="T68" s="1064" t="n"/>
      <c r="U68" s="1064" t="n"/>
      <c r="V68" s="1064" t="n"/>
      <c r="W68" s="1064" t="n"/>
      <c r="X68" s="1064" t="n"/>
      <c r="Y68" s="1064" t="n"/>
      <c r="Z68" s="1064" t="n"/>
      <c r="AA68" s="1064" t="n"/>
      <c r="AB68" s="1064" t="n"/>
      <c r="AC68" s="1064" t="n"/>
      <c r="AD68" s="1064" t="n"/>
      <c r="AE68" s="1064" t="n"/>
      <c r="AF68" s="1064" t="n"/>
      <c r="AG68" s="1064" t="n"/>
      <c r="AH68" s="1064" t="n"/>
      <c r="AI68" s="1064" t="n"/>
      <c r="AJ68" s="1064" t="n"/>
      <c r="AK68" s="1064" t="n"/>
      <c r="AL68" s="1064" t="n"/>
      <c r="AM68" s="1064" t="n"/>
      <c r="AN68" s="1064" t="n"/>
      <c r="AO68" s="1064" t="n"/>
      <c r="AP68" s="1064" t="n"/>
      <c r="AQ68" s="1064" t="n"/>
      <c r="AR68" s="1064" t="n"/>
      <c r="AS68" s="1064" t="n"/>
      <c r="AT68" s="1064" t="n"/>
      <c r="AU68" s="1064" t="n"/>
      <c r="AV68" s="1064" t="n"/>
      <c r="AW68" s="1064" t="n"/>
      <c r="AX68" s="1064" t="n"/>
      <c r="AY68" s="1064" t="n"/>
      <c r="AZ68" s="1064" t="n"/>
      <c r="BA68" s="1064" t="n"/>
      <c r="BB68" s="1064" t="n"/>
      <c r="BC68" s="1064" t="n"/>
      <c r="BD68" s="1064" t="n"/>
      <c r="BE68" s="1064" t="n"/>
      <c r="BF68" s="1064" t="n"/>
      <c r="BG68" s="1064" t="n"/>
      <c r="BH68" s="1064" t="n"/>
      <c r="BI68" s="1064" t="n"/>
      <c r="BJ68" s="1064" t="n"/>
      <c r="BK68" s="1064" t="n"/>
      <c r="BL68" s="1064" t="n"/>
      <c r="BM68" s="1064" t="n"/>
      <c r="BN68" s="1064" t="n"/>
      <c r="BO68" s="1064" t="n"/>
      <c r="BP68" s="1064" t="n"/>
      <c r="BQ68" s="1064" t="n"/>
      <c r="BR68" s="1064" t="n"/>
      <c r="BS68" s="1064" t="n"/>
      <c r="BT68" s="1064" t="n"/>
    </row>
    <row r="69" ht="13.2" customHeight="1" s="586">
      <c r="A69" s="1051" t="inlineStr">
        <is>
          <t>Desktop HW</t>
        </is>
      </c>
      <c r="B69" s="1052" t="inlineStr">
        <is>
          <t>NL</t>
        </is>
      </c>
      <c r="C69" s="1065" t="inlineStr">
        <is>
          <t>Printer Network small Mono</t>
        </is>
      </c>
      <c r="D69" s="1053" t="inlineStr">
        <is>
          <t>L</t>
        </is>
      </c>
      <c r="E69" s="1054" t="n">
        <v>125026.38012397</v>
      </c>
      <c r="F69" s="1052" t="n">
        <v>25</v>
      </c>
      <c r="G69" s="1052" t="n">
        <v>36</v>
      </c>
      <c r="H69" s="1054" t="n"/>
      <c r="I69" s="1054" t="n"/>
      <c r="J69" s="1054" t="n">
        <v>35137.4138700407</v>
      </c>
      <c r="K69" s="1054" t="n">
        <v>35137.4138700407</v>
      </c>
      <c r="L69" s="1056" t="n">
        <v>35137.4138700407</v>
      </c>
      <c r="M69" s="1064" t="n"/>
      <c r="N69" s="1064" t="n"/>
      <c r="O69" s="1064" t="n"/>
      <c r="P69" s="1064" t="n"/>
      <c r="Q69" s="1064" t="n"/>
      <c r="R69" s="1064" t="n"/>
      <c r="S69" s="1064" t="n"/>
      <c r="T69" s="1064" t="n"/>
      <c r="U69" s="1064" t="n"/>
      <c r="V69" s="1064" t="n"/>
      <c r="W69" s="1064" t="n"/>
      <c r="X69" s="1064" t="n"/>
      <c r="Y69" s="1064" t="n"/>
      <c r="Z69" s="1064" t="n"/>
      <c r="AA69" s="1064" t="n"/>
      <c r="AB69" s="1064" t="n"/>
      <c r="AC69" s="1064" t="n"/>
      <c r="AD69" s="1064" t="n"/>
      <c r="AE69" s="1064" t="n"/>
      <c r="AF69" s="1064" t="n"/>
      <c r="AG69" s="1064" t="n"/>
      <c r="AH69" s="1064" t="n"/>
      <c r="AI69" s="1064" t="n"/>
      <c r="AJ69" s="1064" t="n"/>
      <c r="AK69" s="1064" t="n"/>
      <c r="AL69" s="1064" t="n"/>
      <c r="AM69" s="1064" t="n"/>
      <c r="AN69" s="1064" t="n"/>
      <c r="AO69" s="1064" t="n"/>
      <c r="AP69" s="1064" t="n"/>
      <c r="AQ69" s="1064" t="n"/>
      <c r="AR69" s="1064" t="n"/>
      <c r="AS69" s="1064" t="n"/>
      <c r="AT69" s="1064" t="n"/>
      <c r="AU69" s="1064" t="n"/>
      <c r="AV69" s="1064" t="n"/>
      <c r="AW69" s="1064" t="n"/>
      <c r="AX69" s="1064" t="n"/>
      <c r="AY69" s="1064" t="n"/>
      <c r="AZ69" s="1064" t="n"/>
      <c r="BA69" s="1064" t="n"/>
      <c r="BB69" s="1064" t="n"/>
      <c r="BC69" s="1064" t="n"/>
      <c r="BD69" s="1064" t="n"/>
      <c r="BE69" s="1064" t="n"/>
      <c r="BF69" s="1064" t="n"/>
      <c r="BG69" s="1064" t="n"/>
      <c r="BH69" s="1064" t="n"/>
      <c r="BI69" s="1064" t="n"/>
      <c r="BJ69" s="1064" t="n"/>
      <c r="BK69" s="1064" t="n"/>
      <c r="BL69" s="1064" t="n"/>
      <c r="BM69" s="1064" t="n"/>
      <c r="BN69" s="1064" t="n"/>
      <c r="BO69" s="1064" t="n"/>
      <c r="BP69" s="1064" t="n"/>
      <c r="BQ69" s="1064" t="n"/>
      <c r="BR69" s="1064" t="n"/>
      <c r="BS69" s="1064" t="n"/>
      <c r="BT69" s="1064" t="n"/>
    </row>
    <row r="70" ht="13.2" customHeight="1" s="586">
      <c r="A70" s="1051" t="inlineStr">
        <is>
          <t>Desktop HW</t>
        </is>
      </c>
      <c r="B70" s="1052" t="inlineStr">
        <is>
          <t>NL</t>
        </is>
      </c>
      <c r="C70" s="1065" t="inlineStr">
        <is>
          <t>Printer Network small Mono</t>
        </is>
      </c>
      <c r="D70" s="1053" t="inlineStr">
        <is>
          <t>L</t>
        </is>
      </c>
      <c r="E70" s="1054" t="n">
        <v>125026.38012397</v>
      </c>
      <c r="F70" s="1052" t="n">
        <v>37</v>
      </c>
      <c r="G70" s="1052" t="n">
        <v>36</v>
      </c>
      <c r="H70" s="1054" t="n"/>
      <c r="I70" s="1054" t="n"/>
      <c r="J70" s="1054" t="n"/>
      <c r="K70" s="1054" t="n">
        <v>35137.4138700407</v>
      </c>
      <c r="L70" s="1056" t="n">
        <v>35137.4138700407</v>
      </c>
      <c r="M70" s="1064" t="n"/>
      <c r="N70" s="1064" t="n"/>
      <c r="O70" s="1064" t="n"/>
      <c r="P70" s="1064" t="n"/>
      <c r="Q70" s="1064" t="n"/>
      <c r="R70" s="1064" t="n"/>
      <c r="S70" s="1064" t="n"/>
      <c r="T70" s="1064" t="n"/>
      <c r="U70" s="1064" t="n"/>
      <c r="V70" s="1064" t="n"/>
      <c r="W70" s="1064" t="n"/>
      <c r="X70" s="1064" t="n"/>
      <c r="Y70" s="1064" t="n"/>
      <c r="Z70" s="1064" t="n"/>
      <c r="AA70" s="1064" t="n"/>
      <c r="AB70" s="1064" t="n"/>
      <c r="AC70" s="1064" t="n"/>
      <c r="AD70" s="1064" t="n"/>
      <c r="AE70" s="1064" t="n"/>
      <c r="AF70" s="1064" t="n"/>
      <c r="AG70" s="1064" t="n"/>
      <c r="AH70" s="1064" t="n"/>
      <c r="AI70" s="1064" t="n"/>
      <c r="AJ70" s="1064" t="n"/>
      <c r="AK70" s="1064" t="n"/>
      <c r="AL70" s="1064" t="n"/>
      <c r="AM70" s="1064" t="n"/>
      <c r="AN70" s="1064" t="n"/>
      <c r="AO70" s="1064" t="n"/>
      <c r="AP70" s="1064" t="n"/>
      <c r="AQ70" s="1064" t="n"/>
      <c r="AR70" s="1064" t="n"/>
      <c r="AS70" s="1064" t="n"/>
      <c r="AT70" s="1064" t="n"/>
      <c r="AU70" s="1064" t="n"/>
      <c r="AV70" s="1064" t="n"/>
      <c r="AW70" s="1064" t="n"/>
      <c r="AX70" s="1064" t="n"/>
      <c r="AY70" s="1064" t="n"/>
      <c r="AZ70" s="1064" t="n"/>
      <c r="BA70" s="1064" t="n"/>
      <c r="BB70" s="1064" t="n"/>
      <c r="BC70" s="1064" t="n"/>
      <c r="BD70" s="1064" t="n"/>
      <c r="BE70" s="1064" t="n"/>
      <c r="BF70" s="1064" t="n"/>
      <c r="BG70" s="1064" t="n"/>
      <c r="BH70" s="1064" t="n"/>
      <c r="BI70" s="1064" t="n"/>
      <c r="BJ70" s="1064" t="n"/>
      <c r="BK70" s="1064" t="n"/>
      <c r="BL70" s="1064" t="n"/>
      <c r="BM70" s="1064" t="n"/>
      <c r="BN70" s="1064" t="n"/>
      <c r="BO70" s="1064" t="n"/>
      <c r="BP70" s="1064" t="n"/>
      <c r="BQ70" s="1064" t="n"/>
      <c r="BR70" s="1064" t="n"/>
      <c r="BS70" s="1064" t="n"/>
      <c r="BT70" s="1064" t="n"/>
    </row>
    <row r="71" ht="15" customHeight="1" s="586">
      <c r="A71" s="1051" t="inlineStr">
        <is>
          <t>Desktop HW</t>
        </is>
      </c>
      <c r="B71" s="1052" t="inlineStr">
        <is>
          <t>NL</t>
        </is>
      </c>
      <c r="C71" s="1065" t="inlineStr">
        <is>
          <t>Printer Network small Mono</t>
        </is>
      </c>
      <c r="D71" s="1053" t="inlineStr">
        <is>
          <t>L</t>
        </is>
      </c>
      <c r="E71" s="1054" t="n">
        <v>125026.38012397</v>
      </c>
      <c r="F71" s="1052" t="n">
        <v>49</v>
      </c>
      <c r="G71" s="1052" t="n">
        <v>36</v>
      </c>
      <c r="H71" s="1054" t="n"/>
      <c r="I71" s="1054" t="n"/>
      <c r="J71" s="1054" t="n"/>
      <c r="K71" s="1054" t="n"/>
      <c r="L71" s="1056" t="n">
        <v>35137.4138700407</v>
      </c>
      <c r="M71" s="1064" t="n"/>
      <c r="N71" s="1064" t="n"/>
      <c r="O71" s="1064" t="n"/>
      <c r="P71" s="1064" t="n"/>
      <c r="Q71" s="1064" t="n"/>
      <c r="R71" s="1064" t="n"/>
      <c r="S71" s="1064" t="n"/>
      <c r="T71" s="1064" t="n"/>
      <c r="U71" s="1064" t="n"/>
      <c r="V71" s="1064" t="n"/>
      <c r="W71" s="1064" t="n"/>
      <c r="X71" s="1064" t="n"/>
      <c r="Y71" s="1064" t="n"/>
      <c r="Z71" s="1064" t="n"/>
      <c r="AA71" s="1064" t="n"/>
      <c r="AB71" s="1064" t="n"/>
      <c r="AC71" s="1064" t="n"/>
      <c r="AD71" s="1064" t="n"/>
      <c r="AE71" s="1064" t="n"/>
      <c r="AF71" s="1064" t="n"/>
      <c r="AG71" s="1064" t="n"/>
      <c r="AH71" s="1064" t="n"/>
      <c r="AI71" s="1064" t="n"/>
      <c r="AJ71" s="1064" t="n"/>
      <c r="AK71" s="1064" t="n"/>
      <c r="AL71" s="1064" t="n"/>
      <c r="AM71" s="1064" t="n"/>
      <c r="AN71" s="1064" t="n"/>
      <c r="AO71" s="1064" t="n"/>
      <c r="AP71" s="1064" t="n"/>
      <c r="AQ71" s="1064" t="n"/>
      <c r="AR71" s="1064" t="n"/>
      <c r="AS71" s="1064" t="n"/>
      <c r="AT71" s="1064" t="n"/>
      <c r="AU71" s="1064" t="n"/>
      <c r="AV71" s="1064" t="n"/>
      <c r="AW71" s="1064" t="n"/>
      <c r="AX71" s="1064" t="n"/>
      <c r="AY71" s="1064" t="n"/>
      <c r="AZ71" s="1064" t="n"/>
      <c r="BA71" s="1064" t="n"/>
      <c r="BB71" s="1064" t="n"/>
      <c r="BC71" s="1064" t="n"/>
      <c r="BD71" s="1064" t="n"/>
      <c r="BE71" s="1064" t="n"/>
      <c r="BF71" s="1064" t="n"/>
      <c r="BG71" s="1064" t="n"/>
      <c r="BH71" s="1064" t="n"/>
      <c r="BI71" s="1064" t="n"/>
      <c r="BJ71" s="1064" t="n"/>
      <c r="BK71" s="1064" t="n"/>
      <c r="BL71" s="1064" t="n"/>
      <c r="BM71" s="1064" t="n"/>
      <c r="BN71" s="1064" t="n"/>
      <c r="BO71" s="1064" t="n"/>
      <c r="BP71" s="1064" t="n"/>
      <c r="BQ71" s="1064" t="n"/>
      <c r="BR71" s="1064" t="n"/>
      <c r="BS71" s="1064" t="n"/>
      <c r="BT71" s="1064" t="n"/>
    </row>
    <row r="72" ht="13.2" customHeight="1" s="586">
      <c r="A72" s="1051" t="inlineStr">
        <is>
          <t>Desktop HW</t>
        </is>
      </c>
      <c r="B72" s="1052" t="inlineStr">
        <is>
          <t>NL</t>
        </is>
      </c>
      <c r="C72" s="1052" t="inlineStr">
        <is>
          <t>S&amp;LB Printer Network small Color</t>
        </is>
      </c>
      <c r="D72" s="1053" t="inlineStr">
        <is>
          <t>L</t>
        </is>
      </c>
      <c r="E72" s="1054" t="n">
        <v>0</v>
      </c>
      <c r="F72" s="1052" t="n">
        <v>1</v>
      </c>
      <c r="G72" s="1052" t="n">
        <v>36</v>
      </c>
      <c r="H72" s="1054" t="n">
        <v>78226.7623456779</v>
      </c>
      <c r="I72" s="1054" t="n"/>
      <c r="J72" s="1054" t="n"/>
      <c r="K72" s="1054" t="n"/>
      <c r="L72" s="1056" t="n"/>
      <c r="M72" s="1064" t="n"/>
      <c r="N72" s="1064" t="n"/>
      <c r="O72" s="1064" t="n"/>
      <c r="P72" s="1064" t="n"/>
      <c r="Q72" s="1064" t="n"/>
      <c r="R72" s="1064" t="n"/>
      <c r="S72" s="1064" t="n"/>
      <c r="T72" s="1064" t="n"/>
      <c r="U72" s="1064" t="n"/>
      <c r="V72" s="1064" t="n"/>
      <c r="W72" s="1064" t="n"/>
      <c r="X72" s="1064" t="n"/>
      <c r="Y72" s="1064" t="n"/>
      <c r="Z72" s="1064" t="n"/>
      <c r="AA72" s="1064" t="n"/>
      <c r="AB72" s="1064" t="n"/>
      <c r="AC72" s="1064" t="n"/>
      <c r="AD72" s="1064" t="n"/>
      <c r="AE72" s="1064" t="n"/>
      <c r="AF72" s="1064" t="n"/>
      <c r="AG72" s="1064" t="n"/>
      <c r="AH72" s="1064" t="n"/>
      <c r="AI72" s="1064" t="n"/>
      <c r="AJ72" s="1064" t="n"/>
      <c r="AK72" s="1064" t="n"/>
      <c r="AL72" s="1064" t="n"/>
      <c r="AM72" s="1064" t="n"/>
      <c r="AN72" s="1064" t="n"/>
      <c r="AO72" s="1064" t="n"/>
      <c r="AP72" s="1064" t="n"/>
      <c r="AQ72" s="1064" t="n"/>
      <c r="AR72" s="1064" t="n"/>
      <c r="AS72" s="1064" t="n"/>
      <c r="AT72" s="1064" t="n"/>
      <c r="AU72" s="1064" t="n"/>
      <c r="AV72" s="1064" t="n"/>
      <c r="AW72" s="1064" t="n"/>
      <c r="AX72" s="1064" t="n"/>
      <c r="AY72" s="1064" t="n"/>
      <c r="AZ72" s="1064" t="n"/>
      <c r="BA72" s="1064" t="n"/>
      <c r="BB72" s="1064" t="n"/>
      <c r="BC72" s="1064" t="n"/>
      <c r="BD72" s="1064" t="n"/>
      <c r="BE72" s="1064" t="n"/>
      <c r="BF72" s="1064" t="n"/>
      <c r="BG72" s="1064" t="n"/>
      <c r="BH72" s="1064" t="n"/>
      <c r="BI72" s="1064" t="n"/>
      <c r="BJ72" s="1064" t="n"/>
      <c r="BK72" s="1064" t="n"/>
      <c r="BL72" s="1064" t="n"/>
      <c r="BM72" s="1064" t="n"/>
      <c r="BN72" s="1064" t="n"/>
      <c r="BO72" s="1064" t="n"/>
      <c r="BP72" s="1064" t="n"/>
      <c r="BQ72" s="1064" t="n"/>
      <c r="BR72" s="1064" t="n"/>
      <c r="BS72" s="1064" t="n"/>
      <c r="BT72" s="1064" t="n"/>
    </row>
    <row r="73" ht="13.2" customHeight="1" s="586">
      <c r="A73" s="1051" t="inlineStr">
        <is>
          <t>Desktop HW</t>
        </is>
      </c>
      <c r="B73" s="1052" t="inlineStr">
        <is>
          <t>NL</t>
        </is>
      </c>
      <c r="C73" s="1052" t="inlineStr">
        <is>
          <t>S&amp;LB Printer Network small Color</t>
        </is>
      </c>
      <c r="D73" s="1053" t="inlineStr">
        <is>
          <t>L</t>
        </is>
      </c>
      <c r="E73" s="1054" t="n">
        <v>0</v>
      </c>
      <c r="F73" s="1052" t="n">
        <v>1</v>
      </c>
      <c r="G73" s="1052" t="n">
        <v>36</v>
      </c>
      <c r="H73" s="1054" t="n">
        <v>78226.7623456779</v>
      </c>
      <c r="I73" s="1054" t="n">
        <v>78226.7623456779</v>
      </c>
      <c r="J73" s="1054" t="n"/>
      <c r="K73" s="1054" t="n"/>
      <c r="L73" s="1056" t="n"/>
      <c r="M73" s="1064" t="n"/>
      <c r="N73" s="1064" t="n"/>
      <c r="O73" s="1064" t="n"/>
      <c r="P73" s="1064" t="n"/>
      <c r="Q73" s="1064" t="n"/>
      <c r="R73" s="1064" t="n"/>
      <c r="S73" s="1064" t="n"/>
      <c r="T73" s="1064" t="n"/>
      <c r="U73" s="1064" t="n"/>
      <c r="V73" s="1064" t="n"/>
      <c r="W73" s="1064" t="n"/>
      <c r="X73" s="1064" t="n"/>
      <c r="Y73" s="1064" t="n"/>
      <c r="Z73" s="1064" t="n"/>
      <c r="AA73" s="1064" t="n"/>
      <c r="AB73" s="1064" t="n"/>
      <c r="AC73" s="1064" t="n"/>
      <c r="AD73" s="1064" t="n"/>
      <c r="AE73" s="1064" t="n"/>
      <c r="AF73" s="1064" t="n"/>
      <c r="AG73" s="1064" t="n"/>
      <c r="AH73" s="1064" t="n"/>
      <c r="AI73" s="1064" t="n"/>
      <c r="AJ73" s="1064" t="n"/>
      <c r="AK73" s="1064" t="n"/>
      <c r="AL73" s="1064" t="n"/>
      <c r="AM73" s="1064" t="n"/>
      <c r="AN73" s="1064" t="n"/>
      <c r="AO73" s="1064" t="n"/>
      <c r="AP73" s="1064" t="n"/>
      <c r="AQ73" s="1064" t="n"/>
      <c r="AR73" s="1064" t="n"/>
      <c r="AS73" s="1064" t="n"/>
      <c r="AT73" s="1064" t="n"/>
      <c r="AU73" s="1064" t="n"/>
      <c r="AV73" s="1064" t="n"/>
      <c r="AW73" s="1064" t="n"/>
      <c r="AX73" s="1064" t="n"/>
      <c r="AY73" s="1064" t="n"/>
      <c r="AZ73" s="1064" t="n"/>
      <c r="BA73" s="1064" t="n"/>
      <c r="BB73" s="1064" t="n"/>
      <c r="BC73" s="1064" t="n"/>
      <c r="BD73" s="1064" t="n"/>
      <c r="BE73" s="1064" t="n"/>
      <c r="BF73" s="1064" t="n"/>
      <c r="BG73" s="1064" t="n"/>
      <c r="BH73" s="1064" t="n"/>
      <c r="BI73" s="1064" t="n"/>
      <c r="BJ73" s="1064" t="n"/>
      <c r="BK73" s="1064" t="n"/>
      <c r="BL73" s="1064" t="n"/>
      <c r="BM73" s="1064" t="n"/>
      <c r="BN73" s="1064" t="n"/>
      <c r="BO73" s="1064" t="n"/>
      <c r="BP73" s="1064" t="n"/>
      <c r="BQ73" s="1064" t="n"/>
      <c r="BR73" s="1064" t="n"/>
      <c r="BS73" s="1064" t="n"/>
      <c r="BT73" s="1064" t="n"/>
    </row>
    <row r="74" ht="13.2" customHeight="1" s="586">
      <c r="A74" s="1051" t="inlineStr">
        <is>
          <t>Desktop HW</t>
        </is>
      </c>
      <c r="B74" s="1052" t="inlineStr">
        <is>
          <t>NL</t>
        </is>
      </c>
      <c r="C74" s="1052" t="inlineStr">
        <is>
          <t>Printer Network small Color</t>
        </is>
      </c>
      <c r="D74" s="1053" t="inlineStr">
        <is>
          <t>L</t>
        </is>
      </c>
      <c r="E74" s="1054" t="n">
        <v>278347.432200676</v>
      </c>
      <c r="F74" s="1052" t="n">
        <v>1</v>
      </c>
      <c r="G74" s="1052" t="n">
        <v>36</v>
      </c>
      <c r="H74" s="1054" t="n">
        <v>78226.7623456779</v>
      </c>
      <c r="I74" s="1054" t="n">
        <v>78226.7623456779</v>
      </c>
      <c r="J74" s="1054" t="n">
        <v>78226.7623456779</v>
      </c>
      <c r="K74" s="1054" t="n"/>
      <c r="L74" s="1056" t="n"/>
      <c r="M74" s="1064" t="n"/>
      <c r="N74" s="1064" t="n"/>
      <c r="O74" s="1064" t="n"/>
      <c r="P74" s="1064" t="n"/>
      <c r="Q74" s="1064" t="n"/>
      <c r="R74" s="1064" t="n"/>
      <c r="S74" s="1064" t="n"/>
      <c r="T74" s="1064" t="n"/>
      <c r="U74" s="1064" t="n"/>
      <c r="V74" s="1064" t="n"/>
      <c r="W74" s="1064" t="n"/>
      <c r="X74" s="1064" t="n"/>
      <c r="Y74" s="1064" t="n"/>
      <c r="Z74" s="1064" t="n"/>
      <c r="AA74" s="1064" t="n"/>
      <c r="AB74" s="1064" t="n"/>
      <c r="AC74" s="1064" t="n"/>
      <c r="AD74" s="1064" t="n"/>
      <c r="AE74" s="1064" t="n"/>
      <c r="AF74" s="1064" t="n"/>
      <c r="AG74" s="1064" t="n"/>
      <c r="AH74" s="1064" t="n"/>
      <c r="AI74" s="1064" t="n"/>
      <c r="AJ74" s="1064" t="n"/>
      <c r="AK74" s="1064" t="n"/>
      <c r="AL74" s="1064" t="n"/>
      <c r="AM74" s="1064" t="n"/>
      <c r="AN74" s="1064" t="n"/>
      <c r="AO74" s="1064" t="n"/>
      <c r="AP74" s="1064" t="n"/>
      <c r="AQ74" s="1064" t="n"/>
      <c r="AR74" s="1064" t="n"/>
      <c r="AS74" s="1064" t="n"/>
      <c r="AT74" s="1064" t="n"/>
      <c r="AU74" s="1064" t="n"/>
      <c r="AV74" s="1064" t="n"/>
      <c r="AW74" s="1064" t="n"/>
      <c r="AX74" s="1064" t="n"/>
      <c r="AY74" s="1064" t="n"/>
      <c r="AZ74" s="1064" t="n"/>
      <c r="BA74" s="1064" t="n"/>
      <c r="BB74" s="1064" t="n"/>
      <c r="BC74" s="1064" t="n"/>
      <c r="BD74" s="1064" t="n"/>
      <c r="BE74" s="1064" t="n"/>
      <c r="BF74" s="1064" t="n"/>
      <c r="BG74" s="1064" t="n"/>
      <c r="BH74" s="1064" t="n"/>
      <c r="BI74" s="1064" t="n"/>
      <c r="BJ74" s="1064" t="n"/>
      <c r="BK74" s="1064" t="n"/>
      <c r="BL74" s="1064" t="n"/>
      <c r="BM74" s="1064" t="n"/>
      <c r="BN74" s="1064" t="n"/>
      <c r="BO74" s="1064" t="n"/>
      <c r="BP74" s="1064" t="n"/>
      <c r="BQ74" s="1064" t="n"/>
      <c r="BR74" s="1064" t="n"/>
      <c r="BS74" s="1064" t="n"/>
      <c r="BT74" s="1064" t="n"/>
    </row>
    <row r="75" ht="13.2" customHeight="1" s="586">
      <c r="A75" s="1051" t="inlineStr">
        <is>
          <t>Desktop HW</t>
        </is>
      </c>
      <c r="B75" s="1052" t="inlineStr">
        <is>
          <t>NL</t>
        </is>
      </c>
      <c r="C75" s="1052" t="inlineStr">
        <is>
          <t>Printer Network small Color</t>
        </is>
      </c>
      <c r="D75" s="1053" t="inlineStr">
        <is>
          <t>L</t>
        </is>
      </c>
      <c r="E75" s="1054" t="n">
        <v>278347.432200676</v>
      </c>
      <c r="F75" s="1052" t="n">
        <v>13</v>
      </c>
      <c r="G75" s="1052" t="n">
        <v>36</v>
      </c>
      <c r="H75" s="1054" t="n"/>
      <c r="I75" s="1054" t="n">
        <v>78226.7623456779</v>
      </c>
      <c r="J75" s="1054" t="n">
        <v>78226.7623456779</v>
      </c>
      <c r="K75" s="1054" t="n">
        <v>78226.7623456779</v>
      </c>
      <c r="L75" s="1056" t="n"/>
      <c r="M75" s="1064" t="n"/>
      <c r="N75" s="1064" t="n"/>
      <c r="O75" s="1064" t="n"/>
      <c r="P75" s="1064" t="n"/>
      <c r="Q75" s="1064" t="n"/>
      <c r="R75" s="1064" t="n"/>
      <c r="S75" s="1064" t="n"/>
      <c r="T75" s="1064" t="n"/>
      <c r="U75" s="1064" t="n"/>
      <c r="V75" s="1064" t="n"/>
      <c r="W75" s="1064" t="n"/>
      <c r="X75" s="1064" t="n"/>
      <c r="Y75" s="1064" t="n"/>
      <c r="Z75" s="1064" t="n"/>
      <c r="AA75" s="1064" t="n"/>
      <c r="AB75" s="1064" t="n"/>
      <c r="AC75" s="1064" t="n"/>
      <c r="AD75" s="1064" t="n"/>
      <c r="AE75" s="1064" t="n"/>
      <c r="AF75" s="1064" t="n"/>
      <c r="AG75" s="1064" t="n"/>
      <c r="AH75" s="1064" t="n"/>
      <c r="AI75" s="1064" t="n"/>
      <c r="AJ75" s="1064" t="n"/>
      <c r="AK75" s="1064" t="n"/>
      <c r="AL75" s="1064" t="n"/>
      <c r="AM75" s="1064" t="n"/>
      <c r="AN75" s="1064" t="n"/>
      <c r="AO75" s="1064" t="n"/>
      <c r="AP75" s="1064" t="n"/>
      <c r="AQ75" s="1064" t="n"/>
      <c r="AR75" s="1064" t="n"/>
      <c r="AS75" s="1064" t="n"/>
      <c r="AT75" s="1064" t="n"/>
      <c r="AU75" s="1064" t="n"/>
      <c r="AV75" s="1064" t="n"/>
      <c r="AW75" s="1064" t="n"/>
      <c r="AX75" s="1064" t="n"/>
      <c r="AY75" s="1064" t="n"/>
      <c r="AZ75" s="1064" t="n"/>
      <c r="BA75" s="1064" t="n"/>
      <c r="BB75" s="1064" t="n"/>
      <c r="BC75" s="1064" t="n"/>
      <c r="BD75" s="1064" t="n"/>
      <c r="BE75" s="1064" t="n"/>
      <c r="BF75" s="1064" t="n"/>
      <c r="BG75" s="1064" t="n"/>
      <c r="BH75" s="1064" t="n"/>
      <c r="BI75" s="1064" t="n"/>
      <c r="BJ75" s="1064" t="n"/>
      <c r="BK75" s="1064" t="n"/>
      <c r="BL75" s="1064" t="n"/>
      <c r="BM75" s="1064" t="n"/>
      <c r="BN75" s="1064" t="n"/>
      <c r="BO75" s="1064" t="n"/>
      <c r="BP75" s="1064" t="n"/>
      <c r="BQ75" s="1064" t="n"/>
      <c r="BR75" s="1064" t="n"/>
      <c r="BS75" s="1064" t="n"/>
      <c r="BT75" s="1064" t="n"/>
    </row>
    <row r="76" ht="13.2" customHeight="1" s="586">
      <c r="A76" s="1051" t="inlineStr">
        <is>
          <t>Desktop HW</t>
        </is>
      </c>
      <c r="B76" s="1052" t="inlineStr">
        <is>
          <t>NL</t>
        </is>
      </c>
      <c r="C76" s="1052" t="inlineStr">
        <is>
          <t>Printer Network small Color</t>
        </is>
      </c>
      <c r="D76" s="1053" t="inlineStr">
        <is>
          <t>L</t>
        </is>
      </c>
      <c r="E76" s="1054" t="n">
        <v>278347.432200676</v>
      </c>
      <c r="F76" s="1052" t="n">
        <v>25</v>
      </c>
      <c r="G76" s="1052" t="n">
        <v>36</v>
      </c>
      <c r="H76" s="1054" t="n"/>
      <c r="I76" s="1054" t="n"/>
      <c r="J76" s="1054" t="n">
        <v>78226.7623456779</v>
      </c>
      <c r="K76" s="1054" t="n">
        <v>78226.7623456779</v>
      </c>
      <c r="L76" s="1056" t="n">
        <v>78226.7623456779</v>
      </c>
      <c r="M76" s="1064" t="n"/>
      <c r="N76" s="1064" t="n"/>
      <c r="O76" s="1064" t="n"/>
      <c r="P76" s="1064" t="n"/>
      <c r="Q76" s="1064" t="n"/>
      <c r="R76" s="1064" t="n"/>
      <c r="S76" s="1064" t="n"/>
      <c r="T76" s="1064" t="n"/>
      <c r="U76" s="1064" t="n"/>
      <c r="V76" s="1064" t="n"/>
      <c r="W76" s="1064" t="n"/>
      <c r="X76" s="1064" t="n"/>
      <c r="Y76" s="1064" t="n"/>
      <c r="Z76" s="1064" t="n"/>
      <c r="AA76" s="1064" t="n"/>
      <c r="AB76" s="1064" t="n"/>
      <c r="AC76" s="1064" t="n"/>
      <c r="AD76" s="1064" t="n"/>
      <c r="AE76" s="1064" t="n"/>
      <c r="AF76" s="1064" t="n"/>
      <c r="AG76" s="1064" t="n"/>
      <c r="AH76" s="1064" t="n"/>
      <c r="AI76" s="1064" t="n"/>
      <c r="AJ76" s="1064" t="n"/>
      <c r="AK76" s="1064" t="n"/>
      <c r="AL76" s="1064" t="n"/>
      <c r="AM76" s="1064" t="n"/>
      <c r="AN76" s="1064" t="n"/>
      <c r="AO76" s="1064" t="n"/>
      <c r="AP76" s="1064" t="n"/>
      <c r="AQ76" s="1064" t="n"/>
      <c r="AR76" s="1064" t="n"/>
      <c r="AS76" s="1064" t="n"/>
      <c r="AT76" s="1064" t="n"/>
      <c r="AU76" s="1064" t="n"/>
      <c r="AV76" s="1064" t="n"/>
      <c r="AW76" s="1064" t="n"/>
      <c r="AX76" s="1064" t="n"/>
      <c r="AY76" s="1064" t="n"/>
      <c r="AZ76" s="1064" t="n"/>
      <c r="BA76" s="1064" t="n"/>
      <c r="BB76" s="1064" t="n"/>
      <c r="BC76" s="1064" t="n"/>
      <c r="BD76" s="1064" t="n"/>
      <c r="BE76" s="1064" t="n"/>
      <c r="BF76" s="1064" t="n"/>
      <c r="BG76" s="1064" t="n"/>
      <c r="BH76" s="1064" t="n"/>
      <c r="BI76" s="1064" t="n"/>
      <c r="BJ76" s="1064" t="n"/>
      <c r="BK76" s="1064" t="n"/>
      <c r="BL76" s="1064" t="n"/>
      <c r="BM76" s="1064" t="n"/>
      <c r="BN76" s="1064" t="n"/>
      <c r="BO76" s="1064" t="n"/>
      <c r="BP76" s="1064" t="n"/>
      <c r="BQ76" s="1064" t="n"/>
      <c r="BR76" s="1064" t="n"/>
      <c r="BS76" s="1064" t="n"/>
      <c r="BT76" s="1064" t="n"/>
    </row>
    <row r="77" ht="13.2" customHeight="1" s="586">
      <c r="A77" s="1051" t="inlineStr">
        <is>
          <t>Desktop HW</t>
        </is>
      </c>
      <c r="B77" s="1052" t="inlineStr">
        <is>
          <t>NL</t>
        </is>
      </c>
      <c r="C77" s="1052" t="inlineStr">
        <is>
          <t>Printer Network small Color</t>
        </is>
      </c>
      <c r="D77" s="1053" t="inlineStr">
        <is>
          <t>L</t>
        </is>
      </c>
      <c r="E77" s="1054" t="n">
        <v>278347.432200676</v>
      </c>
      <c r="F77" s="1052" t="n">
        <v>37</v>
      </c>
      <c r="G77" s="1052" t="n">
        <v>36</v>
      </c>
      <c r="H77" s="1054" t="n"/>
      <c r="I77" s="1054" t="n"/>
      <c r="J77" s="1054" t="n"/>
      <c r="K77" s="1054" t="n">
        <v>78226.7623456779</v>
      </c>
      <c r="L77" s="1056" t="n">
        <v>78226.7623456779</v>
      </c>
      <c r="M77" s="1064" t="n"/>
      <c r="N77" s="1064" t="n"/>
      <c r="O77" s="1064" t="n"/>
      <c r="P77" s="1064" t="n"/>
      <c r="Q77" s="1064" t="n"/>
      <c r="R77" s="1064" t="n"/>
      <c r="S77" s="1064" t="n"/>
      <c r="T77" s="1064" t="n"/>
      <c r="U77" s="1064" t="n"/>
      <c r="V77" s="1064" t="n"/>
      <c r="W77" s="1064" t="n"/>
      <c r="X77" s="1064" t="n"/>
      <c r="Y77" s="1064" t="n"/>
      <c r="Z77" s="1064" t="n"/>
      <c r="AA77" s="1064" t="n"/>
      <c r="AB77" s="1064" t="n"/>
      <c r="AC77" s="1064" t="n"/>
      <c r="AD77" s="1064" t="n"/>
      <c r="AE77" s="1064" t="n"/>
      <c r="AF77" s="1064" t="n"/>
      <c r="AG77" s="1064" t="n"/>
      <c r="AH77" s="1064" t="n"/>
      <c r="AI77" s="1064" t="n"/>
      <c r="AJ77" s="1064" t="n"/>
      <c r="AK77" s="1064" t="n"/>
      <c r="AL77" s="1064" t="n"/>
      <c r="AM77" s="1064" t="n"/>
      <c r="AN77" s="1064" t="n"/>
      <c r="AO77" s="1064" t="n"/>
      <c r="AP77" s="1064" t="n"/>
      <c r="AQ77" s="1064" t="n"/>
      <c r="AR77" s="1064" t="n"/>
      <c r="AS77" s="1064" t="n"/>
      <c r="AT77" s="1064" t="n"/>
      <c r="AU77" s="1064" t="n"/>
      <c r="AV77" s="1064" t="n"/>
      <c r="AW77" s="1064" t="n"/>
      <c r="AX77" s="1064" t="n"/>
      <c r="AY77" s="1064" t="n"/>
      <c r="AZ77" s="1064" t="n"/>
      <c r="BA77" s="1064" t="n"/>
      <c r="BB77" s="1064" t="n"/>
      <c r="BC77" s="1064" t="n"/>
      <c r="BD77" s="1064" t="n"/>
      <c r="BE77" s="1064" t="n"/>
      <c r="BF77" s="1064" t="n"/>
      <c r="BG77" s="1064" t="n"/>
      <c r="BH77" s="1064" t="n"/>
      <c r="BI77" s="1064" t="n"/>
      <c r="BJ77" s="1064" t="n"/>
      <c r="BK77" s="1064" t="n"/>
      <c r="BL77" s="1064" t="n"/>
      <c r="BM77" s="1064" t="n"/>
      <c r="BN77" s="1064" t="n"/>
      <c r="BO77" s="1064" t="n"/>
      <c r="BP77" s="1064" t="n"/>
      <c r="BQ77" s="1064" t="n"/>
      <c r="BR77" s="1064" t="n"/>
      <c r="BS77" s="1064" t="n"/>
      <c r="BT77" s="1064" t="n"/>
    </row>
    <row r="78" ht="13.2" customHeight="1" s="586">
      <c r="A78" s="1051" t="inlineStr">
        <is>
          <t>Desktop HW</t>
        </is>
      </c>
      <c r="B78" s="1052" t="inlineStr">
        <is>
          <t>NL</t>
        </is>
      </c>
      <c r="C78" s="1052" t="inlineStr">
        <is>
          <t>Printer Network small Color</t>
        </is>
      </c>
      <c r="D78" s="1053" t="inlineStr">
        <is>
          <t>L</t>
        </is>
      </c>
      <c r="E78" s="1054" t="n">
        <v>278347.432200676</v>
      </c>
      <c r="F78" s="1052" t="n">
        <v>49</v>
      </c>
      <c r="G78" s="1052" t="n">
        <v>36</v>
      </c>
      <c r="H78" s="1054" t="n"/>
      <c r="I78" s="1054" t="n"/>
      <c r="J78" s="1054" t="n"/>
      <c r="K78" s="1054" t="n"/>
      <c r="L78" s="1056" t="n">
        <v>78226.7623456779</v>
      </c>
      <c r="M78" s="1064" t="n"/>
      <c r="N78" s="1064" t="n"/>
      <c r="O78" s="1064" t="n"/>
      <c r="P78" s="1064" t="n"/>
      <c r="Q78" s="1064" t="n"/>
      <c r="R78" s="1064" t="n"/>
      <c r="S78" s="1064" t="n"/>
      <c r="T78" s="1064" t="n"/>
      <c r="U78" s="1064" t="n"/>
      <c r="V78" s="1064" t="n"/>
      <c r="W78" s="1064" t="n"/>
      <c r="X78" s="1064" t="n"/>
      <c r="Y78" s="1064" t="n"/>
      <c r="Z78" s="1064" t="n"/>
      <c r="AA78" s="1064" t="n"/>
      <c r="AB78" s="1064" t="n"/>
      <c r="AC78" s="1064" t="n"/>
      <c r="AD78" s="1064" t="n"/>
      <c r="AE78" s="1064" t="n"/>
      <c r="AF78" s="1064" t="n"/>
      <c r="AG78" s="1064" t="n"/>
      <c r="AH78" s="1064" t="n"/>
      <c r="AI78" s="1064" t="n"/>
      <c r="AJ78" s="1064" t="n"/>
      <c r="AK78" s="1064" t="n"/>
      <c r="AL78" s="1064" t="n"/>
      <c r="AM78" s="1064" t="n"/>
      <c r="AN78" s="1064" t="n"/>
      <c r="AO78" s="1064" t="n"/>
      <c r="AP78" s="1064" t="n"/>
      <c r="AQ78" s="1064" t="n"/>
      <c r="AR78" s="1064" t="n"/>
      <c r="AS78" s="1064" t="n"/>
      <c r="AT78" s="1064" t="n"/>
      <c r="AU78" s="1064" t="n"/>
      <c r="AV78" s="1064" t="n"/>
      <c r="AW78" s="1064" t="n"/>
      <c r="AX78" s="1064" t="n"/>
      <c r="AY78" s="1064" t="n"/>
      <c r="AZ78" s="1064" t="n"/>
      <c r="BA78" s="1064" t="n"/>
      <c r="BB78" s="1064" t="n"/>
      <c r="BC78" s="1064" t="n"/>
      <c r="BD78" s="1064" t="n"/>
      <c r="BE78" s="1064" t="n"/>
      <c r="BF78" s="1064" t="n"/>
      <c r="BG78" s="1064" t="n"/>
      <c r="BH78" s="1064" t="n"/>
      <c r="BI78" s="1064" t="n"/>
      <c r="BJ78" s="1064" t="n"/>
      <c r="BK78" s="1064" t="n"/>
      <c r="BL78" s="1064" t="n"/>
      <c r="BM78" s="1064" t="n"/>
      <c r="BN78" s="1064" t="n"/>
      <c r="BO78" s="1064" t="n"/>
      <c r="BP78" s="1064" t="n"/>
      <c r="BQ78" s="1064" t="n"/>
      <c r="BR78" s="1064" t="n"/>
      <c r="BS78" s="1064" t="n"/>
      <c r="BT78" s="1064" t="n"/>
    </row>
    <row r="79" ht="13.2" customHeight="1" s="586">
      <c r="A79" s="1051" t="inlineStr">
        <is>
          <t>Desktop HW</t>
        </is>
      </c>
      <c r="B79" s="1052" t="inlineStr">
        <is>
          <t>NL</t>
        </is>
      </c>
      <c r="C79" s="1052" t="inlineStr">
        <is>
          <t>S&amp;LB Printer Network big Mono</t>
        </is>
      </c>
      <c r="D79" s="1053" t="inlineStr">
        <is>
          <t>L</t>
        </is>
      </c>
      <c r="E79" s="1054" t="n">
        <v>0</v>
      </c>
      <c r="F79" s="1052" t="n">
        <v>1</v>
      </c>
      <c r="G79" s="1052" t="n">
        <v>36</v>
      </c>
      <c r="H79" s="1054" t="n">
        <v>21465.9356251313</v>
      </c>
      <c r="I79" s="1054" t="n"/>
      <c r="J79" s="1054" t="n"/>
      <c r="K79" s="1054" t="n"/>
      <c r="L79" s="1056" t="n"/>
      <c r="M79" s="1064" t="n"/>
      <c r="N79" s="1064" t="n"/>
      <c r="O79" s="1064" t="n"/>
      <c r="P79" s="1064" t="n"/>
      <c r="Q79" s="1064" t="n"/>
      <c r="R79" s="1064" t="n"/>
      <c r="S79" s="1064" t="n"/>
      <c r="T79" s="1064" t="n"/>
      <c r="U79" s="1064" t="n"/>
      <c r="V79" s="1064" t="n"/>
      <c r="W79" s="1064" t="n"/>
      <c r="X79" s="1064" t="n"/>
      <c r="Y79" s="1064" t="n"/>
      <c r="Z79" s="1064" t="n"/>
      <c r="AA79" s="1064" t="n"/>
      <c r="AB79" s="1064" t="n"/>
      <c r="AC79" s="1064" t="n"/>
      <c r="AD79" s="1064" t="n"/>
      <c r="AE79" s="1064" t="n"/>
      <c r="AF79" s="1064" t="n"/>
      <c r="AG79" s="1064" t="n"/>
      <c r="AH79" s="1064" t="n"/>
      <c r="AI79" s="1064" t="n"/>
      <c r="AJ79" s="1064" t="n"/>
      <c r="AK79" s="1064" t="n"/>
      <c r="AL79" s="1064" t="n"/>
      <c r="AM79" s="1064" t="n"/>
      <c r="AN79" s="1064" t="n"/>
      <c r="AO79" s="1064" t="n"/>
      <c r="AP79" s="1064" t="n"/>
      <c r="AQ79" s="1064" t="n"/>
      <c r="AR79" s="1064" t="n"/>
      <c r="AS79" s="1064" t="n"/>
      <c r="AT79" s="1064" t="n"/>
      <c r="AU79" s="1064" t="n"/>
      <c r="AV79" s="1064" t="n"/>
      <c r="AW79" s="1064" t="n"/>
      <c r="AX79" s="1064" t="n"/>
      <c r="AY79" s="1064" t="n"/>
      <c r="AZ79" s="1064" t="n"/>
      <c r="BA79" s="1064" t="n"/>
      <c r="BB79" s="1064" t="n"/>
      <c r="BC79" s="1064" t="n"/>
      <c r="BD79" s="1064" t="n"/>
      <c r="BE79" s="1064" t="n"/>
      <c r="BF79" s="1064" t="n"/>
      <c r="BG79" s="1064" t="n"/>
      <c r="BH79" s="1064" t="n"/>
      <c r="BI79" s="1064" t="n"/>
      <c r="BJ79" s="1064" t="n"/>
      <c r="BK79" s="1064" t="n"/>
      <c r="BL79" s="1064" t="n"/>
      <c r="BM79" s="1064" t="n"/>
      <c r="BN79" s="1064" t="n"/>
      <c r="BO79" s="1064" t="n"/>
      <c r="BP79" s="1064" t="n"/>
      <c r="BQ79" s="1064" t="n"/>
      <c r="BR79" s="1064" t="n"/>
      <c r="BS79" s="1064" t="n"/>
      <c r="BT79" s="1064" t="n"/>
    </row>
    <row r="80" ht="13.2" customHeight="1" s="586">
      <c r="A80" s="1051" t="inlineStr">
        <is>
          <t>Desktop HW</t>
        </is>
      </c>
      <c r="B80" s="1052" t="inlineStr">
        <is>
          <t>NL</t>
        </is>
      </c>
      <c r="C80" s="1052" t="inlineStr">
        <is>
          <t>S&amp;LB Printer Network big Mono</t>
        </is>
      </c>
      <c r="D80" s="1053" t="inlineStr">
        <is>
          <t>L</t>
        </is>
      </c>
      <c r="E80" s="1054" t="n">
        <v>0</v>
      </c>
      <c r="F80" s="1052" t="n">
        <v>1</v>
      </c>
      <c r="G80" s="1052" t="n">
        <v>36</v>
      </c>
      <c r="H80" s="1054" t="n">
        <v>21465.9356251313</v>
      </c>
      <c r="I80" s="1054" t="n">
        <v>21465.9356251313</v>
      </c>
      <c r="J80" s="1054" t="n"/>
      <c r="K80" s="1054" t="n"/>
      <c r="L80" s="1056" t="n"/>
      <c r="M80" s="1064" t="n"/>
      <c r="N80" s="1064" t="n"/>
      <c r="O80" s="1064" t="n"/>
      <c r="P80" s="1064" t="n"/>
      <c r="Q80" s="1064" t="n"/>
      <c r="R80" s="1064" t="n"/>
      <c r="S80" s="1064" t="n"/>
      <c r="T80" s="1064" t="n"/>
      <c r="U80" s="1064" t="n"/>
      <c r="V80" s="1064" t="n"/>
      <c r="W80" s="1064" t="n"/>
      <c r="X80" s="1064" t="n"/>
      <c r="Y80" s="1064" t="n"/>
      <c r="Z80" s="1064" t="n"/>
      <c r="AA80" s="1064" t="n"/>
      <c r="AB80" s="1064" t="n"/>
      <c r="AC80" s="1064" t="n"/>
      <c r="AD80" s="1064" t="n"/>
      <c r="AE80" s="1064" t="n"/>
      <c r="AF80" s="1064" t="n"/>
      <c r="AG80" s="1064" t="n"/>
      <c r="AH80" s="1064" t="n"/>
      <c r="AI80" s="1064" t="n"/>
      <c r="AJ80" s="1064" t="n"/>
      <c r="AK80" s="1064" t="n"/>
      <c r="AL80" s="1064" t="n"/>
      <c r="AM80" s="1064" t="n"/>
      <c r="AN80" s="1064" t="n"/>
      <c r="AO80" s="1064" t="n"/>
      <c r="AP80" s="1064" t="n"/>
      <c r="AQ80" s="1064" t="n"/>
      <c r="AR80" s="1064" t="n"/>
      <c r="AS80" s="1064" t="n"/>
      <c r="AT80" s="1064" t="n"/>
      <c r="AU80" s="1064" t="n"/>
      <c r="AV80" s="1064" t="n"/>
      <c r="AW80" s="1064" t="n"/>
      <c r="AX80" s="1064" t="n"/>
      <c r="AY80" s="1064" t="n"/>
      <c r="AZ80" s="1064" t="n"/>
      <c r="BA80" s="1064" t="n"/>
      <c r="BB80" s="1064" t="n"/>
      <c r="BC80" s="1064" t="n"/>
      <c r="BD80" s="1064" t="n"/>
      <c r="BE80" s="1064" t="n"/>
      <c r="BF80" s="1064" t="n"/>
      <c r="BG80" s="1064" t="n"/>
      <c r="BH80" s="1064" t="n"/>
      <c r="BI80" s="1064" t="n"/>
      <c r="BJ80" s="1064" t="n"/>
      <c r="BK80" s="1064" t="n"/>
      <c r="BL80" s="1064" t="n"/>
      <c r="BM80" s="1064" t="n"/>
      <c r="BN80" s="1064" t="n"/>
      <c r="BO80" s="1064" t="n"/>
      <c r="BP80" s="1064" t="n"/>
      <c r="BQ80" s="1064" t="n"/>
      <c r="BR80" s="1064" t="n"/>
      <c r="BS80" s="1064" t="n"/>
      <c r="BT80" s="1064" t="n"/>
    </row>
    <row r="81" ht="13.2" customHeight="1" s="586">
      <c r="A81" s="1051" t="inlineStr">
        <is>
          <t>Desktop HW</t>
        </is>
      </c>
      <c r="B81" s="1052" t="inlineStr">
        <is>
          <t>NL</t>
        </is>
      </c>
      <c r="C81" s="1052" t="inlineStr">
        <is>
          <t>Printer Network big Mono</t>
        </is>
      </c>
      <c r="D81" s="1053" t="inlineStr">
        <is>
          <t>L</t>
        </is>
      </c>
      <c r="E81" s="1054" t="n">
        <v>76380.3573339429</v>
      </c>
      <c r="F81" s="1052" t="n">
        <v>1</v>
      </c>
      <c r="G81" s="1052" t="n">
        <v>36</v>
      </c>
      <c r="H81" s="1054" t="n">
        <v>21465.9356251313</v>
      </c>
      <c r="I81" s="1054" t="n">
        <v>21465.9356251313</v>
      </c>
      <c r="J81" s="1054" t="n">
        <v>21465.9356251313</v>
      </c>
      <c r="K81" s="1054" t="n"/>
      <c r="L81" s="1056" t="n"/>
      <c r="M81" s="1064" t="n"/>
      <c r="N81" s="1064" t="n"/>
      <c r="O81" s="1064" t="n"/>
      <c r="P81" s="1064" t="n"/>
      <c r="Q81" s="1064" t="n"/>
      <c r="R81" s="1064" t="n"/>
      <c r="S81" s="1064" t="n"/>
      <c r="T81" s="1064" t="n"/>
      <c r="U81" s="1064" t="n"/>
      <c r="V81" s="1064" t="n"/>
      <c r="W81" s="1064" t="n"/>
      <c r="X81" s="1064" t="n"/>
      <c r="Y81" s="1064" t="n"/>
      <c r="Z81" s="1064" t="n"/>
      <c r="AA81" s="1064" t="n"/>
      <c r="AB81" s="1064" t="n"/>
      <c r="AC81" s="1064" t="n"/>
      <c r="AD81" s="1064" t="n"/>
      <c r="AE81" s="1064" t="n"/>
      <c r="AF81" s="1064" t="n"/>
      <c r="AG81" s="1064" t="n"/>
      <c r="AH81" s="1064" t="n"/>
      <c r="AI81" s="1064" t="n"/>
      <c r="AJ81" s="1064" t="n"/>
      <c r="AK81" s="1064" t="n"/>
      <c r="AL81" s="1064" t="n"/>
      <c r="AM81" s="1064" t="n"/>
      <c r="AN81" s="1064" t="n"/>
      <c r="AO81" s="1064" t="n"/>
      <c r="AP81" s="1064" t="n"/>
      <c r="AQ81" s="1064" t="n"/>
      <c r="AR81" s="1064" t="n"/>
      <c r="AS81" s="1064" t="n"/>
      <c r="AT81" s="1064" t="n"/>
      <c r="AU81" s="1064" t="n"/>
      <c r="AV81" s="1064" t="n"/>
      <c r="AW81" s="1064" t="n"/>
      <c r="AX81" s="1064" t="n"/>
      <c r="AY81" s="1064" t="n"/>
      <c r="AZ81" s="1064" t="n"/>
      <c r="BA81" s="1064" t="n"/>
      <c r="BB81" s="1064" t="n"/>
      <c r="BC81" s="1064" t="n"/>
      <c r="BD81" s="1064" t="n"/>
      <c r="BE81" s="1064" t="n"/>
      <c r="BF81" s="1064" t="n"/>
      <c r="BG81" s="1064" t="n"/>
      <c r="BH81" s="1064" t="n"/>
      <c r="BI81" s="1064" t="n"/>
      <c r="BJ81" s="1064" t="n"/>
      <c r="BK81" s="1064" t="n"/>
      <c r="BL81" s="1064" t="n"/>
      <c r="BM81" s="1064" t="n"/>
      <c r="BN81" s="1064" t="n"/>
      <c r="BO81" s="1064" t="n"/>
      <c r="BP81" s="1064" t="n"/>
      <c r="BQ81" s="1064" t="n"/>
      <c r="BR81" s="1064" t="n"/>
      <c r="BS81" s="1064" t="n"/>
      <c r="BT81" s="1064" t="n"/>
    </row>
    <row r="82" ht="13.2" customHeight="1" s="586">
      <c r="A82" s="1051" t="inlineStr">
        <is>
          <t>Desktop HW</t>
        </is>
      </c>
      <c r="B82" s="1052" t="inlineStr">
        <is>
          <t>NL</t>
        </is>
      </c>
      <c r="C82" s="1052" t="inlineStr">
        <is>
          <t>Printer Network big Mono</t>
        </is>
      </c>
      <c r="D82" s="1053" t="inlineStr">
        <is>
          <t>L</t>
        </is>
      </c>
      <c r="E82" s="1054" t="n">
        <v>76380.3573339429</v>
      </c>
      <c r="F82" s="1052" t="n">
        <v>13</v>
      </c>
      <c r="G82" s="1052" t="n">
        <v>36</v>
      </c>
      <c r="H82" s="1054" t="n"/>
      <c r="I82" s="1054" t="n">
        <v>21465.9356251313</v>
      </c>
      <c r="J82" s="1054" t="n">
        <v>21465.9356251313</v>
      </c>
      <c r="K82" s="1054" t="n">
        <v>21465.9356251313</v>
      </c>
      <c r="L82" s="1056" t="n"/>
      <c r="M82" s="1064" t="n"/>
      <c r="N82" s="1064" t="n"/>
      <c r="O82" s="1064" t="n"/>
      <c r="P82" s="1064" t="n"/>
      <c r="Q82" s="1064" t="n"/>
      <c r="R82" s="1064" t="n"/>
      <c r="S82" s="1064" t="n"/>
      <c r="T82" s="1064" t="n"/>
      <c r="U82" s="1064" t="n"/>
      <c r="V82" s="1064" t="n"/>
      <c r="W82" s="1064" t="n"/>
      <c r="X82" s="1064" t="n"/>
      <c r="Y82" s="1064" t="n"/>
      <c r="Z82" s="1064" t="n"/>
      <c r="AA82" s="1064" t="n"/>
      <c r="AB82" s="1064" t="n"/>
      <c r="AC82" s="1064" t="n"/>
      <c r="AD82" s="1064" t="n"/>
      <c r="AE82" s="1064" t="n"/>
      <c r="AF82" s="1064" t="n"/>
      <c r="AG82" s="1064" t="n"/>
      <c r="AH82" s="1064" t="n"/>
      <c r="AI82" s="1064" t="n"/>
      <c r="AJ82" s="1064" t="n"/>
      <c r="AK82" s="1064" t="n"/>
      <c r="AL82" s="1064" t="n"/>
      <c r="AM82" s="1064" t="n"/>
      <c r="AN82" s="1064" t="n"/>
      <c r="AO82" s="1064" t="n"/>
      <c r="AP82" s="1064" t="n"/>
      <c r="AQ82" s="1064" t="n"/>
      <c r="AR82" s="1064" t="n"/>
      <c r="AS82" s="1064" t="n"/>
      <c r="AT82" s="1064" t="n"/>
      <c r="AU82" s="1064" t="n"/>
      <c r="AV82" s="1064" t="n"/>
      <c r="AW82" s="1064" t="n"/>
      <c r="AX82" s="1064" t="n"/>
      <c r="AY82" s="1064" t="n"/>
      <c r="AZ82" s="1064" t="n"/>
      <c r="BA82" s="1064" t="n"/>
      <c r="BB82" s="1064" t="n"/>
      <c r="BC82" s="1064" t="n"/>
      <c r="BD82" s="1064" t="n"/>
      <c r="BE82" s="1064" t="n"/>
      <c r="BF82" s="1064" t="n"/>
      <c r="BG82" s="1064" t="n"/>
      <c r="BH82" s="1064" t="n"/>
      <c r="BI82" s="1064" t="n"/>
      <c r="BJ82" s="1064" t="n"/>
      <c r="BK82" s="1064" t="n"/>
      <c r="BL82" s="1064" t="n"/>
      <c r="BM82" s="1064" t="n"/>
      <c r="BN82" s="1064" t="n"/>
      <c r="BO82" s="1064" t="n"/>
      <c r="BP82" s="1064" t="n"/>
      <c r="BQ82" s="1064" t="n"/>
      <c r="BR82" s="1064" t="n"/>
      <c r="BS82" s="1064" t="n"/>
      <c r="BT82" s="1064" t="n"/>
    </row>
    <row r="83" ht="13.2" customHeight="1" s="586">
      <c r="A83" s="1051" t="inlineStr">
        <is>
          <t>Desktop HW</t>
        </is>
      </c>
      <c r="B83" s="1052" t="inlineStr">
        <is>
          <t>NL</t>
        </is>
      </c>
      <c r="C83" s="1052" t="inlineStr">
        <is>
          <t>Printer Network big Mono</t>
        </is>
      </c>
      <c r="D83" s="1053" t="inlineStr">
        <is>
          <t>L</t>
        </is>
      </c>
      <c r="E83" s="1054" t="n">
        <v>76380.3573339429</v>
      </c>
      <c r="F83" s="1052" t="n">
        <v>25</v>
      </c>
      <c r="G83" s="1052" t="n">
        <v>36</v>
      </c>
      <c r="H83" s="1054" t="n"/>
      <c r="I83" s="1054" t="n"/>
      <c r="J83" s="1054" t="n">
        <v>21465.9356251313</v>
      </c>
      <c r="K83" s="1054" t="n">
        <v>21465.9356251313</v>
      </c>
      <c r="L83" s="1056" t="n">
        <v>21465.9356251313</v>
      </c>
      <c r="M83" s="1064" t="n"/>
      <c r="N83" s="1064" t="n"/>
      <c r="O83" s="1064" t="n"/>
      <c r="P83" s="1064" t="n"/>
      <c r="Q83" s="1064" t="n"/>
      <c r="R83" s="1064" t="n"/>
      <c r="S83" s="1064" t="n"/>
      <c r="T83" s="1064" t="n"/>
      <c r="U83" s="1064" t="n"/>
      <c r="V83" s="1064" t="n"/>
      <c r="W83" s="1064" t="n"/>
      <c r="X83" s="1064" t="n"/>
      <c r="Y83" s="1064" t="n"/>
      <c r="Z83" s="1064" t="n"/>
      <c r="AA83" s="1064" t="n"/>
      <c r="AB83" s="1064" t="n"/>
      <c r="AC83" s="1064" t="n"/>
      <c r="AD83" s="1064" t="n"/>
      <c r="AE83" s="1064" t="n"/>
      <c r="AF83" s="1064" t="n"/>
      <c r="AG83" s="1064" t="n"/>
      <c r="AH83" s="1064" t="n"/>
      <c r="AI83" s="1064" t="n"/>
      <c r="AJ83" s="1064" t="n"/>
      <c r="AK83" s="1064" t="n"/>
      <c r="AL83" s="1064" t="n"/>
      <c r="AM83" s="1064" t="n"/>
      <c r="AN83" s="1064" t="n"/>
      <c r="AO83" s="1064" t="n"/>
      <c r="AP83" s="1064" t="n"/>
      <c r="AQ83" s="1064" t="n"/>
      <c r="AR83" s="1064" t="n"/>
      <c r="AS83" s="1064" t="n"/>
      <c r="AT83" s="1064" t="n"/>
      <c r="AU83" s="1064" t="n"/>
      <c r="AV83" s="1064" t="n"/>
      <c r="AW83" s="1064" t="n"/>
      <c r="AX83" s="1064" t="n"/>
      <c r="AY83" s="1064" t="n"/>
      <c r="AZ83" s="1064" t="n"/>
      <c r="BA83" s="1064" t="n"/>
      <c r="BB83" s="1064" t="n"/>
      <c r="BC83" s="1064" t="n"/>
      <c r="BD83" s="1064" t="n"/>
      <c r="BE83" s="1064" t="n"/>
      <c r="BF83" s="1064" t="n"/>
      <c r="BG83" s="1064" t="n"/>
      <c r="BH83" s="1064" t="n"/>
      <c r="BI83" s="1064" t="n"/>
      <c r="BJ83" s="1064" t="n"/>
      <c r="BK83" s="1064" t="n"/>
      <c r="BL83" s="1064" t="n"/>
      <c r="BM83" s="1064" t="n"/>
      <c r="BN83" s="1064" t="n"/>
      <c r="BO83" s="1064" t="n"/>
      <c r="BP83" s="1064" t="n"/>
      <c r="BQ83" s="1064" t="n"/>
      <c r="BR83" s="1064" t="n"/>
      <c r="BS83" s="1064" t="n"/>
      <c r="BT83" s="1064" t="n"/>
    </row>
    <row r="84" ht="13.2" customHeight="1" s="586">
      <c r="A84" s="1051" t="inlineStr">
        <is>
          <t>Desktop HW</t>
        </is>
      </c>
      <c r="B84" s="1052" t="inlineStr">
        <is>
          <t>NL</t>
        </is>
      </c>
      <c r="C84" s="1052" t="inlineStr">
        <is>
          <t>Printer Network big Mono</t>
        </is>
      </c>
      <c r="D84" s="1053" t="inlineStr">
        <is>
          <t>L</t>
        </is>
      </c>
      <c r="E84" s="1054" t="n">
        <v>76380.3573339429</v>
      </c>
      <c r="F84" s="1052" t="n">
        <v>37</v>
      </c>
      <c r="G84" s="1052" t="n">
        <v>36</v>
      </c>
      <c r="H84" s="1054" t="n"/>
      <c r="I84" s="1054" t="n"/>
      <c r="J84" s="1054" t="n"/>
      <c r="K84" s="1054" t="n">
        <v>21465.9356251313</v>
      </c>
      <c r="L84" s="1056" t="n">
        <v>21465.9356251313</v>
      </c>
      <c r="M84" s="1064" t="n"/>
      <c r="N84" s="1064" t="n"/>
      <c r="O84" s="1064" t="n"/>
      <c r="P84" s="1064" t="n"/>
      <c r="Q84" s="1064" t="n"/>
      <c r="R84" s="1064" t="n"/>
      <c r="S84" s="1064" t="n"/>
      <c r="T84" s="1064" t="n"/>
      <c r="U84" s="1064" t="n"/>
      <c r="V84" s="1064" t="n"/>
      <c r="W84" s="1064" t="n"/>
      <c r="X84" s="1064" t="n"/>
      <c r="Y84" s="1064" t="n"/>
      <c r="Z84" s="1064" t="n"/>
      <c r="AA84" s="1064" t="n"/>
      <c r="AB84" s="1064" t="n"/>
      <c r="AC84" s="1064" t="n"/>
      <c r="AD84" s="1064" t="n"/>
      <c r="AE84" s="1064" t="n"/>
      <c r="AF84" s="1064" t="n"/>
      <c r="AG84" s="1064" t="n"/>
      <c r="AH84" s="1064" t="n"/>
      <c r="AI84" s="1064" t="n"/>
      <c r="AJ84" s="1064" t="n"/>
      <c r="AK84" s="1064" t="n"/>
      <c r="AL84" s="1064" t="n"/>
      <c r="AM84" s="1064" t="n"/>
      <c r="AN84" s="1064" t="n"/>
      <c r="AO84" s="1064" t="n"/>
      <c r="AP84" s="1064" t="n"/>
      <c r="AQ84" s="1064" t="n"/>
      <c r="AR84" s="1064" t="n"/>
      <c r="AS84" s="1064" t="n"/>
      <c r="AT84" s="1064" t="n"/>
      <c r="AU84" s="1064" t="n"/>
      <c r="AV84" s="1064" t="n"/>
      <c r="AW84" s="1064" t="n"/>
      <c r="AX84" s="1064" t="n"/>
      <c r="AY84" s="1064" t="n"/>
      <c r="AZ84" s="1064" t="n"/>
      <c r="BA84" s="1064" t="n"/>
      <c r="BB84" s="1064" t="n"/>
      <c r="BC84" s="1064" t="n"/>
      <c r="BD84" s="1064" t="n"/>
      <c r="BE84" s="1064" t="n"/>
      <c r="BF84" s="1064" t="n"/>
      <c r="BG84" s="1064" t="n"/>
      <c r="BH84" s="1064" t="n"/>
      <c r="BI84" s="1064" t="n"/>
      <c r="BJ84" s="1064" t="n"/>
      <c r="BK84" s="1064" t="n"/>
      <c r="BL84" s="1064" t="n"/>
      <c r="BM84" s="1064" t="n"/>
      <c r="BN84" s="1064" t="n"/>
      <c r="BO84" s="1064" t="n"/>
      <c r="BP84" s="1064" t="n"/>
      <c r="BQ84" s="1064" t="n"/>
      <c r="BR84" s="1064" t="n"/>
      <c r="BS84" s="1064" t="n"/>
      <c r="BT84" s="1064" t="n"/>
    </row>
    <row r="85" ht="13.2" customHeight="1" s="586">
      <c r="A85" s="1051" t="inlineStr">
        <is>
          <t>Desktop HW</t>
        </is>
      </c>
      <c r="B85" s="1052" t="inlineStr">
        <is>
          <t>NL</t>
        </is>
      </c>
      <c r="C85" s="1052" t="inlineStr">
        <is>
          <t>Printer Network big Mono</t>
        </is>
      </c>
      <c r="D85" s="1053" t="inlineStr">
        <is>
          <t>L</t>
        </is>
      </c>
      <c r="E85" s="1054" t="n">
        <v>76380.3573339429</v>
      </c>
      <c r="F85" s="1052" t="n">
        <v>49</v>
      </c>
      <c r="G85" s="1052" t="n">
        <v>36</v>
      </c>
      <c r="H85" s="1054" t="n"/>
      <c r="I85" s="1054" t="n"/>
      <c r="J85" s="1054" t="n"/>
      <c r="K85" s="1054" t="n"/>
      <c r="L85" s="1056" t="n">
        <v>21465.9356251313</v>
      </c>
      <c r="M85" s="1064" t="n"/>
      <c r="N85" s="1064" t="n"/>
      <c r="O85" s="1064" t="n"/>
      <c r="P85" s="1064" t="n"/>
      <c r="Q85" s="1064" t="n"/>
      <c r="R85" s="1064" t="n"/>
      <c r="S85" s="1064" t="n"/>
      <c r="T85" s="1064" t="n"/>
      <c r="U85" s="1064" t="n"/>
      <c r="V85" s="1064" t="n"/>
      <c r="W85" s="1064" t="n"/>
      <c r="X85" s="1064" t="n"/>
      <c r="Y85" s="1064" t="n"/>
      <c r="Z85" s="1064" t="n"/>
      <c r="AA85" s="1064" t="n"/>
      <c r="AB85" s="1064" t="n"/>
      <c r="AC85" s="1064" t="n"/>
      <c r="AD85" s="1064" t="n"/>
      <c r="AE85" s="1064" t="n"/>
      <c r="AF85" s="1064" t="n"/>
      <c r="AG85" s="1064" t="n"/>
      <c r="AH85" s="1064" t="n"/>
      <c r="AI85" s="1064" t="n"/>
      <c r="AJ85" s="1064" t="n"/>
      <c r="AK85" s="1064" t="n"/>
      <c r="AL85" s="1064" t="n"/>
      <c r="AM85" s="1064" t="n"/>
      <c r="AN85" s="1064" t="n"/>
      <c r="AO85" s="1064" t="n"/>
      <c r="AP85" s="1064" t="n"/>
      <c r="AQ85" s="1064" t="n"/>
      <c r="AR85" s="1064" t="n"/>
      <c r="AS85" s="1064" t="n"/>
      <c r="AT85" s="1064" t="n"/>
      <c r="AU85" s="1064" t="n"/>
      <c r="AV85" s="1064" t="n"/>
      <c r="AW85" s="1064" t="n"/>
      <c r="AX85" s="1064" t="n"/>
      <c r="AY85" s="1064" t="n"/>
      <c r="AZ85" s="1064" t="n"/>
      <c r="BA85" s="1064" t="n"/>
      <c r="BB85" s="1064" t="n"/>
      <c r="BC85" s="1064" t="n"/>
      <c r="BD85" s="1064" t="n"/>
      <c r="BE85" s="1064" t="n"/>
      <c r="BF85" s="1064" t="n"/>
      <c r="BG85" s="1064" t="n"/>
      <c r="BH85" s="1064" t="n"/>
      <c r="BI85" s="1064" t="n"/>
      <c r="BJ85" s="1064" t="n"/>
      <c r="BK85" s="1064" t="n"/>
      <c r="BL85" s="1064" t="n"/>
      <c r="BM85" s="1064" t="n"/>
      <c r="BN85" s="1064" t="n"/>
      <c r="BO85" s="1064" t="n"/>
      <c r="BP85" s="1064" t="n"/>
      <c r="BQ85" s="1064" t="n"/>
      <c r="BR85" s="1064" t="n"/>
      <c r="BS85" s="1064" t="n"/>
      <c r="BT85" s="1064" t="n"/>
    </row>
    <row r="86" ht="13.2" customHeight="1" s="586">
      <c r="A86" s="1051" t="inlineStr">
        <is>
          <t>Desktop HW</t>
        </is>
      </c>
      <c r="B86" s="1052" t="inlineStr">
        <is>
          <t>NL</t>
        </is>
      </c>
      <c r="C86" s="1052" t="inlineStr">
        <is>
          <t>S&amp;LB Printer Network big color</t>
        </is>
      </c>
      <c r="D86" s="1053" t="inlineStr">
        <is>
          <t>L</t>
        </is>
      </c>
      <c r="E86" s="1054" t="n">
        <v>0</v>
      </c>
      <c r="F86" s="1052" t="n">
        <v>1</v>
      </c>
      <c r="G86" s="1052" t="n">
        <v>36</v>
      </c>
      <c r="H86" s="1054" t="n">
        <v>64881.1104460906</v>
      </c>
      <c r="I86" s="1054" t="n"/>
      <c r="J86" s="1054" t="n"/>
      <c r="K86" s="1054" t="n"/>
      <c r="L86" s="1056" t="n"/>
      <c r="M86" s="1064" t="n"/>
      <c r="N86" s="1064" t="n"/>
      <c r="O86" s="1064" t="n"/>
      <c r="P86" s="1064" t="n"/>
      <c r="Q86" s="1064" t="n"/>
      <c r="R86" s="1064" t="n"/>
      <c r="S86" s="1064" t="n"/>
      <c r="T86" s="1064" t="n"/>
      <c r="U86" s="1064" t="n"/>
      <c r="V86" s="1064" t="n"/>
      <c r="W86" s="1064" t="n"/>
      <c r="X86" s="1064" t="n"/>
      <c r="Y86" s="1064" t="n"/>
      <c r="Z86" s="1064" t="n"/>
      <c r="AA86" s="1064" t="n"/>
      <c r="AB86" s="1064" t="n"/>
      <c r="AC86" s="1064" t="n"/>
      <c r="AD86" s="1064" t="n"/>
      <c r="AE86" s="1064" t="n"/>
      <c r="AF86" s="1064" t="n"/>
      <c r="AG86" s="1064" t="n"/>
      <c r="AH86" s="1064" t="n"/>
      <c r="AI86" s="1064" t="n"/>
      <c r="AJ86" s="1064" t="n"/>
      <c r="AK86" s="1064" t="n"/>
      <c r="AL86" s="1064" t="n"/>
      <c r="AM86" s="1064" t="n"/>
      <c r="AN86" s="1064" t="n"/>
      <c r="AO86" s="1064" t="n"/>
      <c r="AP86" s="1064" t="n"/>
      <c r="AQ86" s="1064" t="n"/>
      <c r="AR86" s="1064" t="n"/>
      <c r="AS86" s="1064" t="n"/>
      <c r="AT86" s="1064" t="n"/>
      <c r="AU86" s="1064" t="n"/>
      <c r="AV86" s="1064" t="n"/>
      <c r="AW86" s="1064" t="n"/>
      <c r="AX86" s="1064" t="n"/>
      <c r="AY86" s="1064" t="n"/>
      <c r="AZ86" s="1064" t="n"/>
      <c r="BA86" s="1064" t="n"/>
      <c r="BB86" s="1064" t="n"/>
      <c r="BC86" s="1064" t="n"/>
      <c r="BD86" s="1064" t="n"/>
      <c r="BE86" s="1064" t="n"/>
      <c r="BF86" s="1064" t="n"/>
      <c r="BG86" s="1064" t="n"/>
      <c r="BH86" s="1064" t="n"/>
      <c r="BI86" s="1064" t="n"/>
      <c r="BJ86" s="1064" t="n"/>
      <c r="BK86" s="1064" t="n"/>
      <c r="BL86" s="1064" t="n"/>
      <c r="BM86" s="1064" t="n"/>
      <c r="BN86" s="1064" t="n"/>
      <c r="BO86" s="1064" t="n"/>
      <c r="BP86" s="1064" t="n"/>
      <c r="BQ86" s="1064" t="n"/>
      <c r="BR86" s="1064" t="n"/>
      <c r="BS86" s="1064" t="n"/>
      <c r="BT86" s="1064" t="n"/>
    </row>
    <row r="87" ht="13.2" customHeight="1" s="586">
      <c r="A87" s="1051" t="inlineStr">
        <is>
          <t>Desktop HW</t>
        </is>
      </c>
      <c r="B87" s="1052" t="inlineStr">
        <is>
          <t>NL</t>
        </is>
      </c>
      <c r="C87" s="1052" t="inlineStr">
        <is>
          <t>S&amp;LB Printer Network big color</t>
        </is>
      </c>
      <c r="D87" s="1053" t="inlineStr">
        <is>
          <t>L</t>
        </is>
      </c>
      <c r="E87" s="1054" t="n">
        <v>0</v>
      </c>
      <c r="F87" s="1052" t="n">
        <v>1</v>
      </c>
      <c r="G87" s="1052" t="n">
        <v>36</v>
      </c>
      <c r="H87" s="1054" t="n">
        <v>64881.1104460906</v>
      </c>
      <c r="I87" s="1054" t="n">
        <v>64881.1104460906</v>
      </c>
      <c r="J87" s="1054" t="n"/>
      <c r="K87" s="1054" t="n"/>
      <c r="L87" s="1056" t="n"/>
      <c r="M87" s="1064" t="n"/>
      <c r="N87" s="1064" t="n"/>
      <c r="O87" s="1064" t="n"/>
      <c r="P87" s="1064" t="n"/>
      <c r="Q87" s="1064" t="n"/>
      <c r="R87" s="1064" t="n"/>
      <c r="S87" s="1064" t="n"/>
      <c r="T87" s="1064" t="n"/>
      <c r="U87" s="1064" t="n"/>
      <c r="V87" s="1064" t="n"/>
      <c r="W87" s="1064" t="n"/>
      <c r="X87" s="1064" t="n"/>
      <c r="Y87" s="1064" t="n"/>
      <c r="Z87" s="1064" t="n"/>
      <c r="AA87" s="1064" t="n"/>
      <c r="AB87" s="1064" t="n"/>
      <c r="AC87" s="1064" t="n"/>
      <c r="AD87" s="1064" t="n"/>
      <c r="AE87" s="1064" t="n"/>
      <c r="AF87" s="1064" t="n"/>
      <c r="AG87" s="1064" t="n"/>
      <c r="AH87" s="1064" t="n"/>
      <c r="AI87" s="1064" t="n"/>
      <c r="AJ87" s="1064" t="n"/>
      <c r="AK87" s="1064" t="n"/>
      <c r="AL87" s="1064" t="n"/>
      <c r="AM87" s="1064" t="n"/>
      <c r="AN87" s="1064" t="n"/>
      <c r="AO87" s="1064" t="n"/>
      <c r="AP87" s="1064" t="n"/>
      <c r="AQ87" s="1064" t="n"/>
      <c r="AR87" s="1064" t="n"/>
      <c r="AS87" s="1064" t="n"/>
      <c r="AT87" s="1064" t="n"/>
      <c r="AU87" s="1064" t="n"/>
      <c r="AV87" s="1064" t="n"/>
      <c r="AW87" s="1064" t="n"/>
      <c r="AX87" s="1064" t="n"/>
      <c r="AY87" s="1064" t="n"/>
      <c r="AZ87" s="1064" t="n"/>
      <c r="BA87" s="1064" t="n"/>
      <c r="BB87" s="1064" t="n"/>
      <c r="BC87" s="1064" t="n"/>
      <c r="BD87" s="1064" t="n"/>
      <c r="BE87" s="1064" t="n"/>
      <c r="BF87" s="1064" t="n"/>
      <c r="BG87" s="1064" t="n"/>
      <c r="BH87" s="1064" t="n"/>
      <c r="BI87" s="1064" t="n"/>
      <c r="BJ87" s="1064" t="n"/>
      <c r="BK87" s="1064" t="n"/>
      <c r="BL87" s="1064" t="n"/>
      <c r="BM87" s="1064" t="n"/>
      <c r="BN87" s="1064" t="n"/>
      <c r="BO87" s="1064" t="n"/>
      <c r="BP87" s="1064" t="n"/>
      <c r="BQ87" s="1064" t="n"/>
      <c r="BR87" s="1064" t="n"/>
      <c r="BS87" s="1064" t="n"/>
      <c r="BT87" s="1064" t="n"/>
    </row>
    <row r="88" ht="13.2" customHeight="1" s="586">
      <c r="A88" s="1051" t="inlineStr">
        <is>
          <t>Desktop HW</t>
        </is>
      </c>
      <c r="B88" s="1052" t="inlineStr">
        <is>
          <t>NL</t>
        </is>
      </c>
      <c r="C88" s="1052" t="inlineStr">
        <is>
          <t>Printer Network big color</t>
        </is>
      </c>
      <c r="D88" s="1053" t="inlineStr">
        <is>
          <t>L</t>
        </is>
      </c>
      <c r="E88" s="1054" t="n">
        <v>230860.768737869</v>
      </c>
      <c r="F88" s="1052" t="n">
        <v>1</v>
      </c>
      <c r="G88" s="1052" t="n">
        <v>36</v>
      </c>
      <c r="H88" s="1054" t="n">
        <v>64881.1104460906</v>
      </c>
      <c r="I88" s="1054" t="n">
        <v>64881.1104460906</v>
      </c>
      <c r="J88" s="1054" t="n">
        <v>64881.1104460906</v>
      </c>
      <c r="K88" s="1054" t="n"/>
      <c r="L88" s="1056" t="n"/>
      <c r="M88" s="1064" t="n"/>
      <c r="N88" s="1064" t="n"/>
      <c r="O88" s="1064" t="n"/>
      <c r="P88" s="1064" t="n"/>
      <c r="Q88" s="1064" t="n"/>
      <c r="R88" s="1064" t="n"/>
      <c r="S88" s="1064" t="n"/>
      <c r="T88" s="1064" t="n"/>
      <c r="U88" s="1064" t="n"/>
      <c r="V88" s="1064" t="n"/>
      <c r="W88" s="1064" t="n"/>
      <c r="X88" s="1064" t="n"/>
      <c r="Y88" s="1064" t="n"/>
      <c r="Z88" s="1064" t="n"/>
      <c r="AA88" s="1064" t="n"/>
      <c r="AB88" s="1064" t="n"/>
      <c r="AC88" s="1064" t="n"/>
      <c r="AD88" s="1064" t="n"/>
      <c r="AE88" s="1064" t="n"/>
      <c r="AF88" s="1064" t="n"/>
      <c r="AG88" s="1064" t="n"/>
      <c r="AH88" s="1064" t="n"/>
      <c r="AI88" s="1064" t="n"/>
      <c r="AJ88" s="1064" t="n"/>
      <c r="AK88" s="1064" t="n"/>
      <c r="AL88" s="1064" t="n"/>
      <c r="AM88" s="1064" t="n"/>
      <c r="AN88" s="1064" t="n"/>
      <c r="AO88" s="1064" t="n"/>
      <c r="AP88" s="1064" t="n"/>
      <c r="AQ88" s="1064" t="n"/>
      <c r="AR88" s="1064" t="n"/>
      <c r="AS88" s="1064" t="n"/>
      <c r="AT88" s="1064" t="n"/>
      <c r="AU88" s="1064" t="n"/>
      <c r="AV88" s="1064" t="n"/>
      <c r="AW88" s="1064" t="n"/>
      <c r="AX88" s="1064" t="n"/>
      <c r="AY88" s="1064" t="n"/>
      <c r="AZ88" s="1064" t="n"/>
      <c r="BA88" s="1064" t="n"/>
      <c r="BB88" s="1064" t="n"/>
      <c r="BC88" s="1064" t="n"/>
      <c r="BD88" s="1064" t="n"/>
      <c r="BE88" s="1064" t="n"/>
      <c r="BF88" s="1064" t="n"/>
      <c r="BG88" s="1064" t="n"/>
      <c r="BH88" s="1064" t="n"/>
      <c r="BI88" s="1064" t="n"/>
      <c r="BJ88" s="1064" t="n"/>
      <c r="BK88" s="1064" t="n"/>
      <c r="BL88" s="1064" t="n"/>
      <c r="BM88" s="1064" t="n"/>
      <c r="BN88" s="1064" t="n"/>
      <c r="BO88" s="1064" t="n"/>
      <c r="BP88" s="1064" t="n"/>
      <c r="BQ88" s="1064" t="n"/>
      <c r="BR88" s="1064" t="n"/>
      <c r="BS88" s="1064" t="n"/>
      <c r="BT88" s="1064" t="n"/>
    </row>
    <row r="89" ht="13.2" customHeight="1" s="586">
      <c r="A89" s="1051" t="inlineStr">
        <is>
          <t>Desktop HW</t>
        </is>
      </c>
      <c r="B89" s="1052" t="inlineStr">
        <is>
          <t>NL</t>
        </is>
      </c>
      <c r="C89" s="1052" t="inlineStr">
        <is>
          <t>Printer Network big color</t>
        </is>
      </c>
      <c r="D89" s="1053" t="inlineStr">
        <is>
          <t>L</t>
        </is>
      </c>
      <c r="E89" s="1054" t="n">
        <v>230860.768737869</v>
      </c>
      <c r="F89" s="1052" t="n">
        <v>13</v>
      </c>
      <c r="G89" s="1052" t="n">
        <v>36</v>
      </c>
      <c r="H89" s="1054" t="n"/>
      <c r="I89" s="1054" t="n">
        <v>64881.1104460906</v>
      </c>
      <c r="J89" s="1054" t="n">
        <v>64881.1104460906</v>
      </c>
      <c r="K89" s="1054" t="n">
        <v>64881.1104460906</v>
      </c>
      <c r="L89" s="1056" t="n"/>
      <c r="M89" s="1064" t="n"/>
      <c r="N89" s="1064" t="n"/>
      <c r="O89" s="1064" t="n"/>
      <c r="P89" s="1064" t="n"/>
      <c r="Q89" s="1064" t="n"/>
      <c r="R89" s="1064" t="n"/>
      <c r="S89" s="1064" t="n"/>
      <c r="T89" s="1064" t="n"/>
      <c r="U89" s="1064" t="n"/>
      <c r="V89" s="1064" t="n"/>
      <c r="W89" s="1064" t="n"/>
      <c r="X89" s="1064" t="n"/>
      <c r="Y89" s="1064" t="n"/>
      <c r="Z89" s="1064" t="n"/>
      <c r="AA89" s="1064" t="n"/>
      <c r="AB89" s="1064" t="n"/>
      <c r="AC89" s="1064" t="n"/>
      <c r="AD89" s="1064" t="n"/>
      <c r="AE89" s="1064" t="n"/>
      <c r="AF89" s="1064" t="n"/>
      <c r="AG89" s="1064" t="n"/>
      <c r="AH89" s="1064" t="n"/>
      <c r="AI89" s="1064" t="n"/>
      <c r="AJ89" s="1064" t="n"/>
      <c r="AK89" s="1064" t="n"/>
      <c r="AL89" s="1064" t="n"/>
      <c r="AM89" s="1064" t="n"/>
      <c r="AN89" s="1064" t="n"/>
      <c r="AO89" s="1064" t="n"/>
      <c r="AP89" s="1064" t="n"/>
      <c r="AQ89" s="1064" t="n"/>
      <c r="AR89" s="1064" t="n"/>
      <c r="AS89" s="1064" t="n"/>
      <c r="AT89" s="1064" t="n"/>
      <c r="AU89" s="1064" t="n"/>
      <c r="AV89" s="1064" t="n"/>
      <c r="AW89" s="1064" t="n"/>
      <c r="AX89" s="1064" t="n"/>
      <c r="AY89" s="1064" t="n"/>
      <c r="AZ89" s="1064" t="n"/>
      <c r="BA89" s="1064" t="n"/>
      <c r="BB89" s="1064" t="n"/>
      <c r="BC89" s="1064" t="n"/>
      <c r="BD89" s="1064" t="n"/>
      <c r="BE89" s="1064" t="n"/>
      <c r="BF89" s="1064" t="n"/>
      <c r="BG89" s="1064" t="n"/>
      <c r="BH89" s="1064" t="n"/>
      <c r="BI89" s="1064" t="n"/>
      <c r="BJ89" s="1064" t="n"/>
      <c r="BK89" s="1064" t="n"/>
      <c r="BL89" s="1064" t="n"/>
      <c r="BM89" s="1064" t="n"/>
      <c r="BN89" s="1064" t="n"/>
      <c r="BO89" s="1064" t="n"/>
      <c r="BP89" s="1064" t="n"/>
      <c r="BQ89" s="1064" t="n"/>
      <c r="BR89" s="1064" t="n"/>
      <c r="BS89" s="1064" t="n"/>
      <c r="BT89" s="1064" t="n"/>
    </row>
    <row r="90" ht="13.2" customHeight="1" s="586">
      <c r="A90" s="1051" t="inlineStr">
        <is>
          <t>Desktop HW</t>
        </is>
      </c>
      <c r="B90" s="1052" t="inlineStr">
        <is>
          <t>NL</t>
        </is>
      </c>
      <c r="C90" s="1052" t="inlineStr">
        <is>
          <t>Printer Network big color</t>
        </is>
      </c>
      <c r="D90" s="1053" t="inlineStr">
        <is>
          <t>L</t>
        </is>
      </c>
      <c r="E90" s="1054" t="n">
        <v>230860.768737869</v>
      </c>
      <c r="F90" s="1052" t="n">
        <v>25</v>
      </c>
      <c r="G90" s="1052" t="n">
        <v>36</v>
      </c>
      <c r="H90" s="1054" t="n"/>
      <c r="I90" s="1054" t="n"/>
      <c r="J90" s="1054" t="n">
        <v>64881.1104460906</v>
      </c>
      <c r="K90" s="1054" t="n">
        <v>64881.1104460906</v>
      </c>
      <c r="L90" s="1056" t="n">
        <v>64881.1104460906</v>
      </c>
      <c r="M90" s="1064" t="n"/>
      <c r="N90" s="1064" t="n"/>
      <c r="O90" s="1064" t="n"/>
      <c r="P90" s="1064" t="n"/>
      <c r="Q90" s="1064" t="n"/>
      <c r="R90" s="1064" t="n"/>
      <c r="S90" s="1064" t="n"/>
      <c r="T90" s="1064" t="n"/>
      <c r="U90" s="1064" t="n"/>
      <c r="V90" s="1064" t="n"/>
      <c r="W90" s="1064" t="n"/>
      <c r="X90" s="1064" t="n"/>
      <c r="Y90" s="1064" t="n"/>
      <c r="Z90" s="1064" t="n"/>
      <c r="AA90" s="1064" t="n"/>
      <c r="AB90" s="1064" t="n"/>
      <c r="AC90" s="1064" t="n"/>
      <c r="AD90" s="1064" t="n"/>
      <c r="AE90" s="1064" t="n"/>
      <c r="AF90" s="1064" t="n"/>
      <c r="AG90" s="1064" t="n"/>
      <c r="AH90" s="1064" t="n"/>
      <c r="AI90" s="1064" t="n"/>
      <c r="AJ90" s="1064" t="n"/>
      <c r="AK90" s="1064" t="n"/>
      <c r="AL90" s="1064" t="n"/>
      <c r="AM90" s="1064" t="n"/>
      <c r="AN90" s="1064" t="n"/>
      <c r="AO90" s="1064" t="n"/>
      <c r="AP90" s="1064" t="n"/>
      <c r="AQ90" s="1064" t="n"/>
      <c r="AR90" s="1064" t="n"/>
      <c r="AS90" s="1064" t="n"/>
      <c r="AT90" s="1064" t="n"/>
      <c r="AU90" s="1064" t="n"/>
      <c r="AV90" s="1064" t="n"/>
      <c r="AW90" s="1064" t="n"/>
      <c r="AX90" s="1064" t="n"/>
      <c r="AY90" s="1064" t="n"/>
      <c r="AZ90" s="1064" t="n"/>
      <c r="BA90" s="1064" t="n"/>
      <c r="BB90" s="1064" t="n"/>
      <c r="BC90" s="1064" t="n"/>
      <c r="BD90" s="1064" t="n"/>
      <c r="BE90" s="1064" t="n"/>
      <c r="BF90" s="1064" t="n"/>
      <c r="BG90" s="1064" t="n"/>
      <c r="BH90" s="1064" t="n"/>
      <c r="BI90" s="1064" t="n"/>
      <c r="BJ90" s="1064" t="n"/>
      <c r="BK90" s="1064" t="n"/>
      <c r="BL90" s="1064" t="n"/>
      <c r="BM90" s="1064" t="n"/>
      <c r="BN90" s="1064" t="n"/>
      <c r="BO90" s="1064" t="n"/>
      <c r="BP90" s="1064" t="n"/>
      <c r="BQ90" s="1064" t="n"/>
      <c r="BR90" s="1064" t="n"/>
      <c r="BS90" s="1064" t="n"/>
      <c r="BT90" s="1064" t="n"/>
    </row>
    <row r="91" ht="13.2" customHeight="1" s="586">
      <c r="A91" s="1051" t="inlineStr">
        <is>
          <t>Desktop HW</t>
        </is>
      </c>
      <c r="B91" s="1052" t="inlineStr">
        <is>
          <t>NL</t>
        </is>
      </c>
      <c r="C91" s="1052" t="inlineStr">
        <is>
          <t>Printer Network big color</t>
        </is>
      </c>
      <c r="D91" s="1053" t="inlineStr">
        <is>
          <t>L</t>
        </is>
      </c>
      <c r="E91" s="1054" t="n">
        <v>230860.768737869</v>
      </c>
      <c r="F91" s="1052" t="n">
        <v>37</v>
      </c>
      <c r="G91" s="1052" t="n">
        <v>36</v>
      </c>
      <c r="H91" s="1054" t="n"/>
      <c r="I91" s="1054" t="n"/>
      <c r="J91" s="1054" t="n"/>
      <c r="K91" s="1054" t="n">
        <v>64881.1104460906</v>
      </c>
      <c r="L91" s="1056" t="n">
        <v>64881.1104460906</v>
      </c>
      <c r="M91" s="1064" t="n"/>
      <c r="N91" s="1064" t="n"/>
      <c r="O91" s="1064" t="n"/>
      <c r="P91" s="1064" t="n"/>
      <c r="Q91" s="1064" t="n"/>
      <c r="R91" s="1064" t="n"/>
      <c r="S91" s="1064" t="n"/>
      <c r="T91" s="1064" t="n"/>
      <c r="U91" s="1064" t="n"/>
      <c r="V91" s="1064" t="n"/>
      <c r="W91" s="1064" t="n"/>
      <c r="X91" s="1064" t="n"/>
      <c r="Y91" s="1064" t="n"/>
      <c r="Z91" s="1064" t="n"/>
      <c r="AA91" s="1064" t="n"/>
      <c r="AB91" s="1064" t="n"/>
      <c r="AC91" s="1064" t="n"/>
      <c r="AD91" s="1064" t="n"/>
      <c r="AE91" s="1064" t="n"/>
      <c r="AF91" s="1064" t="n"/>
      <c r="AG91" s="1064" t="n"/>
      <c r="AH91" s="1064" t="n"/>
      <c r="AI91" s="1064" t="n"/>
      <c r="AJ91" s="1064" t="n"/>
      <c r="AK91" s="1064" t="n"/>
      <c r="AL91" s="1064" t="n"/>
      <c r="AM91" s="1064" t="n"/>
      <c r="AN91" s="1064" t="n"/>
      <c r="AO91" s="1064" t="n"/>
      <c r="AP91" s="1064" t="n"/>
      <c r="AQ91" s="1064" t="n"/>
      <c r="AR91" s="1064" t="n"/>
      <c r="AS91" s="1064" t="n"/>
      <c r="AT91" s="1064" t="n"/>
      <c r="AU91" s="1064" t="n"/>
      <c r="AV91" s="1064" t="n"/>
      <c r="AW91" s="1064" t="n"/>
      <c r="AX91" s="1064" t="n"/>
      <c r="AY91" s="1064" t="n"/>
      <c r="AZ91" s="1064" t="n"/>
      <c r="BA91" s="1064" t="n"/>
      <c r="BB91" s="1064" t="n"/>
      <c r="BC91" s="1064" t="n"/>
      <c r="BD91" s="1064" t="n"/>
      <c r="BE91" s="1064" t="n"/>
      <c r="BF91" s="1064" t="n"/>
      <c r="BG91" s="1064" t="n"/>
      <c r="BH91" s="1064" t="n"/>
      <c r="BI91" s="1064" t="n"/>
      <c r="BJ91" s="1064" t="n"/>
      <c r="BK91" s="1064" t="n"/>
      <c r="BL91" s="1064" t="n"/>
      <c r="BM91" s="1064" t="n"/>
      <c r="BN91" s="1064" t="n"/>
      <c r="BO91" s="1064" t="n"/>
      <c r="BP91" s="1064" t="n"/>
      <c r="BQ91" s="1064" t="n"/>
      <c r="BR91" s="1064" t="n"/>
      <c r="BS91" s="1064" t="n"/>
      <c r="BT91" s="1064" t="n"/>
    </row>
    <row r="92" ht="13.2" customHeight="1" s="586">
      <c r="A92" s="1051" t="inlineStr">
        <is>
          <t>Desktop HW</t>
        </is>
      </c>
      <c r="B92" s="1052" t="inlineStr">
        <is>
          <t>NL</t>
        </is>
      </c>
      <c r="C92" s="1052" t="inlineStr">
        <is>
          <t>Printer Network big color</t>
        </is>
      </c>
      <c r="D92" s="1053" t="inlineStr">
        <is>
          <t>L</t>
        </is>
      </c>
      <c r="E92" s="1054" t="n">
        <v>230860.768737869</v>
      </c>
      <c r="F92" s="1052" t="n">
        <v>49</v>
      </c>
      <c r="G92" s="1052" t="n">
        <v>36</v>
      </c>
      <c r="H92" s="1054" t="n"/>
      <c r="I92" s="1054" t="n"/>
      <c r="J92" s="1054" t="n"/>
      <c r="K92" s="1054" t="n"/>
      <c r="L92" s="1056" t="n">
        <v>64881.1104460906</v>
      </c>
      <c r="M92" s="1064" t="n"/>
      <c r="N92" s="1064" t="n"/>
      <c r="O92" s="1064" t="n"/>
      <c r="P92" s="1064" t="n"/>
      <c r="Q92" s="1064" t="n"/>
      <c r="R92" s="1064" t="n"/>
      <c r="S92" s="1064" t="n"/>
      <c r="T92" s="1064" t="n"/>
      <c r="U92" s="1064" t="n"/>
      <c r="V92" s="1064" t="n"/>
      <c r="W92" s="1064" t="n"/>
      <c r="X92" s="1064" t="n"/>
      <c r="Y92" s="1064" t="n"/>
      <c r="Z92" s="1064" t="n"/>
      <c r="AA92" s="1064" t="n"/>
      <c r="AB92" s="1064" t="n"/>
      <c r="AC92" s="1064" t="n"/>
      <c r="AD92" s="1064" t="n"/>
      <c r="AE92" s="1064" t="n"/>
      <c r="AF92" s="1064" t="n"/>
      <c r="AG92" s="1064" t="n"/>
      <c r="AH92" s="1064" t="n"/>
      <c r="AI92" s="1064" t="n"/>
      <c r="AJ92" s="1064" t="n"/>
      <c r="AK92" s="1064" t="n"/>
      <c r="AL92" s="1064" t="n"/>
      <c r="AM92" s="1064" t="n"/>
      <c r="AN92" s="1064" t="n"/>
      <c r="AO92" s="1064" t="n"/>
      <c r="AP92" s="1064" t="n"/>
      <c r="AQ92" s="1064" t="n"/>
      <c r="AR92" s="1064" t="n"/>
      <c r="AS92" s="1064" t="n"/>
      <c r="AT92" s="1064" t="n"/>
      <c r="AU92" s="1064" t="n"/>
      <c r="AV92" s="1064" t="n"/>
      <c r="AW92" s="1064" t="n"/>
      <c r="AX92" s="1064" t="n"/>
      <c r="AY92" s="1064" t="n"/>
      <c r="AZ92" s="1064" t="n"/>
      <c r="BA92" s="1064" t="n"/>
      <c r="BB92" s="1064" t="n"/>
      <c r="BC92" s="1064" t="n"/>
      <c r="BD92" s="1064" t="n"/>
      <c r="BE92" s="1064" t="n"/>
      <c r="BF92" s="1064" t="n"/>
      <c r="BG92" s="1064" t="n"/>
      <c r="BH92" s="1064" t="n"/>
      <c r="BI92" s="1064" t="n"/>
      <c r="BJ92" s="1064" t="n"/>
      <c r="BK92" s="1064" t="n"/>
      <c r="BL92" s="1064" t="n"/>
      <c r="BM92" s="1064" t="n"/>
      <c r="BN92" s="1064" t="n"/>
      <c r="BO92" s="1064" t="n"/>
      <c r="BP92" s="1064" t="n"/>
      <c r="BQ92" s="1064" t="n"/>
      <c r="BR92" s="1064" t="n"/>
      <c r="BS92" s="1064" t="n"/>
      <c r="BT92" s="1064" t="n"/>
    </row>
    <row r="93" ht="13.2" customHeight="1" s="586">
      <c r="A93" s="1051" t="inlineStr">
        <is>
          <t>Desktop HW</t>
        </is>
      </c>
      <c r="B93" s="1052" t="inlineStr">
        <is>
          <t>BE</t>
        </is>
      </c>
      <c r="C93" s="1052" t="inlineStr">
        <is>
          <t>Desktop</t>
        </is>
      </c>
      <c r="D93" s="1053" t="inlineStr">
        <is>
          <t>L</t>
        </is>
      </c>
      <c r="E93" s="1054" t="n">
        <v>2099604</v>
      </c>
      <c r="F93" s="1052" t="n">
        <v>1</v>
      </c>
      <c r="G93" s="1052" t="n">
        <v>36</v>
      </c>
      <c r="H93" s="1054" t="n">
        <v>590072.70816</v>
      </c>
      <c r="I93" s="1054" t="n">
        <v>590072.70816</v>
      </c>
      <c r="J93" s="1054" t="n">
        <v>590072.70816</v>
      </c>
      <c r="K93" s="1054" t="n"/>
      <c r="L93" s="1056" t="n"/>
      <c r="M93" s="1064" t="n"/>
      <c r="N93" s="1064" t="n"/>
      <c r="O93" s="1064" t="n"/>
      <c r="P93" s="1064" t="n"/>
      <c r="Q93" s="1064" t="n"/>
      <c r="R93" s="1064" t="n"/>
      <c r="S93" s="1064" t="n"/>
      <c r="T93" s="1064" t="n"/>
      <c r="U93" s="1064" t="n"/>
      <c r="V93" s="1064" t="n"/>
      <c r="W93" s="1064" t="n"/>
      <c r="X93" s="1064" t="n"/>
      <c r="Y93" s="1064" t="n"/>
      <c r="Z93" s="1064" t="n"/>
      <c r="AA93" s="1064" t="n"/>
      <c r="AB93" s="1064" t="n"/>
      <c r="AC93" s="1064" t="n"/>
      <c r="AD93" s="1064" t="n"/>
      <c r="AE93" s="1064" t="n"/>
      <c r="AF93" s="1064" t="n"/>
      <c r="AG93" s="1064" t="n"/>
      <c r="AH93" s="1064" t="n"/>
      <c r="AI93" s="1064" t="n"/>
      <c r="AJ93" s="1064" t="n"/>
      <c r="AK93" s="1064" t="n"/>
      <c r="AL93" s="1064" t="n"/>
      <c r="AM93" s="1064" t="n"/>
      <c r="AN93" s="1064" t="n"/>
      <c r="AO93" s="1064" t="n"/>
      <c r="AP93" s="1064" t="n"/>
      <c r="AQ93" s="1064" t="n"/>
      <c r="AR93" s="1064" t="n"/>
      <c r="AS93" s="1064" t="n"/>
      <c r="AT93" s="1064" t="n"/>
      <c r="AU93" s="1064" t="n"/>
      <c r="AV93" s="1064" t="n"/>
      <c r="AW93" s="1064" t="n"/>
      <c r="AX93" s="1064" t="n"/>
      <c r="AY93" s="1064" t="n"/>
      <c r="AZ93" s="1064" t="n"/>
      <c r="BA93" s="1064" t="n"/>
      <c r="BB93" s="1064" t="n"/>
      <c r="BC93" s="1064" t="n"/>
      <c r="BD93" s="1064" t="n"/>
      <c r="BE93" s="1064" t="n"/>
      <c r="BF93" s="1064" t="n"/>
      <c r="BG93" s="1064" t="n"/>
      <c r="BH93" s="1064" t="n"/>
      <c r="BI93" s="1064" t="n"/>
      <c r="BJ93" s="1064" t="n"/>
      <c r="BK93" s="1064" t="n"/>
      <c r="BL93" s="1064" t="n"/>
      <c r="BM93" s="1064" t="n"/>
      <c r="BN93" s="1064" t="n"/>
      <c r="BO93" s="1064" t="n"/>
      <c r="BP93" s="1064" t="n"/>
      <c r="BQ93" s="1064" t="n"/>
      <c r="BR93" s="1064" t="n"/>
      <c r="BS93" s="1064" t="n"/>
      <c r="BT93" s="1064" t="n"/>
    </row>
    <row r="94" ht="13.2" customHeight="1" s="586">
      <c r="A94" s="1051" t="inlineStr">
        <is>
          <t>Desktop HW</t>
        </is>
      </c>
      <c r="B94" s="1052" t="inlineStr">
        <is>
          <t>BE</t>
        </is>
      </c>
      <c r="C94" s="1052" t="inlineStr">
        <is>
          <t>Desktop</t>
        </is>
      </c>
      <c r="D94" s="1053" t="inlineStr">
        <is>
          <t>L</t>
        </is>
      </c>
      <c r="E94" s="1054" t="n">
        <v>778744</v>
      </c>
      <c r="F94" s="1052" t="n">
        <v>13</v>
      </c>
      <c r="G94" s="1052" t="n">
        <v>36</v>
      </c>
      <c r="H94" s="1054" t="n"/>
      <c r="I94" s="1054" t="n">
        <v>218858.21376</v>
      </c>
      <c r="J94" s="1054" t="n">
        <v>218858.21376</v>
      </c>
      <c r="K94" s="1054" t="n">
        <v>218858.21376</v>
      </c>
      <c r="L94" s="1056" t="n"/>
      <c r="M94" s="1064" t="n"/>
      <c r="N94" s="1064" t="n"/>
      <c r="O94" s="1064" t="n"/>
      <c r="P94" s="1064" t="n"/>
      <c r="Q94" s="1064" t="n"/>
      <c r="R94" s="1064" t="n"/>
      <c r="S94" s="1064" t="n"/>
      <c r="T94" s="1064" t="n"/>
      <c r="U94" s="1064" t="n"/>
      <c r="V94" s="1064" t="n"/>
      <c r="W94" s="1064" t="n"/>
      <c r="X94" s="1064" t="n"/>
      <c r="Y94" s="1064" t="n"/>
      <c r="Z94" s="1064" t="n"/>
      <c r="AA94" s="1064" t="n"/>
      <c r="AB94" s="1064" t="n"/>
      <c r="AC94" s="1064" t="n"/>
      <c r="AD94" s="1064" t="n"/>
      <c r="AE94" s="1064" t="n"/>
      <c r="AF94" s="1064" t="n"/>
      <c r="AG94" s="1064" t="n"/>
      <c r="AH94" s="1064" t="n"/>
      <c r="AI94" s="1064" t="n"/>
      <c r="AJ94" s="1064" t="n"/>
      <c r="AK94" s="1064" t="n"/>
      <c r="AL94" s="1064" t="n"/>
      <c r="AM94" s="1064" t="n"/>
      <c r="AN94" s="1064" t="n"/>
      <c r="AO94" s="1064" t="n"/>
      <c r="AP94" s="1064" t="n"/>
      <c r="AQ94" s="1064" t="n"/>
      <c r="AR94" s="1064" t="n"/>
      <c r="AS94" s="1064" t="n"/>
      <c r="AT94" s="1064" t="n"/>
      <c r="AU94" s="1064" t="n"/>
      <c r="AV94" s="1064" t="n"/>
      <c r="AW94" s="1064" t="n"/>
      <c r="AX94" s="1064" t="n"/>
      <c r="AY94" s="1064" t="n"/>
      <c r="AZ94" s="1064" t="n"/>
      <c r="BA94" s="1064" t="n"/>
      <c r="BB94" s="1064" t="n"/>
      <c r="BC94" s="1064" t="n"/>
      <c r="BD94" s="1064" t="n"/>
      <c r="BE94" s="1064" t="n"/>
      <c r="BF94" s="1064" t="n"/>
      <c r="BG94" s="1064" t="n"/>
      <c r="BH94" s="1064" t="n"/>
      <c r="BI94" s="1064" t="n"/>
      <c r="BJ94" s="1064" t="n"/>
      <c r="BK94" s="1064" t="n"/>
      <c r="BL94" s="1064" t="n"/>
      <c r="BM94" s="1064" t="n"/>
      <c r="BN94" s="1064" t="n"/>
      <c r="BO94" s="1064" t="n"/>
      <c r="BP94" s="1064" t="n"/>
      <c r="BQ94" s="1064" t="n"/>
      <c r="BR94" s="1064" t="n"/>
      <c r="BS94" s="1064" t="n"/>
      <c r="BT94" s="1064" t="n"/>
    </row>
    <row r="95" ht="13.2" customHeight="1" s="586">
      <c r="A95" s="1051" t="inlineStr">
        <is>
          <t>Desktop HW</t>
        </is>
      </c>
      <c r="B95" s="1052" t="inlineStr">
        <is>
          <t>BE</t>
        </is>
      </c>
      <c r="C95" s="1052" t="inlineStr">
        <is>
          <t>Desktop</t>
        </is>
      </c>
      <c r="D95" s="1053" t="inlineStr">
        <is>
          <t>L</t>
        </is>
      </c>
      <c r="E95" s="1054" t="n">
        <v>2534674</v>
      </c>
      <c r="F95" s="1052" t="n">
        <v>25</v>
      </c>
      <c r="G95" s="1052" t="n">
        <v>36</v>
      </c>
      <c r="H95" s="1054" t="n"/>
      <c r="I95" s="1054" t="n"/>
      <c r="J95" s="1054" t="n">
        <v>712344.78096</v>
      </c>
      <c r="K95" s="1054" t="n">
        <v>712344.78096</v>
      </c>
      <c r="L95" s="1056" t="n">
        <v>712344.78096</v>
      </c>
      <c r="M95" s="1064" t="n"/>
      <c r="N95" s="1064" t="n"/>
      <c r="O95" s="1064" t="n"/>
      <c r="P95" s="1064" t="n"/>
      <c r="Q95" s="1064" t="n"/>
      <c r="R95" s="1064" t="n"/>
      <c r="S95" s="1064" t="n"/>
      <c r="T95" s="1064" t="n"/>
      <c r="U95" s="1064" t="n"/>
      <c r="V95" s="1064" t="n"/>
      <c r="W95" s="1064" t="n"/>
      <c r="X95" s="1064" t="n"/>
      <c r="Y95" s="1064" t="n"/>
      <c r="Z95" s="1064" t="n"/>
      <c r="AA95" s="1064" t="n"/>
      <c r="AB95" s="1064" t="n"/>
      <c r="AC95" s="1064" t="n"/>
      <c r="AD95" s="1064" t="n"/>
      <c r="AE95" s="1064" t="n"/>
      <c r="AF95" s="1064" t="n"/>
      <c r="AG95" s="1064" t="n"/>
      <c r="AH95" s="1064" t="n"/>
      <c r="AI95" s="1064" t="n"/>
      <c r="AJ95" s="1064" t="n"/>
      <c r="AK95" s="1064" t="n"/>
      <c r="AL95" s="1064" t="n"/>
      <c r="AM95" s="1064" t="n"/>
      <c r="AN95" s="1064" t="n"/>
      <c r="AO95" s="1064" t="n"/>
      <c r="AP95" s="1064" t="n"/>
      <c r="AQ95" s="1064" t="n"/>
      <c r="AR95" s="1064" t="n"/>
      <c r="AS95" s="1064" t="n"/>
      <c r="AT95" s="1064" t="n"/>
      <c r="AU95" s="1064" t="n"/>
      <c r="AV95" s="1064" t="n"/>
      <c r="AW95" s="1064" t="n"/>
      <c r="AX95" s="1064" t="n"/>
      <c r="AY95" s="1064" t="n"/>
      <c r="AZ95" s="1064" t="n"/>
      <c r="BA95" s="1064" t="n"/>
      <c r="BB95" s="1064" t="n"/>
      <c r="BC95" s="1064" t="n"/>
      <c r="BD95" s="1064" t="n"/>
      <c r="BE95" s="1064" t="n"/>
      <c r="BF95" s="1064" t="n"/>
      <c r="BG95" s="1064" t="n"/>
      <c r="BH95" s="1064" t="n"/>
      <c r="BI95" s="1064" t="n"/>
      <c r="BJ95" s="1064" t="n"/>
      <c r="BK95" s="1064" t="n"/>
      <c r="BL95" s="1064" t="n"/>
      <c r="BM95" s="1064" t="n"/>
      <c r="BN95" s="1064" t="n"/>
      <c r="BO95" s="1064" t="n"/>
      <c r="BP95" s="1064" t="n"/>
      <c r="BQ95" s="1064" t="n"/>
      <c r="BR95" s="1064" t="n"/>
      <c r="BS95" s="1064" t="n"/>
      <c r="BT95" s="1064" t="n"/>
    </row>
    <row r="96" ht="13.2" customHeight="1" s="586">
      <c r="A96" s="1051" t="inlineStr">
        <is>
          <t>Desktop HW</t>
        </is>
      </c>
      <c r="B96" s="1052" t="inlineStr">
        <is>
          <t>BE</t>
        </is>
      </c>
      <c r="C96" s="1052" t="inlineStr">
        <is>
          <t>Desktop</t>
        </is>
      </c>
      <c r="D96" s="1053" t="inlineStr">
        <is>
          <t>L</t>
        </is>
      </c>
      <c r="E96" s="1054" t="n">
        <v>2099604</v>
      </c>
      <c r="F96" s="1052" t="n">
        <v>37</v>
      </c>
      <c r="G96" s="1052" t="n">
        <v>36</v>
      </c>
      <c r="H96" s="1054" t="n"/>
      <c r="I96" s="1054" t="n"/>
      <c r="J96" s="1054" t="n"/>
      <c r="K96" s="1054" t="n">
        <v>590072.70816</v>
      </c>
      <c r="L96" s="1056" t="n">
        <v>590072.70816</v>
      </c>
      <c r="M96" s="1064" t="n"/>
      <c r="N96" s="1064" t="n"/>
      <c r="O96" s="1064" t="n"/>
      <c r="P96" s="1064" t="n"/>
      <c r="Q96" s="1064" t="n"/>
      <c r="R96" s="1064" t="n"/>
      <c r="S96" s="1064" t="n"/>
      <c r="T96" s="1064" t="n"/>
      <c r="U96" s="1064" t="n"/>
      <c r="V96" s="1064" t="n"/>
      <c r="W96" s="1064" t="n"/>
      <c r="X96" s="1064" t="n"/>
      <c r="Y96" s="1064" t="n"/>
      <c r="Z96" s="1064" t="n"/>
      <c r="AA96" s="1064" t="n"/>
      <c r="AB96" s="1064" t="n"/>
      <c r="AC96" s="1064" t="n"/>
      <c r="AD96" s="1064" t="n"/>
      <c r="AE96" s="1064" t="n"/>
      <c r="AF96" s="1064" t="n"/>
      <c r="AG96" s="1064" t="n"/>
      <c r="AH96" s="1064" t="n"/>
      <c r="AI96" s="1064" t="n"/>
      <c r="AJ96" s="1064" t="n"/>
      <c r="AK96" s="1064" t="n"/>
      <c r="AL96" s="1064" t="n"/>
      <c r="AM96" s="1064" t="n"/>
      <c r="AN96" s="1064" t="n"/>
      <c r="AO96" s="1064" t="n"/>
      <c r="AP96" s="1064" t="n"/>
      <c r="AQ96" s="1064" t="n"/>
      <c r="AR96" s="1064" t="n"/>
      <c r="AS96" s="1064" t="n"/>
      <c r="AT96" s="1064" t="n"/>
      <c r="AU96" s="1064" t="n"/>
      <c r="AV96" s="1064" t="n"/>
      <c r="AW96" s="1064" t="n"/>
      <c r="AX96" s="1064" t="n"/>
      <c r="AY96" s="1064" t="n"/>
      <c r="AZ96" s="1064" t="n"/>
      <c r="BA96" s="1064" t="n"/>
      <c r="BB96" s="1064" t="n"/>
      <c r="BC96" s="1064" t="n"/>
      <c r="BD96" s="1064" t="n"/>
      <c r="BE96" s="1064" t="n"/>
      <c r="BF96" s="1064" t="n"/>
      <c r="BG96" s="1064" t="n"/>
      <c r="BH96" s="1064" t="n"/>
      <c r="BI96" s="1064" t="n"/>
      <c r="BJ96" s="1064" t="n"/>
      <c r="BK96" s="1064" t="n"/>
      <c r="BL96" s="1064" t="n"/>
      <c r="BM96" s="1064" t="n"/>
      <c r="BN96" s="1064" t="n"/>
      <c r="BO96" s="1064" t="n"/>
      <c r="BP96" s="1064" t="n"/>
      <c r="BQ96" s="1064" t="n"/>
      <c r="BR96" s="1064" t="n"/>
      <c r="BS96" s="1064" t="n"/>
      <c r="BT96" s="1064" t="n"/>
    </row>
    <row r="97" ht="13.2" customHeight="1" s="586">
      <c r="A97" s="1051" t="inlineStr">
        <is>
          <t>Desktop HW</t>
        </is>
      </c>
      <c r="B97" s="1052" t="inlineStr">
        <is>
          <t>BE</t>
        </is>
      </c>
      <c r="C97" s="1052" t="inlineStr">
        <is>
          <t>Desktop</t>
        </is>
      </c>
      <c r="D97" s="1053" t="inlineStr">
        <is>
          <t>L</t>
        </is>
      </c>
      <c r="E97" s="1054" t="n">
        <v>778744</v>
      </c>
      <c r="F97" s="1052" t="n">
        <v>49</v>
      </c>
      <c r="G97" s="1052" t="n">
        <v>36</v>
      </c>
      <c r="H97" s="1054" t="n"/>
      <c r="I97" s="1054" t="n"/>
      <c r="J97" s="1054" t="n"/>
      <c r="K97" s="1054" t="n"/>
      <c r="L97" s="1056" t="n">
        <v>218858.21376</v>
      </c>
      <c r="M97" s="1064" t="n"/>
      <c r="N97" s="1064" t="n"/>
      <c r="O97" s="1064" t="n"/>
      <c r="P97" s="1064" t="n"/>
      <c r="Q97" s="1064" t="n"/>
      <c r="R97" s="1064" t="n"/>
      <c r="S97" s="1064" t="n"/>
      <c r="T97" s="1064" t="n"/>
      <c r="U97" s="1064" t="n"/>
      <c r="V97" s="1064" t="n"/>
      <c r="W97" s="1064" t="n"/>
      <c r="X97" s="1064" t="n"/>
      <c r="Y97" s="1064" t="n"/>
      <c r="Z97" s="1064" t="n"/>
      <c r="AA97" s="1064" t="n"/>
      <c r="AB97" s="1064" t="n"/>
      <c r="AC97" s="1064" t="n"/>
      <c r="AD97" s="1064" t="n"/>
      <c r="AE97" s="1064" t="n"/>
      <c r="AF97" s="1064" t="n"/>
      <c r="AG97" s="1064" t="n"/>
      <c r="AH97" s="1064" t="n"/>
      <c r="AI97" s="1064" t="n"/>
      <c r="AJ97" s="1064" t="n"/>
      <c r="AK97" s="1064" t="n"/>
      <c r="AL97" s="1064" t="n"/>
      <c r="AM97" s="1064" t="n"/>
      <c r="AN97" s="1064" t="n"/>
      <c r="AO97" s="1064" t="n"/>
      <c r="AP97" s="1064" t="n"/>
      <c r="AQ97" s="1064" t="n"/>
      <c r="AR97" s="1064" t="n"/>
      <c r="AS97" s="1064" t="n"/>
      <c r="AT97" s="1064" t="n"/>
      <c r="AU97" s="1064" t="n"/>
      <c r="AV97" s="1064" t="n"/>
      <c r="AW97" s="1064" t="n"/>
      <c r="AX97" s="1064" t="n"/>
      <c r="AY97" s="1064" t="n"/>
      <c r="AZ97" s="1064" t="n"/>
      <c r="BA97" s="1064" t="n"/>
      <c r="BB97" s="1064" t="n"/>
      <c r="BC97" s="1064" t="n"/>
      <c r="BD97" s="1064" t="n"/>
      <c r="BE97" s="1064" t="n"/>
      <c r="BF97" s="1064" t="n"/>
      <c r="BG97" s="1064" t="n"/>
      <c r="BH97" s="1064" t="n"/>
      <c r="BI97" s="1064" t="n"/>
      <c r="BJ97" s="1064" t="n"/>
      <c r="BK97" s="1064" t="n"/>
      <c r="BL97" s="1064" t="n"/>
      <c r="BM97" s="1064" t="n"/>
      <c r="BN97" s="1064" t="n"/>
      <c r="BO97" s="1064" t="n"/>
      <c r="BP97" s="1064" t="n"/>
      <c r="BQ97" s="1064" t="n"/>
      <c r="BR97" s="1064" t="n"/>
      <c r="BS97" s="1064" t="n"/>
      <c r="BT97" s="1064" t="n"/>
    </row>
    <row r="98" ht="13.2" customHeight="1" s="586">
      <c r="A98" s="1051" t="inlineStr">
        <is>
          <t>Desktop HW</t>
        </is>
      </c>
      <c r="B98" s="1052" t="inlineStr">
        <is>
          <t>BE</t>
        </is>
      </c>
      <c r="C98" s="1052" t="inlineStr">
        <is>
          <t>Laptop</t>
        </is>
      </c>
      <c r="D98" s="1053" t="inlineStr">
        <is>
          <t>L</t>
        </is>
      </c>
      <c r="E98" s="1054" t="n">
        <v>0</v>
      </c>
      <c r="F98" s="1052" t="n">
        <v>1</v>
      </c>
      <c r="G98" s="1052" t="n">
        <v>36</v>
      </c>
      <c r="H98" s="1054" t="n">
        <v>0</v>
      </c>
      <c r="I98" s="1054" t="n">
        <v>0</v>
      </c>
      <c r="J98" s="1054" t="n">
        <v>0</v>
      </c>
      <c r="K98" s="1054" t="n"/>
      <c r="L98" s="1056" t="n"/>
      <c r="M98" s="1064" t="n"/>
      <c r="N98" s="1064" t="n"/>
      <c r="O98" s="1064" t="n"/>
      <c r="P98" s="1064" t="n"/>
      <c r="Q98" s="1064" t="n"/>
      <c r="R98" s="1064" t="n"/>
      <c r="S98" s="1064" t="n"/>
      <c r="T98" s="1064" t="n"/>
      <c r="U98" s="1064" t="n"/>
      <c r="V98" s="1064" t="n"/>
      <c r="W98" s="1064" t="n"/>
      <c r="X98" s="1064" t="n"/>
      <c r="Y98" s="1064" t="n"/>
      <c r="Z98" s="1064" t="n"/>
      <c r="AA98" s="1064" t="n"/>
      <c r="AB98" s="1064" t="n"/>
      <c r="AC98" s="1064" t="n"/>
      <c r="AD98" s="1064" t="n"/>
      <c r="AE98" s="1064" t="n"/>
      <c r="AF98" s="1064" t="n"/>
      <c r="AG98" s="1064" t="n"/>
      <c r="AH98" s="1064" t="n"/>
      <c r="AI98" s="1064" t="n"/>
      <c r="AJ98" s="1064" t="n"/>
      <c r="AK98" s="1064" t="n"/>
      <c r="AL98" s="1064" t="n"/>
      <c r="AM98" s="1064" t="n"/>
      <c r="AN98" s="1064" t="n"/>
      <c r="AO98" s="1064" t="n"/>
      <c r="AP98" s="1064" t="n"/>
      <c r="AQ98" s="1064" t="n"/>
      <c r="AR98" s="1064" t="n"/>
      <c r="AS98" s="1064" t="n"/>
      <c r="AT98" s="1064" t="n"/>
      <c r="AU98" s="1064" t="n"/>
      <c r="AV98" s="1064" t="n"/>
      <c r="AW98" s="1064" t="n"/>
      <c r="AX98" s="1064" t="n"/>
      <c r="AY98" s="1064" t="n"/>
      <c r="AZ98" s="1064" t="n"/>
      <c r="BA98" s="1064" t="n"/>
      <c r="BB98" s="1064" t="n"/>
      <c r="BC98" s="1064" t="n"/>
      <c r="BD98" s="1064" t="n"/>
      <c r="BE98" s="1064" t="n"/>
      <c r="BF98" s="1064" t="n"/>
      <c r="BG98" s="1064" t="n"/>
      <c r="BH98" s="1064" t="n"/>
      <c r="BI98" s="1064" t="n"/>
      <c r="BJ98" s="1064" t="n"/>
      <c r="BK98" s="1064" t="n"/>
      <c r="BL98" s="1064" t="n"/>
      <c r="BM98" s="1064" t="n"/>
      <c r="BN98" s="1064" t="n"/>
      <c r="BO98" s="1064" t="n"/>
      <c r="BP98" s="1064" t="n"/>
      <c r="BQ98" s="1064" t="n"/>
      <c r="BR98" s="1064" t="n"/>
      <c r="BS98" s="1064" t="n"/>
      <c r="BT98" s="1064" t="n"/>
    </row>
    <row r="99" ht="13.2" customHeight="1" s="586">
      <c r="A99" s="1051" t="inlineStr">
        <is>
          <t>Desktop HW</t>
        </is>
      </c>
      <c r="B99" s="1052" t="inlineStr">
        <is>
          <t>BE</t>
        </is>
      </c>
      <c r="C99" s="1052" t="inlineStr">
        <is>
          <t>Laptop</t>
        </is>
      </c>
      <c r="D99" s="1053" t="inlineStr">
        <is>
          <t>L</t>
        </is>
      </c>
      <c r="E99" s="1054" t="n">
        <v>137145</v>
      </c>
      <c r="F99" s="1052" t="n">
        <v>13</v>
      </c>
      <c r="G99" s="1052" t="n">
        <v>36</v>
      </c>
      <c r="H99" s="1054" t="n"/>
      <c r="I99" s="1054" t="n">
        <v>38543.2308</v>
      </c>
      <c r="J99" s="1054" t="n">
        <v>38543.2308</v>
      </c>
      <c r="K99" s="1054" t="n">
        <v>38543.2308</v>
      </c>
      <c r="L99" s="1056" t="n"/>
      <c r="M99" s="1064" t="n"/>
      <c r="N99" s="1064" t="n"/>
      <c r="O99" s="1064" t="n"/>
      <c r="P99" s="1064" t="n"/>
      <c r="Q99" s="1064" t="n"/>
      <c r="R99" s="1064" t="n"/>
      <c r="S99" s="1064" t="n"/>
      <c r="T99" s="1064" t="n"/>
      <c r="U99" s="1064" t="n"/>
      <c r="V99" s="1064" t="n"/>
      <c r="W99" s="1064" t="n"/>
      <c r="X99" s="1064" t="n"/>
      <c r="Y99" s="1064" t="n"/>
      <c r="Z99" s="1064" t="n"/>
      <c r="AA99" s="1064" t="n"/>
      <c r="AB99" s="1064" t="n"/>
      <c r="AC99" s="1064" t="n"/>
      <c r="AD99" s="1064" t="n"/>
      <c r="AE99" s="1064" t="n"/>
      <c r="AF99" s="1064" t="n"/>
      <c r="AG99" s="1064" t="n"/>
      <c r="AH99" s="1064" t="n"/>
      <c r="AI99" s="1064" t="n"/>
      <c r="AJ99" s="1064" t="n"/>
      <c r="AK99" s="1064" t="n"/>
      <c r="AL99" s="1064" t="n"/>
      <c r="AM99" s="1064" t="n"/>
      <c r="AN99" s="1064" t="n"/>
      <c r="AO99" s="1064" t="n"/>
      <c r="AP99" s="1064" t="n"/>
      <c r="AQ99" s="1064" t="n"/>
      <c r="AR99" s="1064" t="n"/>
      <c r="AS99" s="1064" t="n"/>
      <c r="AT99" s="1064" t="n"/>
      <c r="AU99" s="1064" t="n"/>
      <c r="AV99" s="1064" t="n"/>
      <c r="AW99" s="1064" t="n"/>
      <c r="AX99" s="1064" t="n"/>
      <c r="AY99" s="1064" t="n"/>
      <c r="AZ99" s="1064" t="n"/>
      <c r="BA99" s="1064" t="n"/>
      <c r="BB99" s="1064" t="n"/>
      <c r="BC99" s="1064" t="n"/>
      <c r="BD99" s="1064" t="n"/>
      <c r="BE99" s="1064" t="n"/>
      <c r="BF99" s="1064" t="n"/>
      <c r="BG99" s="1064" t="n"/>
      <c r="BH99" s="1064" t="n"/>
      <c r="BI99" s="1064" t="n"/>
      <c r="BJ99" s="1064" t="n"/>
      <c r="BK99" s="1064" t="n"/>
      <c r="BL99" s="1064" t="n"/>
      <c r="BM99" s="1064" t="n"/>
      <c r="BN99" s="1064" t="n"/>
      <c r="BO99" s="1064" t="n"/>
      <c r="BP99" s="1064" t="n"/>
      <c r="BQ99" s="1064" t="n"/>
      <c r="BR99" s="1064" t="n"/>
      <c r="BS99" s="1064" t="n"/>
      <c r="BT99" s="1064" t="n"/>
    </row>
    <row r="100" ht="13.2" customHeight="1" s="586">
      <c r="A100" s="1051" t="inlineStr">
        <is>
          <t>Desktop HW</t>
        </is>
      </c>
      <c r="B100" s="1052" t="inlineStr">
        <is>
          <t>BE</t>
        </is>
      </c>
      <c r="C100" s="1052" t="inlineStr">
        <is>
          <t>Laptop</t>
        </is>
      </c>
      <c r="D100" s="1053" t="inlineStr">
        <is>
          <t>L</t>
        </is>
      </c>
      <c r="E100" s="1054" t="n">
        <v>1082442</v>
      </c>
      <c r="F100" s="1052" t="n">
        <v>25</v>
      </c>
      <c r="G100" s="1052" t="n">
        <v>36</v>
      </c>
      <c r="H100" s="1054" t="n"/>
      <c r="I100" s="1054" t="n"/>
      <c r="J100" s="1054" t="n">
        <v>304209.49968</v>
      </c>
      <c r="K100" s="1054" t="n">
        <v>304209.49968</v>
      </c>
      <c r="L100" s="1056" t="n">
        <v>304209.49968</v>
      </c>
      <c r="M100" s="1064" t="n"/>
      <c r="N100" s="1064" t="n"/>
      <c r="O100" s="1064" t="n"/>
      <c r="P100" s="1064" t="n"/>
      <c r="Q100" s="1064" t="n"/>
      <c r="R100" s="1064" t="n"/>
      <c r="S100" s="1064" t="n"/>
      <c r="T100" s="1064" t="n"/>
      <c r="U100" s="1064" t="n"/>
      <c r="V100" s="1064" t="n"/>
      <c r="W100" s="1064" t="n"/>
      <c r="X100" s="1064" t="n"/>
      <c r="Y100" s="1064" t="n"/>
      <c r="Z100" s="1064" t="n"/>
      <c r="AA100" s="1064" t="n"/>
      <c r="AB100" s="1064" t="n"/>
      <c r="AC100" s="1064" t="n"/>
      <c r="AD100" s="1064" t="n"/>
      <c r="AE100" s="1064" t="n"/>
      <c r="AF100" s="1064" t="n"/>
      <c r="AG100" s="1064" t="n"/>
      <c r="AH100" s="1064" t="n"/>
      <c r="AI100" s="1064" t="n"/>
      <c r="AJ100" s="1064" t="n"/>
      <c r="AK100" s="1064" t="n"/>
      <c r="AL100" s="1064" t="n"/>
      <c r="AM100" s="1064" t="n"/>
      <c r="AN100" s="1064" t="n"/>
      <c r="AO100" s="1064" t="n"/>
      <c r="AP100" s="1064" t="n"/>
      <c r="AQ100" s="1064" t="n"/>
      <c r="AR100" s="1064" t="n"/>
      <c r="AS100" s="1064" t="n"/>
      <c r="AT100" s="1064" t="n"/>
      <c r="AU100" s="1064" t="n"/>
      <c r="AV100" s="1064" t="n"/>
      <c r="AW100" s="1064" t="n"/>
      <c r="AX100" s="1064" t="n"/>
      <c r="AY100" s="1064" t="n"/>
      <c r="AZ100" s="1064" t="n"/>
      <c r="BA100" s="1064" t="n"/>
      <c r="BB100" s="1064" t="n"/>
      <c r="BC100" s="1064" t="n"/>
      <c r="BD100" s="1064" t="n"/>
      <c r="BE100" s="1064" t="n"/>
      <c r="BF100" s="1064" t="n"/>
      <c r="BG100" s="1064" t="n"/>
      <c r="BH100" s="1064" t="n"/>
      <c r="BI100" s="1064" t="n"/>
      <c r="BJ100" s="1064" t="n"/>
      <c r="BK100" s="1064" t="n"/>
      <c r="BL100" s="1064" t="n"/>
      <c r="BM100" s="1064" t="n"/>
      <c r="BN100" s="1064" t="n"/>
      <c r="BO100" s="1064" t="n"/>
      <c r="BP100" s="1064" t="n"/>
      <c r="BQ100" s="1064" t="n"/>
      <c r="BR100" s="1064" t="n"/>
      <c r="BS100" s="1064" t="n"/>
      <c r="BT100" s="1064" t="n"/>
    </row>
    <row r="101" ht="13.2" customHeight="1" s="586">
      <c r="A101" s="1051" t="inlineStr">
        <is>
          <t>Desktop HW</t>
        </is>
      </c>
      <c r="B101" s="1052" t="inlineStr">
        <is>
          <t>BE</t>
        </is>
      </c>
      <c r="C101" s="1052" t="inlineStr">
        <is>
          <t>Laptop</t>
        </is>
      </c>
      <c r="D101" s="1053" t="inlineStr">
        <is>
          <t>L</t>
        </is>
      </c>
      <c r="E101" s="1054" t="n">
        <v>0</v>
      </c>
      <c r="F101" s="1052" t="n">
        <v>37</v>
      </c>
      <c r="G101" s="1052" t="n">
        <v>36</v>
      </c>
      <c r="H101" s="1054" t="n"/>
      <c r="I101" s="1054" t="n"/>
      <c r="J101" s="1054" t="n"/>
      <c r="K101" s="1054" t="n">
        <v>0</v>
      </c>
      <c r="L101" s="1056" t="n">
        <v>0</v>
      </c>
      <c r="M101" s="1064" t="n"/>
      <c r="N101" s="1064" t="n"/>
      <c r="O101" s="1064" t="n"/>
      <c r="P101" s="1064" t="n"/>
      <c r="Q101" s="1064" t="n"/>
      <c r="R101" s="1064" t="n"/>
      <c r="S101" s="1064" t="n"/>
      <c r="T101" s="1064" t="n"/>
      <c r="U101" s="1064" t="n"/>
      <c r="V101" s="1064" t="n"/>
      <c r="W101" s="1064" t="n"/>
      <c r="X101" s="1064" t="n"/>
      <c r="Y101" s="1064" t="n"/>
      <c r="Z101" s="1064" t="n"/>
      <c r="AA101" s="1064" t="n"/>
      <c r="AB101" s="1064" t="n"/>
      <c r="AC101" s="1064" t="n"/>
      <c r="AD101" s="1064" t="n"/>
      <c r="AE101" s="1064" t="n"/>
      <c r="AF101" s="1064" t="n"/>
      <c r="AG101" s="1064" t="n"/>
      <c r="AH101" s="1064" t="n"/>
      <c r="AI101" s="1064" t="n"/>
      <c r="AJ101" s="1064" t="n"/>
      <c r="AK101" s="1064" t="n"/>
      <c r="AL101" s="1064" t="n"/>
      <c r="AM101" s="1064" t="n"/>
      <c r="AN101" s="1064" t="n"/>
      <c r="AO101" s="1064" t="n"/>
      <c r="AP101" s="1064" t="n"/>
      <c r="AQ101" s="1064" t="n"/>
      <c r="AR101" s="1064" t="n"/>
      <c r="AS101" s="1064" t="n"/>
      <c r="AT101" s="1064" t="n"/>
      <c r="AU101" s="1064" t="n"/>
      <c r="AV101" s="1064" t="n"/>
      <c r="AW101" s="1064" t="n"/>
      <c r="AX101" s="1064" t="n"/>
      <c r="AY101" s="1064" t="n"/>
      <c r="AZ101" s="1064" t="n"/>
      <c r="BA101" s="1064" t="n"/>
      <c r="BB101" s="1064" t="n"/>
      <c r="BC101" s="1064" t="n"/>
      <c r="BD101" s="1064" t="n"/>
      <c r="BE101" s="1064" t="n"/>
      <c r="BF101" s="1064" t="n"/>
      <c r="BG101" s="1064" t="n"/>
      <c r="BH101" s="1064" t="n"/>
      <c r="BI101" s="1064" t="n"/>
      <c r="BJ101" s="1064" t="n"/>
      <c r="BK101" s="1064" t="n"/>
      <c r="BL101" s="1064" t="n"/>
      <c r="BM101" s="1064" t="n"/>
      <c r="BN101" s="1064" t="n"/>
      <c r="BO101" s="1064" t="n"/>
      <c r="BP101" s="1064" t="n"/>
      <c r="BQ101" s="1064" t="n"/>
      <c r="BR101" s="1064" t="n"/>
      <c r="BS101" s="1064" t="n"/>
      <c r="BT101" s="1064" t="n"/>
    </row>
    <row r="102" ht="13.2" customHeight="1" s="586">
      <c r="A102" s="1051" t="inlineStr">
        <is>
          <t>Desktop HW</t>
        </is>
      </c>
      <c r="B102" s="1052" t="inlineStr">
        <is>
          <t>BE</t>
        </is>
      </c>
      <c r="C102" s="1052" t="inlineStr">
        <is>
          <t>Laptop</t>
        </is>
      </c>
      <c r="D102" s="1053" t="inlineStr">
        <is>
          <t>L</t>
        </is>
      </c>
      <c r="E102" s="1054" t="n">
        <v>137145</v>
      </c>
      <c r="F102" s="1052" t="n">
        <v>49</v>
      </c>
      <c r="G102" s="1052" t="n">
        <v>36</v>
      </c>
      <c r="H102" s="1054" t="n"/>
      <c r="I102" s="1054" t="n"/>
      <c r="J102" s="1054" t="n"/>
      <c r="K102" s="1054" t="n"/>
      <c r="L102" s="1056" t="n">
        <v>38543.2308</v>
      </c>
      <c r="M102" s="1064" t="n"/>
      <c r="N102" s="1064" t="n"/>
      <c r="O102" s="1064" t="n"/>
      <c r="P102" s="1064" t="n"/>
      <c r="Q102" s="1064" t="n"/>
      <c r="R102" s="1064" t="n"/>
      <c r="S102" s="1064" t="n"/>
      <c r="T102" s="1064" t="n"/>
      <c r="U102" s="1064" t="n"/>
      <c r="V102" s="1064" t="n"/>
      <c r="W102" s="1064" t="n"/>
      <c r="X102" s="1064" t="n"/>
      <c r="Y102" s="1064" t="n"/>
      <c r="Z102" s="1064" t="n"/>
      <c r="AA102" s="1064" t="n"/>
      <c r="AB102" s="1064" t="n"/>
      <c r="AC102" s="1064" t="n"/>
      <c r="AD102" s="1064" t="n"/>
      <c r="AE102" s="1064" t="n"/>
      <c r="AF102" s="1064" t="n"/>
      <c r="AG102" s="1064" t="n"/>
      <c r="AH102" s="1064" t="n"/>
      <c r="AI102" s="1064" t="n"/>
      <c r="AJ102" s="1064" t="n"/>
      <c r="AK102" s="1064" t="n"/>
      <c r="AL102" s="1064" t="n"/>
      <c r="AM102" s="1064" t="n"/>
      <c r="AN102" s="1064" t="n"/>
      <c r="AO102" s="1064" t="n"/>
      <c r="AP102" s="1064" t="n"/>
      <c r="AQ102" s="1064" t="n"/>
      <c r="AR102" s="1064" t="n"/>
      <c r="AS102" s="1064" t="n"/>
      <c r="AT102" s="1064" t="n"/>
      <c r="AU102" s="1064" t="n"/>
      <c r="AV102" s="1064" t="n"/>
      <c r="AW102" s="1064" t="n"/>
      <c r="AX102" s="1064" t="n"/>
      <c r="AY102" s="1064" t="n"/>
      <c r="AZ102" s="1064" t="n"/>
      <c r="BA102" s="1064" t="n"/>
      <c r="BB102" s="1064" t="n"/>
      <c r="BC102" s="1064" t="n"/>
      <c r="BD102" s="1064" t="n"/>
      <c r="BE102" s="1064" t="n"/>
      <c r="BF102" s="1064" t="n"/>
      <c r="BG102" s="1064" t="n"/>
      <c r="BH102" s="1064" t="n"/>
      <c r="BI102" s="1064" t="n"/>
      <c r="BJ102" s="1064" t="n"/>
      <c r="BK102" s="1064" t="n"/>
      <c r="BL102" s="1064" t="n"/>
      <c r="BM102" s="1064" t="n"/>
      <c r="BN102" s="1064" t="n"/>
      <c r="BO102" s="1064" t="n"/>
      <c r="BP102" s="1064" t="n"/>
      <c r="BQ102" s="1064" t="n"/>
      <c r="BR102" s="1064" t="n"/>
      <c r="BS102" s="1064" t="n"/>
      <c r="BT102" s="1064" t="n"/>
    </row>
    <row r="103" ht="13.2" customHeight="1" s="586">
      <c r="A103" s="1051" t="inlineStr">
        <is>
          <t>Desktop HW</t>
        </is>
      </c>
      <c r="B103" s="1052" t="inlineStr">
        <is>
          <t>BE</t>
        </is>
      </c>
      <c r="C103" s="1052" t="inlineStr">
        <is>
          <t>Monitor</t>
        </is>
      </c>
      <c r="D103" s="1053" t="inlineStr">
        <is>
          <t>L</t>
        </is>
      </c>
      <c r="E103" s="1054" t="n">
        <v>436015</v>
      </c>
      <c r="F103" s="1052" t="n">
        <v>1</v>
      </c>
      <c r="G103" s="1052" t="n">
        <v>36</v>
      </c>
      <c r="H103" s="1054" t="n">
        <v>122537.6556</v>
      </c>
      <c r="I103" s="1054" t="n">
        <v>122537.6556</v>
      </c>
      <c r="J103" s="1054" t="n">
        <v>122537.6556</v>
      </c>
      <c r="K103" s="1054" t="n"/>
      <c r="L103" s="1056" t="n"/>
      <c r="M103" s="1064" t="n"/>
      <c r="N103" s="1064" t="n"/>
      <c r="O103" s="1064" t="n"/>
      <c r="P103" s="1064" t="n"/>
      <c r="Q103" s="1064" t="n"/>
      <c r="R103" s="1064" t="n"/>
      <c r="S103" s="1064" t="n"/>
      <c r="T103" s="1064" t="n"/>
      <c r="U103" s="1064" t="n"/>
      <c r="V103" s="1064" t="n"/>
      <c r="W103" s="1064" t="n"/>
      <c r="X103" s="1064" t="n"/>
      <c r="Y103" s="1064" t="n"/>
      <c r="Z103" s="1064" t="n"/>
      <c r="AA103" s="1064" t="n"/>
      <c r="AB103" s="1064" t="n"/>
      <c r="AC103" s="1064" t="n"/>
      <c r="AD103" s="1064" t="n"/>
      <c r="AE103" s="1064" t="n"/>
      <c r="AF103" s="1064" t="n"/>
      <c r="AG103" s="1064" t="n"/>
      <c r="AH103" s="1064" t="n"/>
      <c r="AI103" s="1064" t="n"/>
      <c r="AJ103" s="1064" t="n"/>
      <c r="AK103" s="1064" t="n"/>
      <c r="AL103" s="1064" t="n"/>
      <c r="AM103" s="1064" t="n"/>
      <c r="AN103" s="1064" t="n"/>
      <c r="AO103" s="1064" t="n"/>
      <c r="AP103" s="1064" t="n"/>
      <c r="AQ103" s="1064" t="n"/>
      <c r="AR103" s="1064" t="n"/>
      <c r="AS103" s="1064" t="n"/>
      <c r="AT103" s="1064" t="n"/>
      <c r="AU103" s="1064" t="n"/>
      <c r="AV103" s="1064" t="n"/>
      <c r="AW103" s="1064" t="n"/>
      <c r="AX103" s="1064" t="n"/>
      <c r="AY103" s="1064" t="n"/>
      <c r="AZ103" s="1064" t="n"/>
      <c r="BA103" s="1064" t="n"/>
      <c r="BB103" s="1064" t="n"/>
      <c r="BC103" s="1064" t="n"/>
      <c r="BD103" s="1064" t="n"/>
      <c r="BE103" s="1064" t="n"/>
      <c r="BF103" s="1064" t="n"/>
      <c r="BG103" s="1064" t="n"/>
      <c r="BH103" s="1064" t="n"/>
      <c r="BI103" s="1064" t="n"/>
      <c r="BJ103" s="1064" t="n"/>
      <c r="BK103" s="1064" t="n"/>
      <c r="BL103" s="1064" t="n"/>
      <c r="BM103" s="1064" t="n"/>
      <c r="BN103" s="1064" t="n"/>
      <c r="BO103" s="1064" t="n"/>
      <c r="BP103" s="1064" t="n"/>
      <c r="BQ103" s="1064" t="n"/>
      <c r="BR103" s="1064" t="n"/>
      <c r="BS103" s="1064" t="n"/>
      <c r="BT103" s="1064" t="n"/>
    </row>
    <row r="104" ht="13.2" customHeight="1" s="586">
      <c r="A104" s="1051" t="inlineStr">
        <is>
          <t>Desktop HW</t>
        </is>
      </c>
      <c r="B104" s="1052" t="inlineStr">
        <is>
          <t>BE</t>
        </is>
      </c>
      <c r="C104" s="1052" t="inlineStr">
        <is>
          <t>Monitor</t>
        </is>
      </c>
      <c r="D104" s="1053" t="inlineStr">
        <is>
          <t>L</t>
        </is>
      </c>
      <c r="E104" s="1054" t="n">
        <v>322400</v>
      </c>
      <c r="F104" s="1052" t="n">
        <v>13</v>
      </c>
      <c r="G104" s="1052" t="n">
        <v>36</v>
      </c>
      <c r="H104" s="1054" t="n"/>
      <c r="I104" s="1054" t="n">
        <v>90607.296</v>
      </c>
      <c r="J104" s="1054" t="n">
        <v>90607.296</v>
      </c>
      <c r="K104" s="1054" t="n">
        <v>90607.296</v>
      </c>
      <c r="L104" s="1056" t="n"/>
      <c r="M104" s="1064" t="n"/>
      <c r="N104" s="1064" t="n"/>
      <c r="O104" s="1064" t="n"/>
      <c r="P104" s="1064" t="n"/>
      <c r="Q104" s="1064" t="n"/>
      <c r="R104" s="1064" t="n"/>
      <c r="S104" s="1064" t="n"/>
      <c r="T104" s="1064" t="n"/>
      <c r="U104" s="1064" t="n"/>
      <c r="V104" s="1064" t="n"/>
      <c r="W104" s="1064" t="n"/>
      <c r="X104" s="1064" t="n"/>
      <c r="Y104" s="1064" t="n"/>
      <c r="Z104" s="1064" t="n"/>
      <c r="AA104" s="1064" t="n"/>
      <c r="AB104" s="1064" t="n"/>
      <c r="AC104" s="1064" t="n"/>
      <c r="AD104" s="1064" t="n"/>
      <c r="AE104" s="1064" t="n"/>
      <c r="AF104" s="1064" t="n"/>
      <c r="AG104" s="1064" t="n"/>
      <c r="AH104" s="1064" t="n"/>
      <c r="AI104" s="1064" t="n"/>
      <c r="AJ104" s="1064" t="n"/>
      <c r="AK104" s="1064" t="n"/>
      <c r="AL104" s="1064" t="n"/>
      <c r="AM104" s="1064" t="n"/>
      <c r="AN104" s="1064" t="n"/>
      <c r="AO104" s="1064" t="n"/>
      <c r="AP104" s="1064" t="n"/>
      <c r="AQ104" s="1064" t="n"/>
      <c r="AR104" s="1064" t="n"/>
      <c r="AS104" s="1064" t="n"/>
      <c r="AT104" s="1064" t="n"/>
      <c r="AU104" s="1064" t="n"/>
      <c r="AV104" s="1064" t="n"/>
      <c r="AW104" s="1064" t="n"/>
      <c r="AX104" s="1064" t="n"/>
      <c r="AY104" s="1064" t="n"/>
      <c r="AZ104" s="1064" t="n"/>
      <c r="BA104" s="1064" t="n"/>
      <c r="BB104" s="1064" t="n"/>
      <c r="BC104" s="1064" t="n"/>
      <c r="BD104" s="1064" t="n"/>
      <c r="BE104" s="1064" t="n"/>
      <c r="BF104" s="1064" t="n"/>
      <c r="BG104" s="1064" t="n"/>
      <c r="BH104" s="1064" t="n"/>
      <c r="BI104" s="1064" t="n"/>
      <c r="BJ104" s="1064" t="n"/>
      <c r="BK104" s="1064" t="n"/>
      <c r="BL104" s="1064" t="n"/>
      <c r="BM104" s="1064" t="n"/>
      <c r="BN104" s="1064" t="n"/>
      <c r="BO104" s="1064" t="n"/>
      <c r="BP104" s="1064" t="n"/>
      <c r="BQ104" s="1064" t="n"/>
      <c r="BR104" s="1064" t="n"/>
      <c r="BS104" s="1064" t="n"/>
      <c r="BT104" s="1064" t="n"/>
    </row>
    <row r="105" ht="13.2" customHeight="1" s="586">
      <c r="A105" s="1051" t="inlineStr">
        <is>
          <t>Desktop HW</t>
        </is>
      </c>
      <c r="B105" s="1052" t="inlineStr">
        <is>
          <t>BE</t>
        </is>
      </c>
      <c r="C105" s="1052" t="inlineStr">
        <is>
          <t>Monitor</t>
        </is>
      </c>
      <c r="D105" s="1053" t="inlineStr">
        <is>
          <t>L</t>
        </is>
      </c>
      <c r="E105" s="1054" t="n">
        <v>1922155</v>
      </c>
      <c r="F105" s="1052" t="n">
        <v>25</v>
      </c>
      <c r="G105" s="1052" t="n">
        <v>36</v>
      </c>
      <c r="H105" s="1054" t="n"/>
      <c r="I105" s="1054" t="n"/>
      <c r="J105" s="1054" t="n">
        <v>540202.4412</v>
      </c>
      <c r="K105" s="1054" t="n">
        <v>540202.4412</v>
      </c>
      <c r="L105" s="1056" t="n">
        <v>540202.4412</v>
      </c>
      <c r="M105" s="1064" t="n"/>
      <c r="N105" s="1064" t="n"/>
      <c r="O105" s="1064" t="n"/>
      <c r="P105" s="1064" t="n"/>
      <c r="Q105" s="1064" t="n"/>
      <c r="R105" s="1064" t="n"/>
      <c r="S105" s="1064" t="n"/>
      <c r="T105" s="1064" t="n"/>
      <c r="U105" s="1064" t="n"/>
      <c r="V105" s="1064" t="n"/>
      <c r="W105" s="1064" t="n"/>
      <c r="X105" s="1064" t="n"/>
      <c r="Y105" s="1064" t="n"/>
      <c r="Z105" s="1064" t="n"/>
      <c r="AA105" s="1064" t="n"/>
      <c r="AB105" s="1064" t="n"/>
      <c r="AC105" s="1064" t="n"/>
      <c r="AD105" s="1064" t="n"/>
      <c r="AE105" s="1064" t="n"/>
      <c r="AF105" s="1064" t="n"/>
      <c r="AG105" s="1064" t="n"/>
      <c r="AH105" s="1064" t="n"/>
      <c r="AI105" s="1064" t="n"/>
      <c r="AJ105" s="1064" t="n"/>
      <c r="AK105" s="1064" t="n"/>
      <c r="AL105" s="1064" t="n"/>
      <c r="AM105" s="1064" t="n"/>
      <c r="AN105" s="1064" t="n"/>
      <c r="AO105" s="1064" t="n"/>
      <c r="AP105" s="1064" t="n"/>
      <c r="AQ105" s="1064" t="n"/>
      <c r="AR105" s="1064" t="n"/>
      <c r="AS105" s="1064" t="n"/>
      <c r="AT105" s="1064" t="n"/>
      <c r="AU105" s="1064" t="n"/>
      <c r="AV105" s="1064" t="n"/>
      <c r="AW105" s="1064" t="n"/>
      <c r="AX105" s="1064" t="n"/>
      <c r="AY105" s="1064" t="n"/>
      <c r="AZ105" s="1064" t="n"/>
      <c r="BA105" s="1064" t="n"/>
      <c r="BB105" s="1064" t="n"/>
      <c r="BC105" s="1064" t="n"/>
      <c r="BD105" s="1064" t="n"/>
      <c r="BE105" s="1064" t="n"/>
      <c r="BF105" s="1064" t="n"/>
      <c r="BG105" s="1064" t="n"/>
      <c r="BH105" s="1064" t="n"/>
      <c r="BI105" s="1064" t="n"/>
      <c r="BJ105" s="1064" t="n"/>
      <c r="BK105" s="1064" t="n"/>
      <c r="BL105" s="1064" t="n"/>
      <c r="BM105" s="1064" t="n"/>
      <c r="BN105" s="1064" t="n"/>
      <c r="BO105" s="1064" t="n"/>
      <c r="BP105" s="1064" t="n"/>
      <c r="BQ105" s="1064" t="n"/>
      <c r="BR105" s="1064" t="n"/>
      <c r="BS105" s="1064" t="n"/>
      <c r="BT105" s="1064" t="n"/>
    </row>
    <row r="106" ht="13.2" customHeight="1" s="586">
      <c r="A106" s="1051" t="inlineStr">
        <is>
          <t>Desktop HW</t>
        </is>
      </c>
      <c r="B106" s="1052" t="inlineStr">
        <is>
          <t>BE</t>
        </is>
      </c>
      <c r="C106" s="1052" t="inlineStr">
        <is>
          <t>Monitor</t>
        </is>
      </c>
      <c r="D106" s="1053" t="inlineStr">
        <is>
          <t>L</t>
        </is>
      </c>
      <c r="E106" s="1054" t="n">
        <v>436015</v>
      </c>
      <c r="F106" s="1052" t="n">
        <v>37</v>
      </c>
      <c r="G106" s="1052" t="n">
        <v>36</v>
      </c>
      <c r="H106" s="1054" t="n"/>
      <c r="I106" s="1054" t="n"/>
      <c r="J106" s="1054" t="n"/>
      <c r="K106" s="1054" t="n">
        <v>122537.6556</v>
      </c>
      <c r="L106" s="1056" t="n">
        <v>122537.6556</v>
      </c>
      <c r="M106" s="1064" t="n"/>
      <c r="N106" s="1064" t="n"/>
      <c r="O106" s="1064" t="n"/>
      <c r="P106" s="1064" t="n"/>
      <c r="Q106" s="1064" t="n"/>
      <c r="R106" s="1064" t="n"/>
      <c r="S106" s="1064" t="n"/>
      <c r="T106" s="1064" t="n"/>
      <c r="U106" s="1064" t="n"/>
      <c r="V106" s="1064" t="n"/>
      <c r="W106" s="1064" t="n"/>
      <c r="X106" s="1064" t="n"/>
      <c r="Y106" s="1064" t="n"/>
      <c r="Z106" s="1064" t="n"/>
      <c r="AA106" s="1064" t="n"/>
      <c r="AB106" s="1064" t="n"/>
      <c r="AC106" s="1064" t="n"/>
      <c r="AD106" s="1064" t="n"/>
      <c r="AE106" s="1064" t="n"/>
      <c r="AF106" s="1064" t="n"/>
      <c r="AG106" s="1064" t="n"/>
      <c r="AH106" s="1064" t="n"/>
      <c r="AI106" s="1064" t="n"/>
      <c r="AJ106" s="1064" t="n"/>
      <c r="AK106" s="1064" t="n"/>
      <c r="AL106" s="1064" t="n"/>
      <c r="AM106" s="1064" t="n"/>
      <c r="AN106" s="1064" t="n"/>
      <c r="AO106" s="1064" t="n"/>
      <c r="AP106" s="1064" t="n"/>
      <c r="AQ106" s="1064" t="n"/>
      <c r="AR106" s="1064" t="n"/>
      <c r="AS106" s="1064" t="n"/>
      <c r="AT106" s="1064" t="n"/>
      <c r="AU106" s="1064" t="n"/>
      <c r="AV106" s="1064" t="n"/>
      <c r="AW106" s="1064" t="n"/>
      <c r="AX106" s="1064" t="n"/>
      <c r="AY106" s="1064" t="n"/>
      <c r="AZ106" s="1064" t="n"/>
      <c r="BA106" s="1064" t="n"/>
      <c r="BB106" s="1064" t="n"/>
      <c r="BC106" s="1064" t="n"/>
      <c r="BD106" s="1064" t="n"/>
      <c r="BE106" s="1064" t="n"/>
      <c r="BF106" s="1064" t="n"/>
      <c r="BG106" s="1064" t="n"/>
      <c r="BH106" s="1064" t="n"/>
      <c r="BI106" s="1064" t="n"/>
      <c r="BJ106" s="1064" t="n"/>
      <c r="BK106" s="1064" t="n"/>
      <c r="BL106" s="1064" t="n"/>
      <c r="BM106" s="1064" t="n"/>
      <c r="BN106" s="1064" t="n"/>
      <c r="BO106" s="1064" t="n"/>
      <c r="BP106" s="1064" t="n"/>
      <c r="BQ106" s="1064" t="n"/>
      <c r="BR106" s="1064" t="n"/>
      <c r="BS106" s="1064" t="n"/>
      <c r="BT106" s="1064" t="n"/>
    </row>
    <row r="107" ht="13.2" customHeight="1" s="586">
      <c r="A107" s="1051" t="inlineStr">
        <is>
          <t>Desktop HW</t>
        </is>
      </c>
      <c r="B107" s="1052" t="inlineStr">
        <is>
          <t>BE</t>
        </is>
      </c>
      <c r="C107" s="1052" t="inlineStr">
        <is>
          <t>Monitor</t>
        </is>
      </c>
      <c r="D107" s="1053" t="inlineStr">
        <is>
          <t>L</t>
        </is>
      </c>
      <c r="E107" s="1054" t="n">
        <v>322400</v>
      </c>
      <c r="F107" s="1052" t="n">
        <v>49</v>
      </c>
      <c r="G107" s="1052" t="n">
        <v>36</v>
      </c>
      <c r="H107" s="1054" t="n"/>
      <c r="I107" s="1054" t="n"/>
      <c r="J107" s="1054" t="n"/>
      <c r="K107" s="1054" t="n"/>
      <c r="L107" s="1056" t="n">
        <v>90607.296</v>
      </c>
      <c r="M107" s="1064" t="n"/>
      <c r="N107" s="1064" t="n"/>
      <c r="O107" s="1064" t="n"/>
      <c r="P107" s="1064" t="n"/>
      <c r="Q107" s="1064" t="n"/>
      <c r="R107" s="1064" t="n"/>
      <c r="S107" s="1064" t="n"/>
      <c r="T107" s="1064" t="n"/>
      <c r="U107" s="1064" t="n"/>
      <c r="V107" s="1064" t="n"/>
      <c r="W107" s="1064" t="n"/>
      <c r="X107" s="1064" t="n"/>
      <c r="Y107" s="1064" t="n"/>
      <c r="Z107" s="1064" t="n"/>
      <c r="AA107" s="1064" t="n"/>
      <c r="AB107" s="1064" t="n"/>
      <c r="AC107" s="1064" t="n"/>
      <c r="AD107" s="1064" t="n"/>
      <c r="AE107" s="1064" t="n"/>
      <c r="AF107" s="1064" t="n"/>
      <c r="AG107" s="1064" t="n"/>
      <c r="AH107" s="1064" t="n"/>
      <c r="AI107" s="1064" t="n"/>
      <c r="AJ107" s="1064" t="n"/>
      <c r="AK107" s="1064" t="n"/>
      <c r="AL107" s="1064" t="n"/>
      <c r="AM107" s="1064" t="n"/>
      <c r="AN107" s="1064" t="n"/>
      <c r="AO107" s="1064" t="n"/>
      <c r="AP107" s="1064" t="n"/>
      <c r="AQ107" s="1064" t="n"/>
      <c r="AR107" s="1064" t="n"/>
      <c r="AS107" s="1064" t="n"/>
      <c r="AT107" s="1064" t="n"/>
      <c r="AU107" s="1064" t="n"/>
      <c r="AV107" s="1064" t="n"/>
      <c r="AW107" s="1064" t="n"/>
      <c r="AX107" s="1064" t="n"/>
      <c r="AY107" s="1064" t="n"/>
      <c r="AZ107" s="1064" t="n"/>
      <c r="BA107" s="1064" t="n"/>
      <c r="BB107" s="1064" t="n"/>
      <c r="BC107" s="1064" t="n"/>
      <c r="BD107" s="1064" t="n"/>
      <c r="BE107" s="1064" t="n"/>
      <c r="BF107" s="1064" t="n"/>
      <c r="BG107" s="1064" t="n"/>
      <c r="BH107" s="1064" t="n"/>
      <c r="BI107" s="1064" t="n"/>
      <c r="BJ107" s="1064" t="n"/>
      <c r="BK107" s="1064" t="n"/>
      <c r="BL107" s="1064" t="n"/>
      <c r="BM107" s="1064" t="n"/>
      <c r="BN107" s="1064" t="n"/>
      <c r="BO107" s="1064" t="n"/>
      <c r="BP107" s="1064" t="n"/>
      <c r="BQ107" s="1064" t="n"/>
      <c r="BR107" s="1064" t="n"/>
      <c r="BS107" s="1064" t="n"/>
      <c r="BT107" s="1064" t="n"/>
    </row>
    <row r="108" ht="13.2" customHeight="1" s="586">
      <c r="A108" s="1051" t="inlineStr">
        <is>
          <t>Desktop HW</t>
        </is>
      </c>
      <c r="B108" s="1052" t="inlineStr">
        <is>
          <t>BE</t>
        </is>
      </c>
      <c r="C108" s="1052" t="inlineStr">
        <is>
          <t>S&amp;LB Printer Local Mono</t>
        </is>
      </c>
      <c r="D108" s="1053" t="inlineStr">
        <is>
          <t>L</t>
        </is>
      </c>
      <c r="E108" s="1054" t="n">
        <v>0</v>
      </c>
      <c r="F108" s="1052" t="n">
        <v>1</v>
      </c>
      <c r="G108" s="1052" t="n">
        <v>36</v>
      </c>
      <c r="H108" s="1054" t="n">
        <v>28122.7316665453</v>
      </c>
      <c r="I108" s="1054" t="n"/>
      <c r="J108" s="1054" t="n"/>
      <c r="K108" s="1054" t="n"/>
      <c r="L108" s="1056" t="n"/>
      <c r="M108" s="1064" t="n"/>
      <c r="N108" s="1064" t="n"/>
      <c r="O108" s="1064" t="n"/>
      <c r="P108" s="1064" t="n"/>
      <c r="Q108" s="1064" t="n"/>
      <c r="R108" s="1064" t="n"/>
      <c r="S108" s="1064" t="n"/>
      <c r="T108" s="1064" t="n"/>
      <c r="U108" s="1064" t="n"/>
      <c r="V108" s="1064" t="n"/>
      <c r="W108" s="1064" t="n"/>
      <c r="X108" s="1064" t="n"/>
      <c r="Y108" s="1064" t="n"/>
      <c r="Z108" s="1064" t="n"/>
      <c r="AA108" s="1064" t="n"/>
      <c r="AB108" s="1064" t="n"/>
      <c r="AC108" s="1064" t="n"/>
      <c r="AD108" s="1064" t="n"/>
      <c r="AE108" s="1064" t="n"/>
      <c r="AF108" s="1064" t="n"/>
      <c r="AG108" s="1064" t="n"/>
      <c r="AH108" s="1064" t="n"/>
      <c r="AI108" s="1064" t="n"/>
      <c r="AJ108" s="1064" t="n"/>
      <c r="AK108" s="1064" t="n"/>
      <c r="AL108" s="1064" t="n"/>
      <c r="AM108" s="1064" t="n"/>
      <c r="AN108" s="1064" t="n"/>
      <c r="AO108" s="1064" t="n"/>
      <c r="AP108" s="1064" t="n"/>
      <c r="AQ108" s="1064" t="n"/>
      <c r="AR108" s="1064" t="n"/>
      <c r="AS108" s="1064" t="n"/>
      <c r="AT108" s="1064" t="n"/>
      <c r="AU108" s="1064" t="n"/>
      <c r="AV108" s="1064" t="n"/>
      <c r="AW108" s="1064" t="n"/>
      <c r="AX108" s="1064" t="n"/>
      <c r="AY108" s="1064" t="n"/>
      <c r="AZ108" s="1064" t="n"/>
      <c r="BA108" s="1064" t="n"/>
      <c r="BB108" s="1064" t="n"/>
      <c r="BC108" s="1064" t="n"/>
      <c r="BD108" s="1064" t="n"/>
      <c r="BE108" s="1064" t="n"/>
      <c r="BF108" s="1064" t="n"/>
      <c r="BG108" s="1064" t="n"/>
      <c r="BH108" s="1064" t="n"/>
      <c r="BI108" s="1064" t="n"/>
      <c r="BJ108" s="1064" t="n"/>
      <c r="BK108" s="1064" t="n"/>
      <c r="BL108" s="1064" t="n"/>
      <c r="BM108" s="1064" t="n"/>
      <c r="BN108" s="1064" t="n"/>
      <c r="BO108" s="1064" t="n"/>
      <c r="BP108" s="1064" t="n"/>
      <c r="BQ108" s="1064" t="n"/>
      <c r="BR108" s="1064" t="n"/>
      <c r="BS108" s="1064" t="n"/>
      <c r="BT108" s="1064" t="n"/>
    </row>
    <row r="109" ht="13.2" customHeight="1" s="586">
      <c r="A109" s="1051" t="inlineStr">
        <is>
          <t>Desktop HW</t>
        </is>
      </c>
      <c r="B109" s="1052" t="inlineStr">
        <is>
          <t>BE</t>
        </is>
      </c>
      <c r="C109" s="1052" t="inlineStr">
        <is>
          <t>S&amp;LB Printer Local Mono</t>
        </is>
      </c>
      <c r="D109" s="1053" t="inlineStr">
        <is>
          <t>L</t>
        </is>
      </c>
      <c r="E109" s="1054" t="n">
        <v>0</v>
      </c>
      <c r="F109" s="1052" t="n">
        <v>1</v>
      </c>
      <c r="G109" s="1052" t="n">
        <v>36</v>
      </c>
      <c r="H109" s="1054" t="n">
        <v>28122.7316665453</v>
      </c>
      <c r="I109" s="1054" t="n">
        <v>28122.7316665453</v>
      </c>
      <c r="J109" s="1054" t="n"/>
      <c r="K109" s="1054" t="n"/>
      <c r="L109" s="1056" t="n"/>
      <c r="M109" s="1064" t="n"/>
      <c r="N109" s="1064" t="n"/>
      <c r="O109" s="1064" t="n"/>
      <c r="P109" s="1064" t="n"/>
      <c r="Q109" s="1064" t="n"/>
      <c r="R109" s="1064" t="n"/>
      <c r="S109" s="1064" t="n"/>
      <c r="T109" s="1064" t="n"/>
      <c r="U109" s="1064" t="n"/>
      <c r="V109" s="1064" t="n"/>
      <c r="W109" s="1064" t="n"/>
      <c r="X109" s="1064" t="n"/>
      <c r="Y109" s="1064" t="n"/>
      <c r="Z109" s="1064" t="n"/>
      <c r="AA109" s="1064" t="n"/>
      <c r="AB109" s="1064" t="n"/>
      <c r="AC109" s="1064" t="n"/>
      <c r="AD109" s="1064" t="n"/>
      <c r="AE109" s="1064" t="n"/>
      <c r="AF109" s="1064" t="n"/>
      <c r="AG109" s="1064" t="n"/>
      <c r="AH109" s="1064" t="n"/>
      <c r="AI109" s="1064" t="n"/>
      <c r="AJ109" s="1064" t="n"/>
      <c r="AK109" s="1064" t="n"/>
      <c r="AL109" s="1064" t="n"/>
      <c r="AM109" s="1064" t="n"/>
      <c r="AN109" s="1064" t="n"/>
      <c r="AO109" s="1064" t="n"/>
      <c r="AP109" s="1064" t="n"/>
      <c r="AQ109" s="1064" t="n"/>
      <c r="AR109" s="1064" t="n"/>
      <c r="AS109" s="1064" t="n"/>
      <c r="AT109" s="1064" t="n"/>
      <c r="AU109" s="1064" t="n"/>
      <c r="AV109" s="1064" t="n"/>
      <c r="AW109" s="1064" t="n"/>
      <c r="AX109" s="1064" t="n"/>
      <c r="AY109" s="1064" t="n"/>
      <c r="AZ109" s="1064" t="n"/>
      <c r="BA109" s="1064" t="n"/>
      <c r="BB109" s="1064" t="n"/>
      <c r="BC109" s="1064" t="n"/>
      <c r="BD109" s="1064" t="n"/>
      <c r="BE109" s="1064" t="n"/>
      <c r="BF109" s="1064" t="n"/>
      <c r="BG109" s="1064" t="n"/>
      <c r="BH109" s="1064" t="n"/>
      <c r="BI109" s="1064" t="n"/>
      <c r="BJ109" s="1064" t="n"/>
      <c r="BK109" s="1064" t="n"/>
      <c r="BL109" s="1064" t="n"/>
      <c r="BM109" s="1064" t="n"/>
      <c r="BN109" s="1064" t="n"/>
      <c r="BO109" s="1064" t="n"/>
      <c r="BP109" s="1064" t="n"/>
      <c r="BQ109" s="1064" t="n"/>
      <c r="BR109" s="1064" t="n"/>
      <c r="BS109" s="1064" t="n"/>
      <c r="BT109" s="1064" t="n"/>
    </row>
    <row r="110" ht="13.2" customHeight="1" s="586">
      <c r="A110" s="1051" t="inlineStr">
        <is>
          <t>Desktop HW</t>
        </is>
      </c>
      <c r="B110" s="1052" t="inlineStr">
        <is>
          <t>BE</t>
        </is>
      </c>
      <c r="C110" s="1052" t="inlineStr">
        <is>
          <t>Printer Local Mono</t>
        </is>
      </c>
      <c r="D110" s="1053" t="inlineStr">
        <is>
          <t>L</t>
        </is>
      </c>
      <c r="E110" s="1054" t="n">
        <v>100066.651247315</v>
      </c>
      <c r="F110" s="1052" t="n">
        <v>1</v>
      </c>
      <c r="G110" s="1052" t="n">
        <v>36</v>
      </c>
      <c r="H110" s="1054" t="n">
        <v>28122.7316665453</v>
      </c>
      <c r="I110" s="1054" t="n">
        <v>28122.7316665453</v>
      </c>
      <c r="J110" s="1054" t="n">
        <v>28122.7316665453</v>
      </c>
      <c r="K110" s="1054" t="n"/>
      <c r="L110" s="1056" t="n"/>
      <c r="M110" s="1064" t="n"/>
      <c r="N110" s="1064" t="n"/>
      <c r="O110" s="1064" t="n"/>
      <c r="P110" s="1064" t="n"/>
      <c r="Q110" s="1064" t="n"/>
      <c r="R110" s="1064" t="n"/>
      <c r="S110" s="1064" t="n"/>
      <c r="T110" s="1064" t="n"/>
      <c r="U110" s="1064" t="n"/>
      <c r="V110" s="1064" t="n"/>
      <c r="W110" s="1064" t="n"/>
      <c r="X110" s="1064" t="n"/>
      <c r="Y110" s="1064" t="n"/>
      <c r="Z110" s="1064" t="n"/>
      <c r="AA110" s="1064" t="n"/>
      <c r="AB110" s="1064" t="n"/>
      <c r="AC110" s="1064" t="n"/>
      <c r="AD110" s="1064" t="n"/>
      <c r="AE110" s="1064" t="n"/>
      <c r="AF110" s="1064" t="n"/>
      <c r="AG110" s="1064" t="n"/>
      <c r="AH110" s="1064" t="n"/>
      <c r="AI110" s="1064" t="n"/>
      <c r="AJ110" s="1064" t="n"/>
      <c r="AK110" s="1064" t="n"/>
      <c r="AL110" s="1064" t="n"/>
      <c r="AM110" s="1064" t="n"/>
      <c r="AN110" s="1064" t="n"/>
      <c r="AO110" s="1064" t="n"/>
      <c r="AP110" s="1064" t="n"/>
      <c r="AQ110" s="1064" t="n"/>
      <c r="AR110" s="1064" t="n"/>
      <c r="AS110" s="1064" t="n"/>
      <c r="AT110" s="1064" t="n"/>
      <c r="AU110" s="1064" t="n"/>
      <c r="AV110" s="1064" t="n"/>
      <c r="AW110" s="1064" t="n"/>
      <c r="AX110" s="1064" t="n"/>
      <c r="AY110" s="1064" t="n"/>
      <c r="AZ110" s="1064" t="n"/>
      <c r="BA110" s="1064" t="n"/>
      <c r="BB110" s="1064" t="n"/>
      <c r="BC110" s="1064" t="n"/>
      <c r="BD110" s="1064" t="n"/>
      <c r="BE110" s="1064" t="n"/>
      <c r="BF110" s="1064" t="n"/>
      <c r="BG110" s="1064" t="n"/>
      <c r="BH110" s="1064" t="n"/>
      <c r="BI110" s="1064" t="n"/>
      <c r="BJ110" s="1064" t="n"/>
      <c r="BK110" s="1064" t="n"/>
      <c r="BL110" s="1064" t="n"/>
      <c r="BM110" s="1064" t="n"/>
      <c r="BN110" s="1064" t="n"/>
      <c r="BO110" s="1064" t="n"/>
      <c r="BP110" s="1064" t="n"/>
      <c r="BQ110" s="1064" t="n"/>
      <c r="BR110" s="1064" t="n"/>
      <c r="BS110" s="1064" t="n"/>
      <c r="BT110" s="1064" t="n"/>
    </row>
    <row r="111" ht="13.2" customHeight="1" s="586">
      <c r="A111" s="1051" t="inlineStr">
        <is>
          <t>Desktop HW</t>
        </is>
      </c>
      <c r="B111" s="1052" t="inlineStr">
        <is>
          <t>BE</t>
        </is>
      </c>
      <c r="C111" s="1052" t="inlineStr">
        <is>
          <t>Printer Local Mono</t>
        </is>
      </c>
      <c r="D111" s="1053" t="inlineStr">
        <is>
          <t>L</t>
        </is>
      </c>
      <c r="E111" s="1054" t="n">
        <v>100066.651247315</v>
      </c>
      <c r="F111" s="1052" t="n">
        <v>13</v>
      </c>
      <c r="G111" s="1052" t="n">
        <v>36</v>
      </c>
      <c r="H111" s="1054" t="n"/>
      <c r="I111" s="1054" t="n">
        <v>28122.7316665453</v>
      </c>
      <c r="J111" s="1054" t="n">
        <v>28122.7316665453</v>
      </c>
      <c r="K111" s="1054" t="n">
        <v>28122.7316665453</v>
      </c>
      <c r="L111" s="1056" t="n"/>
      <c r="M111" s="1064" t="n"/>
      <c r="N111" s="1064" t="n"/>
      <c r="O111" s="1064" t="n"/>
      <c r="P111" s="1064" t="n"/>
      <c r="Q111" s="1064" t="n"/>
      <c r="R111" s="1064" t="n"/>
      <c r="S111" s="1064" t="n"/>
      <c r="T111" s="1064" t="n"/>
      <c r="U111" s="1064" t="n"/>
      <c r="V111" s="1064" t="n"/>
      <c r="W111" s="1064" t="n"/>
      <c r="X111" s="1064" t="n"/>
      <c r="Y111" s="1064" t="n"/>
      <c r="Z111" s="1064" t="n"/>
      <c r="AA111" s="1064" t="n"/>
      <c r="AB111" s="1064" t="n"/>
      <c r="AC111" s="1064" t="n"/>
      <c r="AD111" s="1064" t="n"/>
      <c r="AE111" s="1064" t="n"/>
      <c r="AF111" s="1064" t="n"/>
      <c r="AG111" s="1064" t="n"/>
      <c r="AH111" s="1064" t="n"/>
      <c r="AI111" s="1064" t="n"/>
      <c r="AJ111" s="1064" t="n"/>
      <c r="AK111" s="1064" t="n"/>
      <c r="AL111" s="1064" t="n"/>
      <c r="AM111" s="1064" t="n"/>
      <c r="AN111" s="1064" t="n"/>
      <c r="AO111" s="1064" t="n"/>
      <c r="AP111" s="1064" t="n"/>
      <c r="AQ111" s="1064" t="n"/>
      <c r="AR111" s="1064" t="n"/>
      <c r="AS111" s="1064" t="n"/>
      <c r="AT111" s="1064" t="n"/>
      <c r="AU111" s="1064" t="n"/>
      <c r="AV111" s="1064" t="n"/>
      <c r="AW111" s="1064" t="n"/>
      <c r="AX111" s="1064" t="n"/>
      <c r="AY111" s="1064" t="n"/>
      <c r="AZ111" s="1064" t="n"/>
      <c r="BA111" s="1064" t="n"/>
      <c r="BB111" s="1064" t="n"/>
      <c r="BC111" s="1064" t="n"/>
      <c r="BD111" s="1064" t="n"/>
      <c r="BE111" s="1064" t="n"/>
      <c r="BF111" s="1064" t="n"/>
      <c r="BG111" s="1064" t="n"/>
      <c r="BH111" s="1064" t="n"/>
      <c r="BI111" s="1064" t="n"/>
      <c r="BJ111" s="1064" t="n"/>
      <c r="BK111" s="1064" t="n"/>
      <c r="BL111" s="1064" t="n"/>
      <c r="BM111" s="1064" t="n"/>
      <c r="BN111" s="1064" t="n"/>
      <c r="BO111" s="1064" t="n"/>
      <c r="BP111" s="1064" t="n"/>
      <c r="BQ111" s="1064" t="n"/>
      <c r="BR111" s="1064" t="n"/>
      <c r="BS111" s="1064" t="n"/>
      <c r="BT111" s="1064" t="n"/>
    </row>
    <row r="112" ht="13.2" customHeight="1" s="586">
      <c r="A112" s="1051" t="inlineStr">
        <is>
          <t>Desktop HW</t>
        </is>
      </c>
      <c r="B112" s="1052" t="inlineStr">
        <is>
          <t>BE</t>
        </is>
      </c>
      <c r="C112" s="1052" t="inlineStr">
        <is>
          <t>Printer Local Mono</t>
        </is>
      </c>
      <c r="D112" s="1053" t="inlineStr">
        <is>
          <t>L</t>
        </is>
      </c>
      <c r="E112" s="1054" t="n">
        <v>100066.651247315</v>
      </c>
      <c r="F112" s="1052" t="n">
        <v>25</v>
      </c>
      <c r="G112" s="1052" t="n">
        <v>36</v>
      </c>
      <c r="H112" s="1054" t="n"/>
      <c r="I112" s="1054" t="n"/>
      <c r="J112" s="1054" t="n">
        <v>28122.7316665453</v>
      </c>
      <c r="K112" s="1054" t="n">
        <v>28122.7316665453</v>
      </c>
      <c r="L112" s="1056" t="n">
        <v>28122.7316665453</v>
      </c>
      <c r="M112" s="1064" t="n"/>
      <c r="N112" s="1064" t="n"/>
      <c r="O112" s="1064" t="n"/>
      <c r="P112" s="1064" t="n"/>
      <c r="Q112" s="1064" t="n"/>
      <c r="R112" s="1064" t="n"/>
      <c r="S112" s="1064" t="n"/>
      <c r="T112" s="1064" t="n"/>
      <c r="U112" s="1064" t="n"/>
      <c r="V112" s="1064" t="n"/>
      <c r="W112" s="1064" t="n"/>
      <c r="X112" s="1064" t="n"/>
      <c r="Y112" s="1064" t="n"/>
      <c r="Z112" s="1064" t="n"/>
      <c r="AA112" s="1064" t="n"/>
      <c r="AB112" s="1064" t="n"/>
      <c r="AC112" s="1064" t="n"/>
      <c r="AD112" s="1064" t="n"/>
      <c r="AE112" s="1064" t="n"/>
      <c r="AF112" s="1064" t="n"/>
      <c r="AG112" s="1064" t="n"/>
      <c r="AH112" s="1064" t="n"/>
      <c r="AI112" s="1064" t="n"/>
      <c r="AJ112" s="1064" t="n"/>
      <c r="AK112" s="1064" t="n"/>
      <c r="AL112" s="1064" t="n"/>
      <c r="AM112" s="1064" t="n"/>
      <c r="AN112" s="1064" t="n"/>
      <c r="AO112" s="1064" t="n"/>
      <c r="AP112" s="1064" t="n"/>
      <c r="AQ112" s="1064" t="n"/>
      <c r="AR112" s="1064" t="n"/>
      <c r="AS112" s="1064" t="n"/>
      <c r="AT112" s="1064" t="n"/>
      <c r="AU112" s="1064" t="n"/>
      <c r="AV112" s="1064" t="n"/>
      <c r="AW112" s="1064" t="n"/>
      <c r="AX112" s="1064" t="n"/>
      <c r="AY112" s="1064" t="n"/>
      <c r="AZ112" s="1064" t="n"/>
      <c r="BA112" s="1064" t="n"/>
      <c r="BB112" s="1064" t="n"/>
      <c r="BC112" s="1064" t="n"/>
      <c r="BD112" s="1064" t="n"/>
      <c r="BE112" s="1064" t="n"/>
      <c r="BF112" s="1064" t="n"/>
      <c r="BG112" s="1064" t="n"/>
      <c r="BH112" s="1064" t="n"/>
      <c r="BI112" s="1064" t="n"/>
      <c r="BJ112" s="1064" t="n"/>
      <c r="BK112" s="1064" t="n"/>
      <c r="BL112" s="1064" t="n"/>
      <c r="BM112" s="1064" t="n"/>
      <c r="BN112" s="1064" t="n"/>
      <c r="BO112" s="1064" t="n"/>
      <c r="BP112" s="1064" t="n"/>
      <c r="BQ112" s="1064" t="n"/>
      <c r="BR112" s="1064" t="n"/>
      <c r="BS112" s="1064" t="n"/>
      <c r="BT112" s="1064" t="n"/>
    </row>
    <row r="113" ht="13.2" customHeight="1" s="586">
      <c r="A113" s="1051" t="inlineStr">
        <is>
          <t>Desktop HW</t>
        </is>
      </c>
      <c r="B113" s="1052" t="inlineStr">
        <is>
          <t>BE</t>
        </is>
      </c>
      <c r="C113" s="1052" t="inlineStr">
        <is>
          <t>Printer Local Mono</t>
        </is>
      </c>
      <c r="D113" s="1053" t="inlineStr">
        <is>
          <t>L</t>
        </is>
      </c>
      <c r="E113" s="1054" t="n">
        <v>100066.651247315</v>
      </c>
      <c r="F113" s="1052" t="n">
        <v>37</v>
      </c>
      <c r="G113" s="1052" t="n">
        <v>36</v>
      </c>
      <c r="H113" s="1054" t="n"/>
      <c r="I113" s="1054" t="n"/>
      <c r="J113" s="1054" t="n"/>
      <c r="K113" s="1054" t="n">
        <v>28122.7316665453</v>
      </c>
      <c r="L113" s="1056" t="n">
        <v>28122.7316665453</v>
      </c>
      <c r="M113" s="1064" t="n"/>
      <c r="N113" s="1064" t="n"/>
      <c r="O113" s="1064" t="n"/>
      <c r="P113" s="1064" t="n"/>
      <c r="Q113" s="1064" t="n"/>
      <c r="R113" s="1064" t="n"/>
      <c r="S113" s="1064" t="n"/>
      <c r="T113" s="1064" t="n"/>
      <c r="U113" s="1064" t="n"/>
      <c r="V113" s="1064" t="n"/>
      <c r="W113" s="1064" t="n"/>
      <c r="X113" s="1064" t="n"/>
      <c r="Y113" s="1064" t="n"/>
      <c r="Z113" s="1064" t="n"/>
      <c r="AA113" s="1064" t="n"/>
      <c r="AB113" s="1064" t="n"/>
      <c r="AC113" s="1064" t="n"/>
      <c r="AD113" s="1064" t="n"/>
      <c r="AE113" s="1064" t="n"/>
      <c r="AF113" s="1064" t="n"/>
      <c r="AG113" s="1064" t="n"/>
      <c r="AH113" s="1064" t="n"/>
      <c r="AI113" s="1064" t="n"/>
      <c r="AJ113" s="1064" t="n"/>
      <c r="AK113" s="1064" t="n"/>
      <c r="AL113" s="1064" t="n"/>
      <c r="AM113" s="1064" t="n"/>
      <c r="AN113" s="1064" t="n"/>
      <c r="AO113" s="1064" t="n"/>
      <c r="AP113" s="1064" t="n"/>
      <c r="AQ113" s="1064" t="n"/>
      <c r="AR113" s="1064" t="n"/>
      <c r="AS113" s="1064" t="n"/>
      <c r="AT113" s="1064" t="n"/>
      <c r="AU113" s="1064" t="n"/>
      <c r="AV113" s="1064" t="n"/>
      <c r="AW113" s="1064" t="n"/>
      <c r="AX113" s="1064" t="n"/>
      <c r="AY113" s="1064" t="n"/>
      <c r="AZ113" s="1064" t="n"/>
      <c r="BA113" s="1064" t="n"/>
      <c r="BB113" s="1064" t="n"/>
      <c r="BC113" s="1064" t="n"/>
      <c r="BD113" s="1064" t="n"/>
      <c r="BE113" s="1064" t="n"/>
      <c r="BF113" s="1064" t="n"/>
      <c r="BG113" s="1064" t="n"/>
      <c r="BH113" s="1064" t="n"/>
      <c r="BI113" s="1064" t="n"/>
      <c r="BJ113" s="1064" t="n"/>
      <c r="BK113" s="1064" t="n"/>
      <c r="BL113" s="1064" t="n"/>
      <c r="BM113" s="1064" t="n"/>
      <c r="BN113" s="1064" t="n"/>
      <c r="BO113" s="1064" t="n"/>
      <c r="BP113" s="1064" t="n"/>
      <c r="BQ113" s="1064" t="n"/>
      <c r="BR113" s="1064" t="n"/>
      <c r="BS113" s="1064" t="n"/>
      <c r="BT113" s="1064" t="n"/>
    </row>
    <row r="114" ht="13.2" customHeight="1" s="586">
      <c r="A114" s="1051" t="inlineStr">
        <is>
          <t>Desktop HW</t>
        </is>
      </c>
      <c r="B114" s="1052" t="inlineStr">
        <is>
          <t>BE</t>
        </is>
      </c>
      <c r="C114" s="1052" t="inlineStr">
        <is>
          <t>Printer Local Mono</t>
        </is>
      </c>
      <c r="D114" s="1053" t="inlineStr">
        <is>
          <t>L</t>
        </is>
      </c>
      <c r="E114" s="1054" t="n">
        <v>100066.651247315</v>
      </c>
      <c r="F114" s="1052" t="n">
        <v>49</v>
      </c>
      <c r="G114" s="1052" t="n">
        <v>36</v>
      </c>
      <c r="H114" s="1054" t="n"/>
      <c r="I114" s="1054" t="n"/>
      <c r="J114" s="1054" t="n"/>
      <c r="K114" s="1054" t="n"/>
      <c r="L114" s="1056" t="n">
        <v>28122.7316665453</v>
      </c>
      <c r="M114" s="1064" t="n"/>
      <c r="N114" s="1064" t="n"/>
      <c r="O114" s="1064" t="n"/>
      <c r="P114" s="1064" t="n"/>
      <c r="Q114" s="1064" t="n"/>
      <c r="R114" s="1064" t="n"/>
      <c r="S114" s="1064" t="n"/>
      <c r="T114" s="1064" t="n"/>
      <c r="U114" s="1064" t="n"/>
      <c r="V114" s="1064" t="n"/>
      <c r="W114" s="1064" t="n"/>
      <c r="X114" s="1064" t="n"/>
      <c r="Y114" s="1064" t="n"/>
      <c r="Z114" s="1064" t="n"/>
      <c r="AA114" s="1064" t="n"/>
      <c r="AB114" s="1064" t="n"/>
      <c r="AC114" s="1064" t="n"/>
      <c r="AD114" s="1064" t="n"/>
      <c r="AE114" s="1064" t="n"/>
      <c r="AF114" s="1064" t="n"/>
      <c r="AG114" s="1064" t="n"/>
      <c r="AH114" s="1064" t="n"/>
      <c r="AI114" s="1064" t="n"/>
      <c r="AJ114" s="1064" t="n"/>
      <c r="AK114" s="1064" t="n"/>
      <c r="AL114" s="1064" t="n"/>
      <c r="AM114" s="1064" t="n"/>
      <c r="AN114" s="1064" t="n"/>
      <c r="AO114" s="1064" t="n"/>
      <c r="AP114" s="1064" t="n"/>
      <c r="AQ114" s="1064" t="n"/>
      <c r="AR114" s="1064" t="n"/>
      <c r="AS114" s="1064" t="n"/>
      <c r="AT114" s="1064" t="n"/>
      <c r="AU114" s="1064" t="n"/>
      <c r="AV114" s="1064" t="n"/>
      <c r="AW114" s="1064" t="n"/>
      <c r="AX114" s="1064" t="n"/>
      <c r="AY114" s="1064" t="n"/>
      <c r="AZ114" s="1064" t="n"/>
      <c r="BA114" s="1064" t="n"/>
      <c r="BB114" s="1064" t="n"/>
      <c r="BC114" s="1064" t="n"/>
      <c r="BD114" s="1064" t="n"/>
      <c r="BE114" s="1064" t="n"/>
      <c r="BF114" s="1064" t="n"/>
      <c r="BG114" s="1064" t="n"/>
      <c r="BH114" s="1064" t="n"/>
      <c r="BI114" s="1064" t="n"/>
      <c r="BJ114" s="1064" t="n"/>
      <c r="BK114" s="1064" t="n"/>
      <c r="BL114" s="1064" t="n"/>
      <c r="BM114" s="1064" t="n"/>
      <c r="BN114" s="1064" t="n"/>
      <c r="BO114" s="1064" t="n"/>
      <c r="BP114" s="1064" t="n"/>
      <c r="BQ114" s="1064" t="n"/>
      <c r="BR114" s="1064" t="n"/>
      <c r="BS114" s="1064" t="n"/>
      <c r="BT114" s="1064" t="n"/>
    </row>
    <row r="115" ht="13.2" customHeight="1" s="586">
      <c r="A115" s="1051" t="inlineStr">
        <is>
          <t>Desktop HW</t>
        </is>
      </c>
      <c r="B115" s="1052" t="inlineStr">
        <is>
          <t>BE</t>
        </is>
      </c>
      <c r="C115" s="1052" t="inlineStr">
        <is>
          <t>S&amp;LB Printer Local Color</t>
        </is>
      </c>
      <c r="D115" s="1053" t="inlineStr">
        <is>
          <t>L</t>
        </is>
      </c>
      <c r="E115" s="1054" t="n">
        <v>0</v>
      </c>
      <c r="F115" s="1052" t="n">
        <v>1</v>
      </c>
      <c r="G115" s="1052" t="n">
        <v>36</v>
      </c>
      <c r="H115" s="1054" t="n">
        <v>102919.975765138</v>
      </c>
      <c r="I115" s="1054" t="n"/>
      <c r="J115" s="1054" t="n"/>
      <c r="K115" s="1054" t="n"/>
      <c r="L115" s="1056" t="n"/>
      <c r="M115" s="1064" t="n"/>
      <c r="N115" s="1064" t="n"/>
      <c r="O115" s="1064" t="n"/>
      <c r="P115" s="1064" t="n"/>
      <c r="Q115" s="1064" t="n"/>
      <c r="R115" s="1064" t="n"/>
      <c r="S115" s="1064" t="n"/>
      <c r="T115" s="1064" t="n"/>
      <c r="U115" s="1064" t="n"/>
      <c r="V115" s="1064" t="n"/>
      <c r="W115" s="1064" t="n"/>
      <c r="X115" s="1064" t="n"/>
      <c r="Y115" s="1064" t="n"/>
      <c r="Z115" s="1064" t="n"/>
      <c r="AA115" s="1064" t="n"/>
      <c r="AB115" s="1064" t="n"/>
      <c r="AC115" s="1064" t="n"/>
      <c r="AD115" s="1064" t="n"/>
      <c r="AE115" s="1064" t="n"/>
      <c r="AF115" s="1064" t="n"/>
      <c r="AG115" s="1064" t="n"/>
      <c r="AH115" s="1064" t="n"/>
      <c r="AI115" s="1064" t="n"/>
      <c r="AJ115" s="1064" t="n"/>
      <c r="AK115" s="1064" t="n"/>
      <c r="AL115" s="1064" t="n"/>
      <c r="AM115" s="1064" t="n"/>
      <c r="AN115" s="1064" t="n"/>
      <c r="AO115" s="1064" t="n"/>
      <c r="AP115" s="1064" t="n"/>
      <c r="AQ115" s="1064" t="n"/>
      <c r="AR115" s="1064" t="n"/>
      <c r="AS115" s="1064" t="n"/>
      <c r="AT115" s="1064" t="n"/>
      <c r="AU115" s="1064" t="n"/>
      <c r="AV115" s="1064" t="n"/>
      <c r="AW115" s="1064" t="n"/>
      <c r="AX115" s="1064" t="n"/>
      <c r="AY115" s="1064" t="n"/>
      <c r="AZ115" s="1064" t="n"/>
      <c r="BA115" s="1064" t="n"/>
      <c r="BB115" s="1064" t="n"/>
      <c r="BC115" s="1064" t="n"/>
      <c r="BD115" s="1064" t="n"/>
      <c r="BE115" s="1064" t="n"/>
      <c r="BF115" s="1064" t="n"/>
      <c r="BG115" s="1064" t="n"/>
      <c r="BH115" s="1064" t="n"/>
      <c r="BI115" s="1064" t="n"/>
      <c r="BJ115" s="1064" t="n"/>
      <c r="BK115" s="1064" t="n"/>
      <c r="BL115" s="1064" t="n"/>
      <c r="BM115" s="1064" t="n"/>
      <c r="BN115" s="1064" t="n"/>
      <c r="BO115" s="1064" t="n"/>
      <c r="BP115" s="1064" t="n"/>
      <c r="BQ115" s="1064" t="n"/>
      <c r="BR115" s="1064" t="n"/>
      <c r="BS115" s="1064" t="n"/>
      <c r="BT115" s="1064" t="n"/>
    </row>
    <row r="116" ht="13.2" customHeight="1" s="586">
      <c r="A116" s="1051" t="inlineStr">
        <is>
          <t>Desktop HW</t>
        </is>
      </c>
      <c r="B116" s="1052" t="inlineStr">
        <is>
          <t>BE</t>
        </is>
      </c>
      <c r="C116" s="1052" t="inlineStr">
        <is>
          <t>S&amp;LB Printer Local Color</t>
        </is>
      </c>
      <c r="D116" s="1053" t="inlineStr">
        <is>
          <t>L</t>
        </is>
      </c>
      <c r="E116" s="1054" t="n">
        <v>0</v>
      </c>
      <c r="F116" s="1052" t="n">
        <v>1</v>
      </c>
      <c r="G116" s="1052" t="n">
        <v>36</v>
      </c>
      <c r="H116" s="1054" t="n">
        <v>102919.975765138</v>
      </c>
      <c r="I116" s="1054" t="n">
        <v>102919.975765138</v>
      </c>
      <c r="J116" s="1054" t="n"/>
      <c r="K116" s="1054" t="n"/>
      <c r="L116" s="1056" t="n"/>
      <c r="M116" s="1064" t="n"/>
      <c r="N116" s="1064" t="n"/>
      <c r="O116" s="1064" t="n"/>
      <c r="P116" s="1064" t="n"/>
      <c r="Q116" s="1064" t="n"/>
      <c r="R116" s="1064" t="n"/>
      <c r="S116" s="1064" t="n"/>
      <c r="T116" s="1064" t="n"/>
      <c r="U116" s="1064" t="n"/>
      <c r="V116" s="1064" t="n"/>
      <c r="W116" s="1064" t="n"/>
      <c r="X116" s="1064" t="n"/>
      <c r="Y116" s="1064" t="n"/>
      <c r="Z116" s="1064" t="n"/>
      <c r="AA116" s="1064" t="n"/>
      <c r="AB116" s="1064" t="n"/>
      <c r="AC116" s="1064" t="n"/>
      <c r="AD116" s="1064" t="n"/>
      <c r="AE116" s="1064" t="n"/>
      <c r="AF116" s="1064" t="n"/>
      <c r="AG116" s="1064" t="n"/>
      <c r="AH116" s="1064" t="n"/>
      <c r="AI116" s="1064" t="n"/>
      <c r="AJ116" s="1064" t="n"/>
      <c r="AK116" s="1064" t="n"/>
      <c r="AL116" s="1064" t="n"/>
      <c r="AM116" s="1064" t="n"/>
      <c r="AN116" s="1064" t="n"/>
      <c r="AO116" s="1064" t="n"/>
      <c r="AP116" s="1064" t="n"/>
      <c r="AQ116" s="1064" t="n"/>
      <c r="AR116" s="1064" t="n"/>
      <c r="AS116" s="1064" t="n"/>
      <c r="AT116" s="1064" t="n"/>
      <c r="AU116" s="1064" t="n"/>
      <c r="AV116" s="1064" t="n"/>
      <c r="AW116" s="1064" t="n"/>
      <c r="AX116" s="1064" t="n"/>
      <c r="AY116" s="1064" t="n"/>
      <c r="AZ116" s="1064" t="n"/>
      <c r="BA116" s="1064" t="n"/>
      <c r="BB116" s="1064" t="n"/>
      <c r="BC116" s="1064" t="n"/>
      <c r="BD116" s="1064" t="n"/>
      <c r="BE116" s="1064" t="n"/>
      <c r="BF116" s="1064" t="n"/>
      <c r="BG116" s="1064" t="n"/>
      <c r="BH116" s="1064" t="n"/>
      <c r="BI116" s="1064" t="n"/>
      <c r="BJ116" s="1064" t="n"/>
      <c r="BK116" s="1064" t="n"/>
      <c r="BL116" s="1064" t="n"/>
      <c r="BM116" s="1064" t="n"/>
      <c r="BN116" s="1064" t="n"/>
      <c r="BO116" s="1064" t="n"/>
      <c r="BP116" s="1064" t="n"/>
      <c r="BQ116" s="1064" t="n"/>
      <c r="BR116" s="1064" t="n"/>
      <c r="BS116" s="1064" t="n"/>
      <c r="BT116" s="1064" t="n"/>
    </row>
    <row r="117" ht="13.2" customHeight="1" s="586">
      <c r="A117" s="1051" t="inlineStr">
        <is>
          <t>Desktop HW</t>
        </is>
      </c>
      <c r="B117" s="1052" t="inlineStr">
        <is>
          <t>BE</t>
        </is>
      </c>
      <c r="C117" s="1065" t="inlineStr">
        <is>
          <t>Printer Local Color</t>
        </is>
      </c>
      <c r="D117" s="1053" t="inlineStr">
        <is>
          <t>L</t>
        </is>
      </c>
      <c r="E117" s="1054" t="n">
        <v>366211.129252554</v>
      </c>
      <c r="F117" s="1052" t="n">
        <v>1</v>
      </c>
      <c r="G117" s="1052" t="n">
        <v>36</v>
      </c>
      <c r="H117" s="1054" t="n">
        <v>102919.975765138</v>
      </c>
      <c r="I117" s="1054" t="n">
        <v>102919.975765138</v>
      </c>
      <c r="J117" s="1054" t="n">
        <v>102919.975765138</v>
      </c>
      <c r="K117" s="1054" t="n"/>
      <c r="L117" s="1056" t="n"/>
      <c r="M117" s="1064" t="n"/>
      <c r="N117" s="1064" t="n"/>
      <c r="O117" s="1064" t="n"/>
      <c r="P117" s="1064" t="n"/>
      <c r="Q117" s="1064" t="n"/>
      <c r="R117" s="1064" t="n"/>
      <c r="S117" s="1064" t="n"/>
      <c r="T117" s="1064" t="n"/>
      <c r="U117" s="1064" t="n"/>
      <c r="V117" s="1064" t="n"/>
      <c r="W117" s="1064" t="n"/>
      <c r="X117" s="1064" t="n"/>
      <c r="Y117" s="1064" t="n"/>
      <c r="Z117" s="1064" t="n"/>
      <c r="AA117" s="1064" t="n"/>
      <c r="AB117" s="1064" t="n"/>
      <c r="AC117" s="1064" t="n"/>
      <c r="AD117" s="1064" t="n"/>
      <c r="AE117" s="1064" t="n"/>
      <c r="AF117" s="1064" t="n"/>
      <c r="AG117" s="1064" t="n"/>
      <c r="AH117" s="1064" t="n"/>
      <c r="AI117" s="1064" t="n"/>
      <c r="AJ117" s="1064" t="n"/>
      <c r="AK117" s="1064" t="n"/>
      <c r="AL117" s="1064" t="n"/>
      <c r="AM117" s="1064" t="n"/>
      <c r="AN117" s="1064" t="n"/>
      <c r="AO117" s="1064" t="n"/>
      <c r="AP117" s="1064" t="n"/>
      <c r="AQ117" s="1064" t="n"/>
      <c r="AR117" s="1064" t="n"/>
      <c r="AS117" s="1064" t="n"/>
      <c r="AT117" s="1064" t="n"/>
      <c r="AU117" s="1064" t="n"/>
      <c r="AV117" s="1064" t="n"/>
      <c r="AW117" s="1064" t="n"/>
      <c r="AX117" s="1064" t="n"/>
      <c r="AY117" s="1064" t="n"/>
      <c r="AZ117" s="1064" t="n"/>
      <c r="BA117" s="1064" t="n"/>
      <c r="BB117" s="1064" t="n"/>
      <c r="BC117" s="1064" t="n"/>
      <c r="BD117" s="1064" t="n"/>
      <c r="BE117" s="1064" t="n"/>
      <c r="BF117" s="1064" t="n"/>
      <c r="BG117" s="1064" t="n"/>
      <c r="BH117" s="1064" t="n"/>
      <c r="BI117" s="1064" t="n"/>
      <c r="BJ117" s="1064" t="n"/>
      <c r="BK117" s="1064" t="n"/>
      <c r="BL117" s="1064" t="n"/>
      <c r="BM117" s="1064" t="n"/>
      <c r="BN117" s="1064" t="n"/>
      <c r="BO117" s="1064" t="n"/>
      <c r="BP117" s="1064" t="n"/>
      <c r="BQ117" s="1064" t="n"/>
      <c r="BR117" s="1064" t="n"/>
      <c r="BS117" s="1064" t="n"/>
      <c r="BT117" s="1064" t="n"/>
    </row>
    <row r="118" ht="13.2" customHeight="1" s="586">
      <c r="A118" s="1051" t="inlineStr">
        <is>
          <t>Desktop HW</t>
        </is>
      </c>
      <c r="B118" s="1052" t="inlineStr">
        <is>
          <t>BE</t>
        </is>
      </c>
      <c r="C118" s="1065" t="inlineStr">
        <is>
          <t>Printer Local Color</t>
        </is>
      </c>
      <c r="D118" s="1053" t="inlineStr">
        <is>
          <t>L</t>
        </is>
      </c>
      <c r="E118" s="1054" t="n">
        <v>366211.129252554</v>
      </c>
      <c r="F118" s="1052" t="n">
        <v>13</v>
      </c>
      <c r="G118" s="1052" t="n">
        <v>36</v>
      </c>
      <c r="H118" s="1054" t="n"/>
      <c r="I118" s="1054" t="n">
        <v>102919.975765138</v>
      </c>
      <c r="J118" s="1054" t="n">
        <v>102919.975765138</v>
      </c>
      <c r="K118" s="1054" t="n">
        <v>102919.975765138</v>
      </c>
      <c r="L118" s="1056" t="n"/>
      <c r="M118" s="1064" t="n"/>
      <c r="N118" s="1064" t="n"/>
      <c r="O118" s="1064" t="n"/>
      <c r="P118" s="1064" t="n"/>
      <c r="Q118" s="1064" t="n"/>
      <c r="R118" s="1064" t="n"/>
      <c r="S118" s="1064" t="n"/>
      <c r="T118" s="1064" t="n"/>
      <c r="U118" s="1064" t="n"/>
      <c r="V118" s="1064" t="n"/>
      <c r="W118" s="1064" t="n"/>
      <c r="X118" s="1064" t="n"/>
      <c r="Y118" s="1064" t="n"/>
      <c r="Z118" s="1064" t="n"/>
      <c r="AA118" s="1064" t="n"/>
      <c r="AB118" s="1064" t="n"/>
      <c r="AC118" s="1064" t="n"/>
      <c r="AD118" s="1064" t="n"/>
      <c r="AE118" s="1064" t="n"/>
      <c r="AF118" s="1064" t="n"/>
      <c r="AG118" s="1064" t="n"/>
      <c r="AH118" s="1064" t="n"/>
      <c r="AI118" s="1064" t="n"/>
      <c r="AJ118" s="1064" t="n"/>
      <c r="AK118" s="1064" t="n"/>
      <c r="AL118" s="1064" t="n"/>
      <c r="AM118" s="1064" t="n"/>
      <c r="AN118" s="1064" t="n"/>
      <c r="AO118" s="1064" t="n"/>
      <c r="AP118" s="1064" t="n"/>
      <c r="AQ118" s="1064" t="n"/>
      <c r="AR118" s="1064" t="n"/>
      <c r="AS118" s="1064" t="n"/>
      <c r="AT118" s="1064" t="n"/>
      <c r="AU118" s="1064" t="n"/>
      <c r="AV118" s="1064" t="n"/>
      <c r="AW118" s="1064" t="n"/>
      <c r="AX118" s="1064" t="n"/>
      <c r="AY118" s="1064" t="n"/>
      <c r="AZ118" s="1064" t="n"/>
      <c r="BA118" s="1064" t="n"/>
      <c r="BB118" s="1064" t="n"/>
      <c r="BC118" s="1064" t="n"/>
      <c r="BD118" s="1064" t="n"/>
      <c r="BE118" s="1064" t="n"/>
      <c r="BF118" s="1064" t="n"/>
      <c r="BG118" s="1064" t="n"/>
      <c r="BH118" s="1064" t="n"/>
      <c r="BI118" s="1064" t="n"/>
      <c r="BJ118" s="1064" t="n"/>
      <c r="BK118" s="1064" t="n"/>
      <c r="BL118" s="1064" t="n"/>
      <c r="BM118" s="1064" t="n"/>
      <c r="BN118" s="1064" t="n"/>
      <c r="BO118" s="1064" t="n"/>
      <c r="BP118" s="1064" t="n"/>
      <c r="BQ118" s="1064" t="n"/>
      <c r="BR118" s="1064" t="n"/>
      <c r="BS118" s="1064" t="n"/>
      <c r="BT118" s="1064" t="n"/>
    </row>
    <row r="119" ht="13.2" customHeight="1" s="586">
      <c r="A119" s="1051" t="inlineStr">
        <is>
          <t>Desktop HW</t>
        </is>
      </c>
      <c r="B119" s="1052" t="inlineStr">
        <is>
          <t>BE</t>
        </is>
      </c>
      <c r="C119" s="1065" t="inlineStr">
        <is>
          <t>Printer Local Color</t>
        </is>
      </c>
      <c r="D119" s="1053" t="inlineStr">
        <is>
          <t>L</t>
        </is>
      </c>
      <c r="E119" s="1054" t="n">
        <v>366211.129252554</v>
      </c>
      <c r="F119" s="1052" t="n">
        <v>25</v>
      </c>
      <c r="G119" s="1052" t="n">
        <v>36</v>
      </c>
      <c r="H119" s="1054" t="n"/>
      <c r="I119" s="1054" t="n"/>
      <c r="J119" s="1054" t="n">
        <v>102919.975765138</v>
      </c>
      <c r="K119" s="1054" t="n">
        <v>102919.975765138</v>
      </c>
      <c r="L119" s="1056" t="n">
        <v>102919.975765138</v>
      </c>
      <c r="M119" s="1064" t="n"/>
      <c r="N119" s="1064" t="n"/>
      <c r="O119" s="1064" t="n"/>
      <c r="P119" s="1064" t="n"/>
      <c r="Q119" s="1064" t="n"/>
      <c r="R119" s="1064" t="n"/>
      <c r="S119" s="1064" t="n"/>
      <c r="T119" s="1064" t="n"/>
      <c r="U119" s="1064" t="n"/>
      <c r="V119" s="1064" t="n"/>
      <c r="W119" s="1064" t="n"/>
      <c r="X119" s="1064" t="n"/>
      <c r="Y119" s="1064" t="n"/>
      <c r="Z119" s="1064" t="n"/>
      <c r="AA119" s="1064" t="n"/>
      <c r="AB119" s="1064" t="n"/>
      <c r="AC119" s="1064" t="n"/>
      <c r="AD119" s="1064" t="n"/>
      <c r="AE119" s="1064" t="n"/>
      <c r="AF119" s="1064" t="n"/>
      <c r="AG119" s="1064" t="n"/>
      <c r="AH119" s="1064" t="n"/>
      <c r="AI119" s="1064" t="n"/>
      <c r="AJ119" s="1064" t="n"/>
      <c r="AK119" s="1064" t="n"/>
      <c r="AL119" s="1064" t="n"/>
      <c r="AM119" s="1064" t="n"/>
      <c r="AN119" s="1064" t="n"/>
      <c r="AO119" s="1064" t="n"/>
      <c r="AP119" s="1064" t="n"/>
      <c r="AQ119" s="1064" t="n"/>
      <c r="AR119" s="1064" t="n"/>
      <c r="AS119" s="1064" t="n"/>
      <c r="AT119" s="1064" t="n"/>
      <c r="AU119" s="1064" t="n"/>
      <c r="AV119" s="1064" t="n"/>
      <c r="AW119" s="1064" t="n"/>
      <c r="AX119" s="1064" t="n"/>
      <c r="AY119" s="1064" t="n"/>
      <c r="AZ119" s="1064" t="n"/>
      <c r="BA119" s="1064" t="n"/>
      <c r="BB119" s="1064" t="n"/>
      <c r="BC119" s="1064" t="n"/>
      <c r="BD119" s="1064" t="n"/>
      <c r="BE119" s="1064" t="n"/>
      <c r="BF119" s="1064" t="n"/>
      <c r="BG119" s="1064" t="n"/>
      <c r="BH119" s="1064" t="n"/>
      <c r="BI119" s="1064" t="n"/>
      <c r="BJ119" s="1064" t="n"/>
      <c r="BK119" s="1064" t="n"/>
      <c r="BL119" s="1064" t="n"/>
      <c r="BM119" s="1064" t="n"/>
      <c r="BN119" s="1064" t="n"/>
      <c r="BO119" s="1064" t="n"/>
      <c r="BP119" s="1064" t="n"/>
      <c r="BQ119" s="1064" t="n"/>
      <c r="BR119" s="1064" t="n"/>
      <c r="BS119" s="1064" t="n"/>
      <c r="BT119" s="1064" t="n"/>
    </row>
    <row r="120" ht="13.2" customHeight="1" s="586">
      <c r="A120" s="1051" t="inlineStr">
        <is>
          <t>Desktop HW</t>
        </is>
      </c>
      <c r="B120" s="1052" t="inlineStr">
        <is>
          <t>BE</t>
        </is>
      </c>
      <c r="C120" s="1065" t="inlineStr">
        <is>
          <t>Printer Local Color</t>
        </is>
      </c>
      <c r="D120" s="1053" t="inlineStr">
        <is>
          <t>L</t>
        </is>
      </c>
      <c r="E120" s="1054" t="n">
        <v>366211.129252554</v>
      </c>
      <c r="F120" s="1052" t="n">
        <v>37</v>
      </c>
      <c r="G120" s="1052" t="n">
        <v>36</v>
      </c>
      <c r="H120" s="1054" t="n"/>
      <c r="I120" s="1054" t="n"/>
      <c r="J120" s="1054" t="n"/>
      <c r="K120" s="1054" t="n">
        <v>102919.975765138</v>
      </c>
      <c r="L120" s="1056" t="n">
        <v>102919.975765138</v>
      </c>
      <c r="M120" s="1064" t="n"/>
      <c r="N120" s="1064" t="n"/>
      <c r="O120" s="1064" t="n"/>
      <c r="P120" s="1064" t="n"/>
      <c r="Q120" s="1064" t="n"/>
      <c r="R120" s="1064" t="n"/>
      <c r="S120" s="1064" t="n"/>
      <c r="T120" s="1064" t="n"/>
      <c r="U120" s="1064" t="n"/>
      <c r="V120" s="1064" t="n"/>
      <c r="W120" s="1064" t="n"/>
      <c r="X120" s="1064" t="n"/>
      <c r="Y120" s="1064" t="n"/>
      <c r="Z120" s="1064" t="n"/>
      <c r="AA120" s="1064" t="n"/>
      <c r="AB120" s="1064" t="n"/>
      <c r="AC120" s="1064" t="n"/>
      <c r="AD120" s="1064" t="n"/>
      <c r="AE120" s="1064" t="n"/>
      <c r="AF120" s="1064" t="n"/>
      <c r="AG120" s="1064" t="n"/>
      <c r="AH120" s="1064" t="n"/>
      <c r="AI120" s="1064" t="n"/>
      <c r="AJ120" s="1064" t="n"/>
      <c r="AK120" s="1064" t="n"/>
      <c r="AL120" s="1064" t="n"/>
      <c r="AM120" s="1064" t="n"/>
      <c r="AN120" s="1064" t="n"/>
      <c r="AO120" s="1064" t="n"/>
      <c r="AP120" s="1064" t="n"/>
      <c r="AQ120" s="1064" t="n"/>
      <c r="AR120" s="1064" t="n"/>
      <c r="AS120" s="1064" t="n"/>
      <c r="AT120" s="1064" t="n"/>
      <c r="AU120" s="1064" t="n"/>
      <c r="AV120" s="1064" t="n"/>
      <c r="AW120" s="1064" t="n"/>
      <c r="AX120" s="1064" t="n"/>
      <c r="AY120" s="1064" t="n"/>
      <c r="AZ120" s="1064" t="n"/>
      <c r="BA120" s="1064" t="n"/>
      <c r="BB120" s="1064" t="n"/>
      <c r="BC120" s="1064" t="n"/>
      <c r="BD120" s="1064" t="n"/>
      <c r="BE120" s="1064" t="n"/>
      <c r="BF120" s="1064" t="n"/>
      <c r="BG120" s="1064" t="n"/>
      <c r="BH120" s="1064" t="n"/>
      <c r="BI120" s="1064" t="n"/>
      <c r="BJ120" s="1064" t="n"/>
      <c r="BK120" s="1064" t="n"/>
      <c r="BL120" s="1064" t="n"/>
      <c r="BM120" s="1064" t="n"/>
      <c r="BN120" s="1064" t="n"/>
      <c r="BO120" s="1064" t="n"/>
      <c r="BP120" s="1064" t="n"/>
      <c r="BQ120" s="1064" t="n"/>
      <c r="BR120" s="1064" t="n"/>
      <c r="BS120" s="1064" t="n"/>
      <c r="BT120" s="1064" t="n"/>
    </row>
    <row r="121" ht="13.2" customHeight="1" s="586">
      <c r="A121" s="1051" t="inlineStr">
        <is>
          <t>Desktop HW</t>
        </is>
      </c>
      <c r="B121" s="1052" t="inlineStr">
        <is>
          <t>BE</t>
        </is>
      </c>
      <c r="C121" s="1065" t="inlineStr">
        <is>
          <t>Printer Local Color</t>
        </is>
      </c>
      <c r="D121" s="1053" t="inlineStr">
        <is>
          <t>L</t>
        </is>
      </c>
      <c r="E121" s="1054" t="n">
        <v>366211.129252554</v>
      </c>
      <c r="F121" s="1052" t="n">
        <v>49</v>
      </c>
      <c r="G121" s="1052" t="n">
        <v>36</v>
      </c>
      <c r="H121" s="1054" t="n"/>
      <c r="I121" s="1054" t="n"/>
      <c r="J121" s="1054" t="n"/>
      <c r="K121" s="1054" t="n"/>
      <c r="L121" s="1056" t="n">
        <v>102919.975765138</v>
      </c>
      <c r="M121" s="1064" t="n"/>
      <c r="N121" s="1064" t="n"/>
      <c r="O121" s="1064" t="n"/>
      <c r="P121" s="1064" t="n"/>
      <c r="Q121" s="1064" t="n"/>
      <c r="R121" s="1064" t="n"/>
      <c r="S121" s="1064" t="n"/>
      <c r="T121" s="1064" t="n"/>
      <c r="U121" s="1064" t="n"/>
      <c r="V121" s="1064" t="n"/>
      <c r="W121" s="1064" t="n"/>
      <c r="X121" s="1064" t="n"/>
      <c r="Y121" s="1064" t="n"/>
      <c r="Z121" s="1064" t="n"/>
      <c r="AA121" s="1064" t="n"/>
      <c r="AB121" s="1064" t="n"/>
      <c r="AC121" s="1064" t="n"/>
      <c r="AD121" s="1064" t="n"/>
      <c r="AE121" s="1064" t="n"/>
      <c r="AF121" s="1064" t="n"/>
      <c r="AG121" s="1064" t="n"/>
      <c r="AH121" s="1064" t="n"/>
      <c r="AI121" s="1064" t="n"/>
      <c r="AJ121" s="1064" t="n"/>
      <c r="AK121" s="1064" t="n"/>
      <c r="AL121" s="1064" t="n"/>
      <c r="AM121" s="1064" t="n"/>
      <c r="AN121" s="1064" t="n"/>
      <c r="AO121" s="1064" t="n"/>
      <c r="AP121" s="1064" t="n"/>
      <c r="AQ121" s="1064" t="n"/>
      <c r="AR121" s="1064" t="n"/>
      <c r="AS121" s="1064" t="n"/>
      <c r="AT121" s="1064" t="n"/>
      <c r="AU121" s="1064" t="n"/>
      <c r="AV121" s="1064" t="n"/>
      <c r="AW121" s="1064" t="n"/>
      <c r="AX121" s="1064" t="n"/>
      <c r="AY121" s="1064" t="n"/>
      <c r="AZ121" s="1064" t="n"/>
      <c r="BA121" s="1064" t="n"/>
      <c r="BB121" s="1064" t="n"/>
      <c r="BC121" s="1064" t="n"/>
      <c r="BD121" s="1064" t="n"/>
      <c r="BE121" s="1064" t="n"/>
      <c r="BF121" s="1064" t="n"/>
      <c r="BG121" s="1064" t="n"/>
      <c r="BH121" s="1064" t="n"/>
      <c r="BI121" s="1064" t="n"/>
      <c r="BJ121" s="1064" t="n"/>
      <c r="BK121" s="1064" t="n"/>
      <c r="BL121" s="1064" t="n"/>
      <c r="BM121" s="1064" t="n"/>
      <c r="BN121" s="1064" t="n"/>
      <c r="BO121" s="1064" t="n"/>
      <c r="BP121" s="1064" t="n"/>
      <c r="BQ121" s="1064" t="n"/>
      <c r="BR121" s="1064" t="n"/>
      <c r="BS121" s="1064" t="n"/>
      <c r="BT121" s="1064" t="n"/>
    </row>
    <row r="122" ht="13.2" customHeight="1" s="586">
      <c r="A122" s="1051" t="inlineStr">
        <is>
          <t>Desktop HW</t>
        </is>
      </c>
      <c r="B122" s="1052" t="inlineStr">
        <is>
          <t>BE</t>
        </is>
      </c>
      <c r="C122" s="1052" t="inlineStr">
        <is>
          <t>S&amp;LB Printer Network small Mono</t>
        </is>
      </c>
      <c r="D122" s="1053" t="inlineStr">
        <is>
          <t>L</t>
        </is>
      </c>
      <c r="E122" s="1054" t="n">
        <v>0</v>
      </c>
      <c r="F122" s="1052" t="n">
        <v>1</v>
      </c>
      <c r="G122" s="1052" t="n">
        <v>36</v>
      </c>
      <c r="H122" s="1054" t="n">
        <v>82787.0544611004</v>
      </c>
      <c r="I122" s="1054" t="n"/>
      <c r="J122" s="1054" t="n"/>
      <c r="K122" s="1054" t="n"/>
      <c r="L122" s="1056" t="n"/>
      <c r="M122" s="1064" t="n"/>
      <c r="N122" s="1064" t="n"/>
      <c r="O122" s="1064" t="n"/>
      <c r="P122" s="1064" t="n"/>
      <c r="Q122" s="1064" t="n"/>
      <c r="R122" s="1064" t="n"/>
      <c r="S122" s="1064" t="n"/>
      <c r="T122" s="1064" t="n"/>
      <c r="U122" s="1064" t="n"/>
      <c r="V122" s="1064" t="n"/>
      <c r="W122" s="1064" t="n"/>
      <c r="X122" s="1064" t="n"/>
      <c r="Y122" s="1064" t="n"/>
      <c r="Z122" s="1064" t="n"/>
      <c r="AA122" s="1064" t="n"/>
      <c r="AB122" s="1064" t="n"/>
      <c r="AC122" s="1064" t="n"/>
      <c r="AD122" s="1064" t="n"/>
      <c r="AE122" s="1064" t="n"/>
      <c r="AF122" s="1064" t="n"/>
      <c r="AG122" s="1064" t="n"/>
      <c r="AH122" s="1064" t="n"/>
      <c r="AI122" s="1064" t="n"/>
      <c r="AJ122" s="1064" t="n"/>
      <c r="AK122" s="1064" t="n"/>
      <c r="AL122" s="1064" t="n"/>
      <c r="AM122" s="1064" t="n"/>
      <c r="AN122" s="1064" t="n"/>
      <c r="AO122" s="1064" t="n"/>
      <c r="AP122" s="1064" t="n"/>
      <c r="AQ122" s="1064" t="n"/>
      <c r="AR122" s="1064" t="n"/>
      <c r="AS122" s="1064" t="n"/>
      <c r="AT122" s="1064" t="n"/>
      <c r="AU122" s="1064" t="n"/>
      <c r="AV122" s="1064" t="n"/>
      <c r="AW122" s="1064" t="n"/>
      <c r="AX122" s="1064" t="n"/>
      <c r="AY122" s="1064" t="n"/>
      <c r="AZ122" s="1064" t="n"/>
      <c r="BA122" s="1064" t="n"/>
      <c r="BB122" s="1064" t="n"/>
      <c r="BC122" s="1064" t="n"/>
      <c r="BD122" s="1064" t="n"/>
      <c r="BE122" s="1064" t="n"/>
      <c r="BF122" s="1064" t="n"/>
      <c r="BG122" s="1064" t="n"/>
      <c r="BH122" s="1064" t="n"/>
      <c r="BI122" s="1064" t="n"/>
      <c r="BJ122" s="1064" t="n"/>
      <c r="BK122" s="1064" t="n"/>
      <c r="BL122" s="1064" t="n"/>
      <c r="BM122" s="1064" t="n"/>
      <c r="BN122" s="1064" t="n"/>
      <c r="BO122" s="1064" t="n"/>
      <c r="BP122" s="1064" t="n"/>
      <c r="BQ122" s="1064" t="n"/>
      <c r="BR122" s="1064" t="n"/>
      <c r="BS122" s="1064" t="n"/>
      <c r="BT122" s="1064" t="n"/>
    </row>
    <row r="123" ht="13.2" customHeight="1" s="586">
      <c r="A123" s="1051" t="inlineStr">
        <is>
          <t>Desktop HW</t>
        </is>
      </c>
      <c r="B123" s="1052" t="inlineStr">
        <is>
          <t>BE</t>
        </is>
      </c>
      <c r="C123" s="1052" t="inlineStr">
        <is>
          <t>S&amp;LB Printer Network small Mono</t>
        </is>
      </c>
      <c r="D123" s="1053" t="inlineStr">
        <is>
          <t>L</t>
        </is>
      </c>
      <c r="E123" s="1054" t="n">
        <v>0</v>
      </c>
      <c r="F123" s="1052" t="n">
        <v>1</v>
      </c>
      <c r="G123" s="1052" t="n">
        <v>36</v>
      </c>
      <c r="H123" s="1054" t="n">
        <v>82787.0544611004</v>
      </c>
      <c r="I123" s="1054" t="n">
        <v>82787.0544611004</v>
      </c>
      <c r="J123" s="1054" t="n"/>
      <c r="K123" s="1054" t="n"/>
      <c r="L123" s="1056" t="n"/>
      <c r="M123" s="1064" t="n"/>
      <c r="N123" s="1064" t="n"/>
      <c r="O123" s="1064" t="n"/>
      <c r="P123" s="1064" t="n"/>
      <c r="Q123" s="1064" t="n"/>
      <c r="R123" s="1064" t="n"/>
      <c r="S123" s="1064" t="n"/>
      <c r="T123" s="1064" t="n"/>
      <c r="U123" s="1064" t="n"/>
      <c r="V123" s="1064" t="n"/>
      <c r="W123" s="1064" t="n"/>
      <c r="X123" s="1064" t="n"/>
      <c r="Y123" s="1064" t="n"/>
      <c r="Z123" s="1064" t="n"/>
      <c r="AA123" s="1064" t="n"/>
      <c r="AB123" s="1064" t="n"/>
      <c r="AC123" s="1064" t="n"/>
      <c r="AD123" s="1064" t="n"/>
      <c r="AE123" s="1064" t="n"/>
      <c r="AF123" s="1064" t="n"/>
      <c r="AG123" s="1064" t="n"/>
      <c r="AH123" s="1064" t="n"/>
      <c r="AI123" s="1064" t="n"/>
      <c r="AJ123" s="1064" t="n"/>
      <c r="AK123" s="1064" t="n"/>
      <c r="AL123" s="1064" t="n"/>
      <c r="AM123" s="1064" t="n"/>
      <c r="AN123" s="1064" t="n"/>
      <c r="AO123" s="1064" t="n"/>
      <c r="AP123" s="1064" t="n"/>
      <c r="AQ123" s="1064" t="n"/>
      <c r="AR123" s="1064" t="n"/>
      <c r="AS123" s="1064" t="n"/>
      <c r="AT123" s="1064" t="n"/>
      <c r="AU123" s="1064" t="n"/>
      <c r="AV123" s="1064" t="n"/>
      <c r="AW123" s="1064" t="n"/>
      <c r="AX123" s="1064" t="n"/>
      <c r="AY123" s="1064" t="n"/>
      <c r="AZ123" s="1064" t="n"/>
      <c r="BA123" s="1064" t="n"/>
      <c r="BB123" s="1064" t="n"/>
      <c r="BC123" s="1064" t="n"/>
      <c r="BD123" s="1064" t="n"/>
      <c r="BE123" s="1064" t="n"/>
      <c r="BF123" s="1064" t="n"/>
      <c r="BG123" s="1064" t="n"/>
      <c r="BH123" s="1064" t="n"/>
      <c r="BI123" s="1064" t="n"/>
      <c r="BJ123" s="1064" t="n"/>
      <c r="BK123" s="1064" t="n"/>
      <c r="BL123" s="1064" t="n"/>
      <c r="BM123" s="1064" t="n"/>
      <c r="BN123" s="1064" t="n"/>
      <c r="BO123" s="1064" t="n"/>
      <c r="BP123" s="1064" t="n"/>
      <c r="BQ123" s="1064" t="n"/>
      <c r="BR123" s="1064" t="n"/>
      <c r="BS123" s="1064" t="n"/>
      <c r="BT123" s="1064" t="n"/>
    </row>
    <row r="124" ht="13.2" customHeight="1" s="586">
      <c r="A124" s="1051" t="inlineStr">
        <is>
          <t>Desktop HW</t>
        </is>
      </c>
      <c r="B124" s="1052" t="inlineStr">
        <is>
          <t>BE</t>
        </is>
      </c>
      <c r="C124" s="1065" t="inlineStr">
        <is>
          <t>Printer Network small Mono</t>
        </is>
      </c>
      <c r="D124" s="1053" t="inlineStr">
        <is>
          <t>L</t>
        </is>
      </c>
      <c r="E124" s="1054" t="n">
        <v>294573.919944138</v>
      </c>
      <c r="F124" s="1052" t="n">
        <v>1</v>
      </c>
      <c r="G124" s="1052" t="n">
        <v>36</v>
      </c>
      <c r="H124" s="1054" t="n">
        <v>82787.0544611004</v>
      </c>
      <c r="I124" s="1054" t="n">
        <v>82787.0544611004</v>
      </c>
      <c r="J124" s="1054" t="n">
        <v>82787.0544611004</v>
      </c>
      <c r="K124" s="1054" t="n"/>
      <c r="L124" s="1056" t="n"/>
      <c r="M124" s="1064" t="n"/>
      <c r="N124" s="1064" t="n"/>
      <c r="O124" s="1064" t="n"/>
      <c r="P124" s="1064" t="n"/>
      <c r="Q124" s="1064" t="n"/>
      <c r="R124" s="1064" t="n"/>
      <c r="S124" s="1064" t="n"/>
      <c r="T124" s="1064" t="n"/>
      <c r="U124" s="1064" t="n"/>
      <c r="V124" s="1064" t="n"/>
      <c r="W124" s="1064" t="n"/>
      <c r="X124" s="1064" t="n"/>
      <c r="Y124" s="1064" t="n"/>
      <c r="Z124" s="1064" t="n"/>
      <c r="AA124" s="1064" t="n"/>
      <c r="AB124" s="1064" t="n"/>
      <c r="AC124" s="1064" t="n"/>
      <c r="AD124" s="1064" t="n"/>
      <c r="AE124" s="1064" t="n"/>
      <c r="AF124" s="1064" t="n"/>
      <c r="AG124" s="1064" t="n"/>
      <c r="AH124" s="1064" t="n"/>
      <c r="AI124" s="1064" t="n"/>
      <c r="AJ124" s="1064" t="n"/>
      <c r="AK124" s="1064" t="n"/>
      <c r="AL124" s="1064" t="n"/>
      <c r="AM124" s="1064" t="n"/>
      <c r="AN124" s="1064" t="n"/>
      <c r="AO124" s="1064" t="n"/>
      <c r="AP124" s="1064" t="n"/>
      <c r="AQ124" s="1064" t="n"/>
      <c r="AR124" s="1064" t="n"/>
      <c r="AS124" s="1064" t="n"/>
      <c r="AT124" s="1064" t="n"/>
      <c r="AU124" s="1064" t="n"/>
      <c r="AV124" s="1064" t="n"/>
      <c r="AW124" s="1064" t="n"/>
      <c r="AX124" s="1064" t="n"/>
      <c r="AY124" s="1064" t="n"/>
      <c r="AZ124" s="1064" t="n"/>
      <c r="BA124" s="1064" t="n"/>
      <c r="BB124" s="1064" t="n"/>
      <c r="BC124" s="1064" t="n"/>
      <c r="BD124" s="1064" t="n"/>
      <c r="BE124" s="1064" t="n"/>
      <c r="BF124" s="1064" t="n"/>
      <c r="BG124" s="1064" t="n"/>
      <c r="BH124" s="1064" t="n"/>
      <c r="BI124" s="1064" t="n"/>
      <c r="BJ124" s="1064" t="n"/>
      <c r="BK124" s="1064" t="n"/>
      <c r="BL124" s="1064" t="n"/>
      <c r="BM124" s="1064" t="n"/>
      <c r="BN124" s="1064" t="n"/>
      <c r="BO124" s="1064" t="n"/>
      <c r="BP124" s="1064" t="n"/>
      <c r="BQ124" s="1064" t="n"/>
      <c r="BR124" s="1064" t="n"/>
      <c r="BS124" s="1064" t="n"/>
      <c r="BT124" s="1064" t="n"/>
    </row>
    <row r="125" ht="13.2" customHeight="1" s="586">
      <c r="A125" s="1051" t="inlineStr">
        <is>
          <t>Desktop HW</t>
        </is>
      </c>
      <c r="B125" s="1052" t="inlineStr">
        <is>
          <t>BE</t>
        </is>
      </c>
      <c r="C125" s="1065" t="inlineStr">
        <is>
          <t>Printer Network small Mono</t>
        </is>
      </c>
      <c r="D125" s="1053" t="inlineStr">
        <is>
          <t>L</t>
        </is>
      </c>
      <c r="E125" s="1054" t="n">
        <v>294573.919944138</v>
      </c>
      <c r="F125" s="1052" t="n">
        <v>13</v>
      </c>
      <c r="G125" s="1052" t="n">
        <v>36</v>
      </c>
      <c r="H125" s="1054" t="n"/>
      <c r="I125" s="1054" t="n">
        <v>82787.0544611004</v>
      </c>
      <c r="J125" s="1054" t="n">
        <v>82787.0544611004</v>
      </c>
      <c r="K125" s="1054" t="n">
        <v>82787.0544611004</v>
      </c>
      <c r="L125" s="1056" t="n"/>
      <c r="M125" s="1064" t="n"/>
      <c r="N125" s="1064" t="n"/>
      <c r="O125" s="1064" t="n"/>
      <c r="P125" s="1064" t="n"/>
      <c r="Q125" s="1064" t="n"/>
      <c r="R125" s="1064" t="n"/>
      <c r="S125" s="1064" t="n"/>
      <c r="T125" s="1064" t="n"/>
      <c r="U125" s="1064" t="n"/>
      <c r="V125" s="1064" t="n"/>
      <c r="W125" s="1064" t="n"/>
      <c r="X125" s="1064" t="n"/>
      <c r="Y125" s="1064" t="n"/>
      <c r="Z125" s="1064" t="n"/>
      <c r="AA125" s="1064" t="n"/>
      <c r="AB125" s="1064" t="n"/>
      <c r="AC125" s="1064" t="n"/>
      <c r="AD125" s="1064" t="n"/>
      <c r="AE125" s="1064" t="n"/>
      <c r="AF125" s="1064" t="n"/>
      <c r="AG125" s="1064" t="n"/>
      <c r="AH125" s="1064" t="n"/>
      <c r="AI125" s="1064" t="n"/>
      <c r="AJ125" s="1064" t="n"/>
      <c r="AK125" s="1064" t="n"/>
      <c r="AL125" s="1064" t="n"/>
      <c r="AM125" s="1064" t="n"/>
      <c r="AN125" s="1064" t="n"/>
      <c r="AO125" s="1064" t="n"/>
      <c r="AP125" s="1064" t="n"/>
      <c r="AQ125" s="1064" t="n"/>
      <c r="AR125" s="1064" t="n"/>
      <c r="AS125" s="1064" t="n"/>
      <c r="AT125" s="1064" t="n"/>
      <c r="AU125" s="1064" t="n"/>
      <c r="AV125" s="1064" t="n"/>
      <c r="AW125" s="1064" t="n"/>
      <c r="AX125" s="1064" t="n"/>
      <c r="AY125" s="1064" t="n"/>
      <c r="AZ125" s="1064" t="n"/>
      <c r="BA125" s="1064" t="n"/>
      <c r="BB125" s="1064" t="n"/>
      <c r="BC125" s="1064" t="n"/>
      <c r="BD125" s="1064" t="n"/>
      <c r="BE125" s="1064" t="n"/>
      <c r="BF125" s="1064" t="n"/>
      <c r="BG125" s="1064" t="n"/>
      <c r="BH125" s="1064" t="n"/>
      <c r="BI125" s="1064" t="n"/>
      <c r="BJ125" s="1064" t="n"/>
      <c r="BK125" s="1064" t="n"/>
      <c r="BL125" s="1064" t="n"/>
      <c r="BM125" s="1064" t="n"/>
      <c r="BN125" s="1064" t="n"/>
      <c r="BO125" s="1064" t="n"/>
      <c r="BP125" s="1064" t="n"/>
      <c r="BQ125" s="1064" t="n"/>
      <c r="BR125" s="1064" t="n"/>
      <c r="BS125" s="1064" t="n"/>
      <c r="BT125" s="1064" t="n"/>
    </row>
    <row r="126" ht="13.2" customHeight="1" s="586">
      <c r="A126" s="1051" t="inlineStr">
        <is>
          <t>Desktop HW</t>
        </is>
      </c>
      <c r="B126" s="1052" t="inlineStr">
        <is>
          <t>BE</t>
        </is>
      </c>
      <c r="C126" s="1065" t="inlineStr">
        <is>
          <t>Printer Network small Mono</t>
        </is>
      </c>
      <c r="D126" s="1053" t="inlineStr">
        <is>
          <t>L</t>
        </is>
      </c>
      <c r="E126" s="1054" t="n">
        <v>294573.919944138</v>
      </c>
      <c r="F126" s="1052" t="n">
        <v>25</v>
      </c>
      <c r="G126" s="1052" t="n">
        <v>36</v>
      </c>
      <c r="H126" s="1054" t="n"/>
      <c r="I126" s="1054" t="n"/>
      <c r="J126" s="1054" t="n">
        <v>82787.0544611004</v>
      </c>
      <c r="K126" s="1054" t="n">
        <v>82787.0544611004</v>
      </c>
      <c r="L126" s="1056" t="n">
        <v>82787.0544611004</v>
      </c>
      <c r="M126" s="1064" t="n"/>
      <c r="N126" s="1064" t="n"/>
      <c r="O126" s="1064" t="n"/>
      <c r="P126" s="1064" t="n"/>
      <c r="Q126" s="1064" t="n"/>
      <c r="R126" s="1064" t="n"/>
      <c r="S126" s="1064" t="n"/>
      <c r="T126" s="1064" t="n"/>
      <c r="U126" s="1064" t="n"/>
      <c r="V126" s="1064" t="n"/>
      <c r="W126" s="1064" t="n"/>
      <c r="X126" s="1064" t="n"/>
      <c r="Y126" s="1064" t="n"/>
      <c r="Z126" s="1064" t="n"/>
      <c r="AA126" s="1064" t="n"/>
      <c r="AB126" s="1064" t="n"/>
      <c r="AC126" s="1064" t="n"/>
      <c r="AD126" s="1064" t="n"/>
      <c r="AE126" s="1064" t="n"/>
      <c r="AF126" s="1064" t="n"/>
      <c r="AG126" s="1064" t="n"/>
      <c r="AH126" s="1064" t="n"/>
      <c r="AI126" s="1064" t="n"/>
      <c r="AJ126" s="1064" t="n"/>
      <c r="AK126" s="1064" t="n"/>
      <c r="AL126" s="1064" t="n"/>
      <c r="AM126" s="1064" t="n"/>
      <c r="AN126" s="1064" t="n"/>
      <c r="AO126" s="1064" t="n"/>
      <c r="AP126" s="1064" t="n"/>
      <c r="AQ126" s="1064" t="n"/>
      <c r="AR126" s="1064" t="n"/>
      <c r="AS126" s="1064" t="n"/>
      <c r="AT126" s="1064" t="n"/>
      <c r="AU126" s="1064" t="n"/>
      <c r="AV126" s="1064" t="n"/>
      <c r="AW126" s="1064" t="n"/>
      <c r="AX126" s="1064" t="n"/>
      <c r="AY126" s="1064" t="n"/>
      <c r="AZ126" s="1064" t="n"/>
      <c r="BA126" s="1064" t="n"/>
      <c r="BB126" s="1064" t="n"/>
      <c r="BC126" s="1064" t="n"/>
      <c r="BD126" s="1064" t="n"/>
      <c r="BE126" s="1064" t="n"/>
      <c r="BF126" s="1064" t="n"/>
      <c r="BG126" s="1064" t="n"/>
      <c r="BH126" s="1064" t="n"/>
      <c r="BI126" s="1064" t="n"/>
      <c r="BJ126" s="1064" t="n"/>
      <c r="BK126" s="1064" t="n"/>
      <c r="BL126" s="1064" t="n"/>
      <c r="BM126" s="1064" t="n"/>
      <c r="BN126" s="1064" t="n"/>
      <c r="BO126" s="1064" t="n"/>
      <c r="BP126" s="1064" t="n"/>
      <c r="BQ126" s="1064" t="n"/>
      <c r="BR126" s="1064" t="n"/>
      <c r="BS126" s="1064" t="n"/>
      <c r="BT126" s="1064" t="n"/>
    </row>
    <row r="127" ht="13.2" customHeight="1" s="586">
      <c r="A127" s="1051" t="inlineStr">
        <is>
          <t>Desktop HW</t>
        </is>
      </c>
      <c r="B127" s="1052" t="inlineStr">
        <is>
          <t>BE</t>
        </is>
      </c>
      <c r="C127" s="1065" t="inlineStr">
        <is>
          <t>Printer Network small Mono</t>
        </is>
      </c>
      <c r="D127" s="1053" t="inlineStr">
        <is>
          <t>L</t>
        </is>
      </c>
      <c r="E127" s="1054" t="n">
        <v>294573.919944138</v>
      </c>
      <c r="F127" s="1052" t="n">
        <v>37</v>
      </c>
      <c r="G127" s="1052" t="n">
        <v>36</v>
      </c>
      <c r="H127" s="1054" t="n"/>
      <c r="I127" s="1054" t="n"/>
      <c r="J127" s="1054" t="n"/>
      <c r="K127" s="1054" t="n">
        <v>82787.0544611004</v>
      </c>
      <c r="L127" s="1056" t="n">
        <v>82787.0544611004</v>
      </c>
      <c r="M127" s="1064" t="n"/>
      <c r="N127" s="1064" t="n"/>
      <c r="O127" s="1064" t="n"/>
      <c r="P127" s="1064" t="n"/>
      <c r="Q127" s="1064" t="n"/>
      <c r="R127" s="1064" t="n"/>
      <c r="S127" s="1064" t="n"/>
      <c r="T127" s="1064" t="n"/>
      <c r="U127" s="1064" t="n"/>
      <c r="V127" s="1064" t="n"/>
      <c r="W127" s="1064" t="n"/>
      <c r="X127" s="1064" t="n"/>
      <c r="Y127" s="1064" t="n"/>
      <c r="Z127" s="1064" t="n"/>
      <c r="AA127" s="1064" t="n"/>
      <c r="AB127" s="1064" t="n"/>
      <c r="AC127" s="1064" t="n"/>
      <c r="AD127" s="1064" t="n"/>
      <c r="AE127" s="1064" t="n"/>
      <c r="AF127" s="1064" t="n"/>
      <c r="AG127" s="1064" t="n"/>
      <c r="AH127" s="1064" t="n"/>
      <c r="AI127" s="1064" t="n"/>
      <c r="AJ127" s="1064" t="n"/>
      <c r="AK127" s="1064" t="n"/>
      <c r="AL127" s="1064" t="n"/>
      <c r="AM127" s="1064" t="n"/>
      <c r="AN127" s="1064" t="n"/>
      <c r="AO127" s="1064" t="n"/>
      <c r="AP127" s="1064" t="n"/>
      <c r="AQ127" s="1064" t="n"/>
      <c r="AR127" s="1064" t="n"/>
      <c r="AS127" s="1064" t="n"/>
      <c r="AT127" s="1064" t="n"/>
      <c r="AU127" s="1064" t="n"/>
      <c r="AV127" s="1064" t="n"/>
      <c r="AW127" s="1064" t="n"/>
      <c r="AX127" s="1064" t="n"/>
      <c r="AY127" s="1064" t="n"/>
      <c r="AZ127" s="1064" t="n"/>
      <c r="BA127" s="1064" t="n"/>
      <c r="BB127" s="1064" t="n"/>
      <c r="BC127" s="1064" t="n"/>
      <c r="BD127" s="1064" t="n"/>
      <c r="BE127" s="1064" t="n"/>
      <c r="BF127" s="1064" t="n"/>
      <c r="BG127" s="1064" t="n"/>
      <c r="BH127" s="1064" t="n"/>
      <c r="BI127" s="1064" t="n"/>
      <c r="BJ127" s="1064" t="n"/>
      <c r="BK127" s="1064" t="n"/>
      <c r="BL127" s="1064" t="n"/>
      <c r="BM127" s="1064" t="n"/>
      <c r="BN127" s="1064" t="n"/>
      <c r="BO127" s="1064" t="n"/>
      <c r="BP127" s="1064" t="n"/>
      <c r="BQ127" s="1064" t="n"/>
      <c r="BR127" s="1064" t="n"/>
      <c r="BS127" s="1064" t="n"/>
      <c r="BT127" s="1064" t="n"/>
    </row>
    <row r="128" ht="13.2" customHeight="1" s="586">
      <c r="A128" s="1051" t="inlineStr">
        <is>
          <t>Desktop HW</t>
        </is>
      </c>
      <c r="B128" s="1052" t="inlineStr">
        <is>
          <t>BE</t>
        </is>
      </c>
      <c r="C128" s="1065" t="inlineStr">
        <is>
          <t>Printer Network small Mono</t>
        </is>
      </c>
      <c r="D128" s="1053" t="inlineStr">
        <is>
          <t>L</t>
        </is>
      </c>
      <c r="E128" s="1054" t="n">
        <v>294573.919944138</v>
      </c>
      <c r="F128" s="1052" t="n">
        <v>49</v>
      </c>
      <c r="G128" s="1052" t="n">
        <v>36</v>
      </c>
      <c r="H128" s="1054" t="n"/>
      <c r="I128" s="1054" t="n"/>
      <c r="J128" s="1054" t="n"/>
      <c r="K128" s="1054" t="n"/>
      <c r="L128" s="1056" t="n">
        <v>82787.0544611004</v>
      </c>
      <c r="M128" s="1064" t="n"/>
      <c r="N128" s="1064" t="n"/>
      <c r="O128" s="1064" t="n"/>
      <c r="P128" s="1064" t="n"/>
      <c r="Q128" s="1064" t="n"/>
      <c r="R128" s="1064" t="n"/>
      <c r="S128" s="1064" t="n"/>
      <c r="T128" s="1064" t="n"/>
      <c r="U128" s="1064" t="n"/>
      <c r="V128" s="1064" t="n"/>
      <c r="W128" s="1064" t="n"/>
      <c r="X128" s="1064" t="n"/>
      <c r="Y128" s="1064" t="n"/>
      <c r="Z128" s="1064" t="n"/>
      <c r="AA128" s="1064" t="n"/>
      <c r="AB128" s="1064" t="n"/>
      <c r="AC128" s="1064" t="n"/>
      <c r="AD128" s="1064" t="n"/>
      <c r="AE128" s="1064" t="n"/>
      <c r="AF128" s="1064" t="n"/>
      <c r="AG128" s="1064" t="n"/>
      <c r="AH128" s="1064" t="n"/>
      <c r="AI128" s="1064" t="n"/>
      <c r="AJ128" s="1064" t="n"/>
      <c r="AK128" s="1064" t="n"/>
      <c r="AL128" s="1064" t="n"/>
      <c r="AM128" s="1064" t="n"/>
      <c r="AN128" s="1064" t="n"/>
      <c r="AO128" s="1064" t="n"/>
      <c r="AP128" s="1064" t="n"/>
      <c r="AQ128" s="1064" t="n"/>
      <c r="AR128" s="1064" t="n"/>
      <c r="AS128" s="1064" t="n"/>
      <c r="AT128" s="1064" t="n"/>
      <c r="AU128" s="1064" t="n"/>
      <c r="AV128" s="1064" t="n"/>
      <c r="AW128" s="1064" t="n"/>
      <c r="AX128" s="1064" t="n"/>
      <c r="AY128" s="1064" t="n"/>
      <c r="AZ128" s="1064" t="n"/>
      <c r="BA128" s="1064" t="n"/>
      <c r="BB128" s="1064" t="n"/>
      <c r="BC128" s="1064" t="n"/>
      <c r="BD128" s="1064" t="n"/>
      <c r="BE128" s="1064" t="n"/>
      <c r="BF128" s="1064" t="n"/>
      <c r="BG128" s="1064" t="n"/>
      <c r="BH128" s="1064" t="n"/>
      <c r="BI128" s="1064" t="n"/>
      <c r="BJ128" s="1064" t="n"/>
      <c r="BK128" s="1064" t="n"/>
      <c r="BL128" s="1064" t="n"/>
      <c r="BM128" s="1064" t="n"/>
      <c r="BN128" s="1064" t="n"/>
      <c r="BO128" s="1064" t="n"/>
      <c r="BP128" s="1064" t="n"/>
      <c r="BQ128" s="1064" t="n"/>
      <c r="BR128" s="1064" t="n"/>
      <c r="BS128" s="1064" t="n"/>
      <c r="BT128" s="1064" t="n"/>
    </row>
    <row r="129" ht="13.2" customHeight="1" s="586">
      <c r="A129" s="1051" t="inlineStr">
        <is>
          <t>Desktop HW</t>
        </is>
      </c>
      <c r="B129" s="1052" t="inlineStr">
        <is>
          <t>BE</t>
        </is>
      </c>
      <c r="C129" s="1052" t="inlineStr">
        <is>
          <t>S&amp;LB Printer Network small Color</t>
        </is>
      </c>
      <c r="D129" s="1053" t="inlineStr">
        <is>
          <t>L</t>
        </is>
      </c>
      <c r="E129" s="1054" t="n">
        <v>0</v>
      </c>
      <c r="F129" s="1052" t="n">
        <v>1</v>
      </c>
      <c r="G129" s="1052" t="n">
        <v>36</v>
      </c>
      <c r="H129" s="1054" t="n">
        <v>184309.615345624</v>
      </c>
      <c r="I129" s="1054" t="n"/>
      <c r="J129" s="1054" t="n"/>
      <c r="K129" s="1054" t="n"/>
      <c r="L129" s="1056" t="n"/>
      <c r="M129" s="1064" t="n"/>
      <c r="N129" s="1064" t="n"/>
      <c r="O129" s="1064" t="n"/>
      <c r="P129" s="1064" t="n"/>
      <c r="Q129" s="1064" t="n"/>
      <c r="R129" s="1064" t="n"/>
      <c r="S129" s="1064" t="n"/>
      <c r="T129" s="1064" t="n"/>
      <c r="U129" s="1064" t="n"/>
      <c r="V129" s="1064" t="n"/>
      <c r="W129" s="1064" t="n"/>
      <c r="X129" s="1064" t="n"/>
      <c r="Y129" s="1064" t="n"/>
      <c r="Z129" s="1064" t="n"/>
      <c r="AA129" s="1064" t="n"/>
      <c r="AB129" s="1064" t="n"/>
      <c r="AC129" s="1064" t="n"/>
      <c r="AD129" s="1064" t="n"/>
      <c r="AE129" s="1064" t="n"/>
      <c r="AF129" s="1064" t="n"/>
      <c r="AG129" s="1064" t="n"/>
      <c r="AH129" s="1064" t="n"/>
      <c r="AI129" s="1064" t="n"/>
      <c r="AJ129" s="1064" t="n"/>
      <c r="AK129" s="1064" t="n"/>
      <c r="AL129" s="1064" t="n"/>
      <c r="AM129" s="1064" t="n"/>
      <c r="AN129" s="1064" t="n"/>
      <c r="AO129" s="1064" t="n"/>
      <c r="AP129" s="1064" t="n"/>
      <c r="AQ129" s="1064" t="n"/>
      <c r="AR129" s="1064" t="n"/>
      <c r="AS129" s="1064" t="n"/>
      <c r="AT129" s="1064" t="n"/>
      <c r="AU129" s="1064" t="n"/>
      <c r="AV129" s="1064" t="n"/>
      <c r="AW129" s="1064" t="n"/>
      <c r="AX129" s="1064" t="n"/>
      <c r="AY129" s="1064" t="n"/>
      <c r="AZ129" s="1064" t="n"/>
      <c r="BA129" s="1064" t="n"/>
      <c r="BB129" s="1064" t="n"/>
      <c r="BC129" s="1064" t="n"/>
      <c r="BD129" s="1064" t="n"/>
      <c r="BE129" s="1064" t="n"/>
      <c r="BF129" s="1064" t="n"/>
      <c r="BG129" s="1064" t="n"/>
      <c r="BH129" s="1064" t="n"/>
      <c r="BI129" s="1064" t="n"/>
      <c r="BJ129" s="1064" t="n"/>
      <c r="BK129" s="1064" t="n"/>
      <c r="BL129" s="1064" t="n"/>
      <c r="BM129" s="1064" t="n"/>
      <c r="BN129" s="1064" t="n"/>
      <c r="BO129" s="1064" t="n"/>
      <c r="BP129" s="1064" t="n"/>
      <c r="BQ129" s="1064" t="n"/>
      <c r="BR129" s="1064" t="n"/>
      <c r="BS129" s="1064" t="n"/>
      <c r="BT129" s="1064" t="n"/>
    </row>
    <row r="130" ht="13.2" customHeight="1" s="586">
      <c r="A130" s="1051" t="inlineStr">
        <is>
          <t>Desktop HW</t>
        </is>
      </c>
      <c r="B130" s="1052" t="inlineStr">
        <is>
          <t>BE</t>
        </is>
      </c>
      <c r="C130" s="1052" t="inlineStr">
        <is>
          <t>S&amp;LB Printer Network small Color</t>
        </is>
      </c>
      <c r="D130" s="1053" t="inlineStr">
        <is>
          <t>L</t>
        </is>
      </c>
      <c r="E130" s="1054" t="n">
        <v>0</v>
      </c>
      <c r="F130" s="1052" t="n">
        <v>1</v>
      </c>
      <c r="G130" s="1052" t="n">
        <v>36</v>
      </c>
      <c r="H130" s="1054" t="n">
        <v>184309.615345624</v>
      </c>
      <c r="I130" s="1054" t="n">
        <v>184309.615345624</v>
      </c>
      <c r="J130" s="1054" t="n"/>
      <c r="K130" s="1054" t="n"/>
      <c r="L130" s="1056" t="n"/>
      <c r="M130" s="1064" t="n"/>
      <c r="N130" s="1064" t="n"/>
      <c r="O130" s="1064" t="n"/>
      <c r="P130" s="1064" t="n"/>
      <c r="Q130" s="1064" t="n"/>
      <c r="R130" s="1064" t="n"/>
      <c r="S130" s="1064" t="n"/>
      <c r="T130" s="1064" t="n"/>
      <c r="U130" s="1064" t="n"/>
      <c r="V130" s="1064" t="n"/>
      <c r="W130" s="1064" t="n"/>
      <c r="X130" s="1064" t="n"/>
      <c r="Y130" s="1064" t="n"/>
      <c r="Z130" s="1064" t="n"/>
      <c r="AA130" s="1064" t="n"/>
      <c r="AB130" s="1064" t="n"/>
      <c r="AC130" s="1064" t="n"/>
      <c r="AD130" s="1064" t="n"/>
      <c r="AE130" s="1064" t="n"/>
      <c r="AF130" s="1064" t="n"/>
      <c r="AG130" s="1064" t="n"/>
      <c r="AH130" s="1064" t="n"/>
      <c r="AI130" s="1064" t="n"/>
      <c r="AJ130" s="1064" t="n"/>
      <c r="AK130" s="1064" t="n"/>
      <c r="AL130" s="1064" t="n"/>
      <c r="AM130" s="1064" t="n"/>
      <c r="AN130" s="1064" t="n"/>
      <c r="AO130" s="1064" t="n"/>
      <c r="AP130" s="1064" t="n"/>
      <c r="AQ130" s="1064" t="n"/>
      <c r="AR130" s="1064" t="n"/>
      <c r="AS130" s="1064" t="n"/>
      <c r="AT130" s="1064" t="n"/>
      <c r="AU130" s="1064" t="n"/>
      <c r="AV130" s="1064" t="n"/>
      <c r="AW130" s="1064" t="n"/>
      <c r="AX130" s="1064" t="n"/>
      <c r="AY130" s="1064" t="n"/>
      <c r="AZ130" s="1064" t="n"/>
      <c r="BA130" s="1064" t="n"/>
      <c r="BB130" s="1064" t="n"/>
      <c r="BC130" s="1064" t="n"/>
      <c r="BD130" s="1064" t="n"/>
      <c r="BE130" s="1064" t="n"/>
      <c r="BF130" s="1064" t="n"/>
      <c r="BG130" s="1064" t="n"/>
      <c r="BH130" s="1064" t="n"/>
      <c r="BI130" s="1064" t="n"/>
      <c r="BJ130" s="1064" t="n"/>
      <c r="BK130" s="1064" t="n"/>
      <c r="BL130" s="1064" t="n"/>
      <c r="BM130" s="1064" t="n"/>
      <c r="BN130" s="1064" t="n"/>
      <c r="BO130" s="1064" t="n"/>
      <c r="BP130" s="1064" t="n"/>
      <c r="BQ130" s="1064" t="n"/>
      <c r="BR130" s="1064" t="n"/>
      <c r="BS130" s="1064" t="n"/>
      <c r="BT130" s="1064" t="n"/>
    </row>
    <row r="131" ht="13.2" customHeight="1" s="586">
      <c r="A131" s="1051" t="inlineStr">
        <is>
          <t>Desktop HW</t>
        </is>
      </c>
      <c r="B131" s="1052" t="inlineStr">
        <is>
          <t>BE</t>
        </is>
      </c>
      <c r="C131" s="1052" t="inlineStr">
        <is>
          <t>Printer Network small Color</t>
        </is>
      </c>
      <c r="D131" s="1053" t="inlineStr">
        <is>
          <t>L</t>
        </is>
      </c>
      <c r="E131" s="1054" t="n">
        <v>655812.750304669</v>
      </c>
      <c r="F131" s="1052" t="n">
        <v>1</v>
      </c>
      <c r="G131" s="1052" t="n">
        <v>36</v>
      </c>
      <c r="H131" s="1054" t="n">
        <v>184309.615345624</v>
      </c>
      <c r="I131" s="1054" t="n">
        <v>184309.615345624</v>
      </c>
      <c r="J131" s="1054" t="n">
        <v>184309.615345624</v>
      </c>
      <c r="K131" s="1054" t="n"/>
      <c r="L131" s="1056" t="n"/>
      <c r="M131" s="1064" t="n"/>
      <c r="N131" s="1064" t="n"/>
      <c r="O131" s="1064" t="n"/>
      <c r="P131" s="1064" t="n"/>
      <c r="Q131" s="1064" t="n"/>
      <c r="R131" s="1064" t="n"/>
      <c r="S131" s="1064" t="n"/>
      <c r="T131" s="1064" t="n"/>
      <c r="U131" s="1064" t="n"/>
      <c r="V131" s="1064" t="n"/>
      <c r="W131" s="1064" t="n"/>
      <c r="X131" s="1064" t="n"/>
      <c r="Y131" s="1064" t="n"/>
      <c r="Z131" s="1064" t="n"/>
      <c r="AA131" s="1064" t="n"/>
      <c r="AB131" s="1064" t="n"/>
      <c r="AC131" s="1064" t="n"/>
      <c r="AD131" s="1064" t="n"/>
      <c r="AE131" s="1064" t="n"/>
      <c r="AF131" s="1064" t="n"/>
      <c r="AG131" s="1064" t="n"/>
      <c r="AH131" s="1064" t="n"/>
      <c r="AI131" s="1064" t="n"/>
      <c r="AJ131" s="1064" t="n"/>
      <c r="AK131" s="1064" t="n"/>
      <c r="AL131" s="1064" t="n"/>
      <c r="AM131" s="1064" t="n"/>
      <c r="AN131" s="1064" t="n"/>
      <c r="AO131" s="1064" t="n"/>
      <c r="AP131" s="1064" t="n"/>
      <c r="AQ131" s="1064" t="n"/>
      <c r="AR131" s="1064" t="n"/>
      <c r="AS131" s="1064" t="n"/>
      <c r="AT131" s="1064" t="n"/>
      <c r="AU131" s="1064" t="n"/>
      <c r="AV131" s="1064" t="n"/>
      <c r="AW131" s="1064" t="n"/>
      <c r="AX131" s="1064" t="n"/>
      <c r="AY131" s="1064" t="n"/>
      <c r="AZ131" s="1064" t="n"/>
      <c r="BA131" s="1064" t="n"/>
      <c r="BB131" s="1064" t="n"/>
      <c r="BC131" s="1064" t="n"/>
      <c r="BD131" s="1064" t="n"/>
      <c r="BE131" s="1064" t="n"/>
      <c r="BF131" s="1064" t="n"/>
      <c r="BG131" s="1064" t="n"/>
      <c r="BH131" s="1064" t="n"/>
      <c r="BI131" s="1064" t="n"/>
      <c r="BJ131" s="1064" t="n"/>
      <c r="BK131" s="1064" t="n"/>
      <c r="BL131" s="1064" t="n"/>
      <c r="BM131" s="1064" t="n"/>
      <c r="BN131" s="1064" t="n"/>
      <c r="BO131" s="1064" t="n"/>
      <c r="BP131" s="1064" t="n"/>
      <c r="BQ131" s="1064" t="n"/>
      <c r="BR131" s="1064" t="n"/>
      <c r="BS131" s="1064" t="n"/>
      <c r="BT131" s="1064" t="n"/>
    </row>
    <row r="132" ht="13.2" customHeight="1" s="586">
      <c r="A132" s="1051" t="inlineStr">
        <is>
          <t>Desktop HW</t>
        </is>
      </c>
      <c r="B132" s="1052" t="inlineStr">
        <is>
          <t>BE</t>
        </is>
      </c>
      <c r="C132" s="1052" t="inlineStr">
        <is>
          <t>Printer Network small Color</t>
        </is>
      </c>
      <c r="D132" s="1053" t="inlineStr">
        <is>
          <t>L</t>
        </is>
      </c>
      <c r="E132" s="1054" t="n">
        <v>655812.750304669</v>
      </c>
      <c r="F132" s="1052" t="n">
        <v>13</v>
      </c>
      <c r="G132" s="1052" t="n">
        <v>36</v>
      </c>
      <c r="H132" s="1054" t="n"/>
      <c r="I132" s="1054" t="n">
        <v>184309.615345624</v>
      </c>
      <c r="J132" s="1054" t="n">
        <v>184309.615345624</v>
      </c>
      <c r="K132" s="1054" t="n">
        <v>184309.615345624</v>
      </c>
      <c r="L132" s="1056" t="n"/>
      <c r="M132" s="1064" t="n"/>
      <c r="N132" s="1064" t="n"/>
      <c r="O132" s="1064" t="n"/>
      <c r="P132" s="1064" t="n"/>
      <c r="Q132" s="1064" t="n"/>
      <c r="R132" s="1064" t="n"/>
      <c r="S132" s="1064" t="n"/>
      <c r="T132" s="1064" t="n"/>
      <c r="U132" s="1064" t="n"/>
      <c r="V132" s="1064" t="n"/>
      <c r="W132" s="1064" t="n"/>
      <c r="X132" s="1064" t="n"/>
      <c r="Y132" s="1064" t="n"/>
      <c r="Z132" s="1064" t="n"/>
      <c r="AA132" s="1064" t="n"/>
      <c r="AB132" s="1064" t="n"/>
      <c r="AC132" s="1064" t="n"/>
      <c r="AD132" s="1064" t="n"/>
      <c r="AE132" s="1064" t="n"/>
      <c r="AF132" s="1064" t="n"/>
      <c r="AG132" s="1064" t="n"/>
      <c r="AH132" s="1064" t="n"/>
      <c r="AI132" s="1064" t="n"/>
      <c r="AJ132" s="1064" t="n"/>
      <c r="AK132" s="1064" t="n"/>
      <c r="AL132" s="1064" t="n"/>
      <c r="AM132" s="1064" t="n"/>
      <c r="AN132" s="1064" t="n"/>
      <c r="AO132" s="1064" t="n"/>
      <c r="AP132" s="1064" t="n"/>
      <c r="AQ132" s="1064" t="n"/>
      <c r="AR132" s="1064" t="n"/>
      <c r="AS132" s="1064" t="n"/>
      <c r="AT132" s="1064" t="n"/>
      <c r="AU132" s="1064" t="n"/>
      <c r="AV132" s="1064" t="n"/>
      <c r="AW132" s="1064" t="n"/>
      <c r="AX132" s="1064" t="n"/>
      <c r="AY132" s="1064" t="n"/>
      <c r="AZ132" s="1064" t="n"/>
      <c r="BA132" s="1064" t="n"/>
      <c r="BB132" s="1064" t="n"/>
      <c r="BC132" s="1064" t="n"/>
      <c r="BD132" s="1064" t="n"/>
      <c r="BE132" s="1064" t="n"/>
      <c r="BF132" s="1064" t="n"/>
      <c r="BG132" s="1064" t="n"/>
      <c r="BH132" s="1064" t="n"/>
      <c r="BI132" s="1064" t="n"/>
      <c r="BJ132" s="1064" t="n"/>
      <c r="BK132" s="1064" t="n"/>
      <c r="BL132" s="1064" t="n"/>
      <c r="BM132" s="1064" t="n"/>
      <c r="BN132" s="1064" t="n"/>
      <c r="BO132" s="1064" t="n"/>
      <c r="BP132" s="1064" t="n"/>
      <c r="BQ132" s="1064" t="n"/>
      <c r="BR132" s="1064" t="n"/>
      <c r="BS132" s="1064" t="n"/>
      <c r="BT132" s="1064" t="n"/>
    </row>
    <row r="133" ht="13.2" customHeight="1" s="586">
      <c r="A133" s="1051" t="inlineStr">
        <is>
          <t>Desktop HW</t>
        </is>
      </c>
      <c r="B133" s="1052" t="inlineStr">
        <is>
          <t>BE</t>
        </is>
      </c>
      <c r="C133" s="1052" t="inlineStr">
        <is>
          <t>Printer Network small Color</t>
        </is>
      </c>
      <c r="D133" s="1053" t="inlineStr">
        <is>
          <t>L</t>
        </is>
      </c>
      <c r="E133" s="1054" t="n">
        <v>655812.750304669</v>
      </c>
      <c r="F133" s="1052" t="n">
        <v>25</v>
      </c>
      <c r="G133" s="1052" t="n">
        <v>36</v>
      </c>
      <c r="H133" s="1054" t="n"/>
      <c r="I133" s="1054" t="n"/>
      <c r="J133" s="1054" t="n">
        <v>184309.615345624</v>
      </c>
      <c r="K133" s="1054" t="n">
        <v>184309.615345624</v>
      </c>
      <c r="L133" s="1056" t="n">
        <v>184309.615345624</v>
      </c>
      <c r="M133" s="1064" t="n"/>
      <c r="N133" s="1064" t="n"/>
      <c r="O133" s="1064" t="n"/>
      <c r="P133" s="1064" t="n"/>
      <c r="Q133" s="1064" t="n"/>
      <c r="R133" s="1064" t="n"/>
      <c r="S133" s="1064" t="n"/>
      <c r="T133" s="1064" t="n"/>
      <c r="U133" s="1064" t="n"/>
      <c r="V133" s="1064" t="n"/>
      <c r="W133" s="1064" t="n"/>
      <c r="X133" s="1064" t="n"/>
      <c r="Y133" s="1064" t="n"/>
      <c r="Z133" s="1064" t="n"/>
      <c r="AA133" s="1064" t="n"/>
      <c r="AB133" s="1064" t="n"/>
      <c r="AC133" s="1064" t="n"/>
      <c r="AD133" s="1064" t="n"/>
      <c r="AE133" s="1064" t="n"/>
      <c r="AF133" s="1064" t="n"/>
      <c r="AG133" s="1064" t="n"/>
      <c r="AH133" s="1064" t="n"/>
      <c r="AI133" s="1064" t="n"/>
      <c r="AJ133" s="1064" t="n"/>
      <c r="AK133" s="1064" t="n"/>
      <c r="AL133" s="1064" t="n"/>
      <c r="AM133" s="1064" t="n"/>
      <c r="AN133" s="1064" t="n"/>
      <c r="AO133" s="1064" t="n"/>
      <c r="AP133" s="1064" t="n"/>
      <c r="AQ133" s="1064" t="n"/>
      <c r="AR133" s="1064" t="n"/>
      <c r="AS133" s="1064" t="n"/>
      <c r="AT133" s="1064" t="n"/>
      <c r="AU133" s="1064" t="n"/>
      <c r="AV133" s="1064" t="n"/>
      <c r="AW133" s="1064" t="n"/>
      <c r="AX133" s="1064" t="n"/>
      <c r="AY133" s="1064" t="n"/>
      <c r="AZ133" s="1064" t="n"/>
      <c r="BA133" s="1064" t="n"/>
      <c r="BB133" s="1064" t="n"/>
      <c r="BC133" s="1064" t="n"/>
      <c r="BD133" s="1064" t="n"/>
      <c r="BE133" s="1064" t="n"/>
      <c r="BF133" s="1064" t="n"/>
      <c r="BG133" s="1064" t="n"/>
      <c r="BH133" s="1064" t="n"/>
      <c r="BI133" s="1064" t="n"/>
      <c r="BJ133" s="1064" t="n"/>
      <c r="BK133" s="1064" t="n"/>
      <c r="BL133" s="1064" t="n"/>
      <c r="BM133" s="1064" t="n"/>
      <c r="BN133" s="1064" t="n"/>
      <c r="BO133" s="1064" t="n"/>
      <c r="BP133" s="1064" t="n"/>
      <c r="BQ133" s="1064" t="n"/>
      <c r="BR133" s="1064" t="n"/>
      <c r="BS133" s="1064" t="n"/>
      <c r="BT133" s="1064" t="n"/>
    </row>
    <row r="134" ht="13.2" customHeight="1" s="586">
      <c r="A134" s="1051" t="inlineStr">
        <is>
          <t>Desktop HW</t>
        </is>
      </c>
      <c r="B134" s="1052" t="inlineStr">
        <is>
          <t>BE</t>
        </is>
      </c>
      <c r="C134" s="1052" t="inlineStr">
        <is>
          <t>Printer Network small Color</t>
        </is>
      </c>
      <c r="D134" s="1053" t="inlineStr">
        <is>
          <t>L</t>
        </is>
      </c>
      <c r="E134" s="1054" t="n">
        <v>655812.750304669</v>
      </c>
      <c r="F134" s="1052" t="n">
        <v>37</v>
      </c>
      <c r="G134" s="1052" t="n">
        <v>36</v>
      </c>
      <c r="H134" s="1054" t="n"/>
      <c r="I134" s="1054" t="n"/>
      <c r="J134" s="1054" t="n"/>
      <c r="K134" s="1054" t="n">
        <v>184309.615345624</v>
      </c>
      <c r="L134" s="1056" t="n">
        <v>184309.615345624</v>
      </c>
      <c r="M134" s="1064" t="n"/>
      <c r="N134" s="1064" t="n"/>
      <c r="O134" s="1064" t="n"/>
      <c r="P134" s="1064" t="n"/>
      <c r="Q134" s="1064" t="n"/>
      <c r="R134" s="1064" t="n"/>
      <c r="S134" s="1064" t="n"/>
      <c r="T134" s="1064" t="n"/>
      <c r="U134" s="1064" t="n"/>
      <c r="V134" s="1064" t="n"/>
      <c r="W134" s="1064" t="n"/>
      <c r="X134" s="1064" t="n"/>
      <c r="Y134" s="1064" t="n"/>
      <c r="Z134" s="1064" t="n"/>
      <c r="AA134" s="1064" t="n"/>
      <c r="AB134" s="1064" t="n"/>
      <c r="AC134" s="1064" t="n"/>
      <c r="AD134" s="1064" t="n"/>
      <c r="AE134" s="1064" t="n"/>
      <c r="AF134" s="1064" t="n"/>
      <c r="AG134" s="1064" t="n"/>
      <c r="AH134" s="1064" t="n"/>
      <c r="AI134" s="1064" t="n"/>
      <c r="AJ134" s="1064" t="n"/>
      <c r="AK134" s="1064" t="n"/>
      <c r="AL134" s="1064" t="n"/>
      <c r="AM134" s="1064" t="n"/>
      <c r="AN134" s="1064" t="n"/>
      <c r="AO134" s="1064" t="n"/>
      <c r="AP134" s="1064" t="n"/>
      <c r="AQ134" s="1064" t="n"/>
      <c r="AR134" s="1064" t="n"/>
      <c r="AS134" s="1064" t="n"/>
      <c r="AT134" s="1064" t="n"/>
      <c r="AU134" s="1064" t="n"/>
      <c r="AV134" s="1064" t="n"/>
      <c r="AW134" s="1064" t="n"/>
      <c r="AX134" s="1064" t="n"/>
      <c r="AY134" s="1064" t="n"/>
      <c r="AZ134" s="1064" t="n"/>
      <c r="BA134" s="1064" t="n"/>
      <c r="BB134" s="1064" t="n"/>
      <c r="BC134" s="1064" t="n"/>
      <c r="BD134" s="1064" t="n"/>
      <c r="BE134" s="1064" t="n"/>
      <c r="BF134" s="1064" t="n"/>
      <c r="BG134" s="1064" t="n"/>
      <c r="BH134" s="1064" t="n"/>
      <c r="BI134" s="1064" t="n"/>
      <c r="BJ134" s="1064" t="n"/>
      <c r="BK134" s="1064" t="n"/>
      <c r="BL134" s="1064" t="n"/>
      <c r="BM134" s="1064" t="n"/>
      <c r="BN134" s="1064" t="n"/>
      <c r="BO134" s="1064" t="n"/>
      <c r="BP134" s="1064" t="n"/>
      <c r="BQ134" s="1064" t="n"/>
      <c r="BR134" s="1064" t="n"/>
      <c r="BS134" s="1064" t="n"/>
      <c r="BT134" s="1064" t="n"/>
    </row>
    <row r="135" ht="13.2" customHeight="1" s="586">
      <c r="A135" s="1051" t="inlineStr">
        <is>
          <t>Desktop HW</t>
        </is>
      </c>
      <c r="B135" s="1052" t="inlineStr">
        <is>
          <t>BE</t>
        </is>
      </c>
      <c r="C135" s="1052" t="inlineStr">
        <is>
          <t>Printer Network small Color</t>
        </is>
      </c>
      <c r="D135" s="1053" t="inlineStr">
        <is>
          <t>L</t>
        </is>
      </c>
      <c r="E135" s="1054" t="n">
        <v>655812.750304669</v>
      </c>
      <c r="F135" s="1052" t="n">
        <v>49</v>
      </c>
      <c r="G135" s="1052" t="n">
        <v>36</v>
      </c>
      <c r="H135" s="1054" t="n"/>
      <c r="I135" s="1054" t="n"/>
      <c r="J135" s="1054" t="n"/>
      <c r="K135" s="1054" t="n"/>
      <c r="L135" s="1056" t="n">
        <v>184309.615345624</v>
      </c>
      <c r="M135" s="1064" t="n"/>
      <c r="N135" s="1064" t="n"/>
      <c r="O135" s="1064" t="n"/>
      <c r="P135" s="1064" t="n"/>
      <c r="Q135" s="1064" t="n"/>
      <c r="R135" s="1064" t="n"/>
      <c r="S135" s="1064" t="n"/>
      <c r="T135" s="1064" t="n"/>
      <c r="U135" s="1064" t="n"/>
      <c r="V135" s="1064" t="n"/>
      <c r="W135" s="1064" t="n"/>
      <c r="X135" s="1064" t="n"/>
      <c r="Y135" s="1064" t="n"/>
      <c r="Z135" s="1064" t="n"/>
      <c r="AA135" s="1064" t="n"/>
      <c r="AB135" s="1064" t="n"/>
      <c r="AC135" s="1064" t="n"/>
      <c r="AD135" s="1064" t="n"/>
      <c r="AE135" s="1064" t="n"/>
      <c r="AF135" s="1064" t="n"/>
      <c r="AG135" s="1064" t="n"/>
      <c r="AH135" s="1064" t="n"/>
      <c r="AI135" s="1064" t="n"/>
      <c r="AJ135" s="1064" t="n"/>
      <c r="AK135" s="1064" t="n"/>
      <c r="AL135" s="1064" t="n"/>
      <c r="AM135" s="1064" t="n"/>
      <c r="AN135" s="1064" t="n"/>
      <c r="AO135" s="1064" t="n"/>
      <c r="AP135" s="1064" t="n"/>
      <c r="AQ135" s="1064" t="n"/>
      <c r="AR135" s="1064" t="n"/>
      <c r="AS135" s="1064" t="n"/>
      <c r="AT135" s="1064" t="n"/>
      <c r="AU135" s="1064" t="n"/>
      <c r="AV135" s="1064" t="n"/>
      <c r="AW135" s="1064" t="n"/>
      <c r="AX135" s="1064" t="n"/>
      <c r="AY135" s="1064" t="n"/>
      <c r="AZ135" s="1064" t="n"/>
      <c r="BA135" s="1064" t="n"/>
      <c r="BB135" s="1064" t="n"/>
      <c r="BC135" s="1064" t="n"/>
      <c r="BD135" s="1064" t="n"/>
      <c r="BE135" s="1064" t="n"/>
      <c r="BF135" s="1064" t="n"/>
      <c r="BG135" s="1064" t="n"/>
      <c r="BH135" s="1064" t="n"/>
      <c r="BI135" s="1064" t="n"/>
      <c r="BJ135" s="1064" t="n"/>
      <c r="BK135" s="1064" t="n"/>
      <c r="BL135" s="1064" t="n"/>
      <c r="BM135" s="1064" t="n"/>
      <c r="BN135" s="1064" t="n"/>
      <c r="BO135" s="1064" t="n"/>
      <c r="BP135" s="1064" t="n"/>
      <c r="BQ135" s="1064" t="n"/>
      <c r="BR135" s="1064" t="n"/>
      <c r="BS135" s="1064" t="n"/>
      <c r="BT135" s="1064" t="n"/>
    </row>
    <row r="136" ht="13.2" customHeight="1" s="586">
      <c r="A136" s="1051" t="inlineStr">
        <is>
          <t>Desktop HW</t>
        </is>
      </c>
      <c r="B136" s="1052" t="inlineStr">
        <is>
          <t>BE</t>
        </is>
      </c>
      <c r="C136" s="1052" t="inlineStr">
        <is>
          <t>S&amp;LB Printer Network big Mono</t>
        </is>
      </c>
      <c r="D136" s="1053" t="inlineStr">
        <is>
          <t>L</t>
        </is>
      </c>
      <c r="E136" s="1054" t="n">
        <v>0</v>
      </c>
      <c r="F136" s="1052" t="n">
        <v>1</v>
      </c>
      <c r="G136" s="1052" t="n">
        <v>36</v>
      </c>
      <c r="H136" s="1054" t="n">
        <v>50575.7648593324</v>
      </c>
      <c r="I136" s="1054" t="n"/>
      <c r="J136" s="1054" t="n"/>
      <c r="K136" s="1054" t="n"/>
      <c r="L136" s="1056" t="n"/>
      <c r="M136" s="1064" t="n"/>
      <c r="N136" s="1064" t="n"/>
      <c r="O136" s="1064" t="n"/>
      <c r="P136" s="1064" t="n"/>
      <c r="Q136" s="1064" t="n"/>
      <c r="R136" s="1064" t="n"/>
      <c r="S136" s="1064" t="n"/>
      <c r="T136" s="1064" t="n"/>
      <c r="U136" s="1064" t="n"/>
      <c r="V136" s="1064" t="n"/>
      <c r="W136" s="1064" t="n"/>
      <c r="X136" s="1064" t="n"/>
      <c r="Y136" s="1064" t="n"/>
      <c r="Z136" s="1064" t="n"/>
      <c r="AA136" s="1064" t="n"/>
      <c r="AB136" s="1064" t="n"/>
      <c r="AC136" s="1064" t="n"/>
      <c r="AD136" s="1064" t="n"/>
      <c r="AE136" s="1064" t="n"/>
      <c r="AF136" s="1064" t="n"/>
      <c r="AG136" s="1064" t="n"/>
      <c r="AH136" s="1064" t="n"/>
      <c r="AI136" s="1064" t="n"/>
      <c r="AJ136" s="1064" t="n"/>
      <c r="AK136" s="1064" t="n"/>
      <c r="AL136" s="1064" t="n"/>
      <c r="AM136" s="1064" t="n"/>
      <c r="AN136" s="1064" t="n"/>
      <c r="AO136" s="1064" t="n"/>
      <c r="AP136" s="1064" t="n"/>
      <c r="AQ136" s="1064" t="n"/>
      <c r="AR136" s="1064" t="n"/>
      <c r="AS136" s="1064" t="n"/>
      <c r="AT136" s="1064" t="n"/>
      <c r="AU136" s="1064" t="n"/>
      <c r="AV136" s="1064" t="n"/>
      <c r="AW136" s="1064" t="n"/>
      <c r="AX136" s="1064" t="n"/>
      <c r="AY136" s="1064" t="n"/>
      <c r="AZ136" s="1064" t="n"/>
      <c r="BA136" s="1064" t="n"/>
      <c r="BB136" s="1064" t="n"/>
      <c r="BC136" s="1064" t="n"/>
      <c r="BD136" s="1064" t="n"/>
      <c r="BE136" s="1064" t="n"/>
      <c r="BF136" s="1064" t="n"/>
      <c r="BG136" s="1064" t="n"/>
      <c r="BH136" s="1064" t="n"/>
      <c r="BI136" s="1064" t="n"/>
      <c r="BJ136" s="1064" t="n"/>
      <c r="BK136" s="1064" t="n"/>
      <c r="BL136" s="1064" t="n"/>
      <c r="BM136" s="1064" t="n"/>
      <c r="BN136" s="1064" t="n"/>
      <c r="BO136" s="1064" t="n"/>
      <c r="BP136" s="1064" t="n"/>
      <c r="BQ136" s="1064" t="n"/>
      <c r="BR136" s="1064" t="n"/>
      <c r="BS136" s="1064" t="n"/>
      <c r="BT136" s="1064" t="n"/>
    </row>
    <row r="137" ht="13.2" customHeight="1" s="586">
      <c r="A137" s="1051" t="inlineStr">
        <is>
          <t>Desktop HW</t>
        </is>
      </c>
      <c r="B137" s="1052" t="inlineStr">
        <is>
          <t>BE</t>
        </is>
      </c>
      <c r="C137" s="1052" t="inlineStr">
        <is>
          <t>S&amp;LB Printer Network big Mono</t>
        </is>
      </c>
      <c r="D137" s="1053" t="inlineStr">
        <is>
          <t>L</t>
        </is>
      </c>
      <c r="E137" s="1054" t="n">
        <v>0</v>
      </c>
      <c r="F137" s="1052" t="n">
        <v>1</v>
      </c>
      <c r="G137" s="1052" t="n">
        <v>36</v>
      </c>
      <c r="H137" s="1054" t="n">
        <v>50575.7648593324</v>
      </c>
      <c r="I137" s="1054" t="n">
        <v>50575.7648593324</v>
      </c>
      <c r="J137" s="1054" t="n"/>
      <c r="K137" s="1054" t="n"/>
      <c r="L137" s="1056" t="n"/>
      <c r="M137" s="1064" t="n"/>
      <c r="N137" s="1064" t="n"/>
      <c r="O137" s="1064" t="n"/>
      <c r="P137" s="1064" t="n"/>
      <c r="Q137" s="1064" t="n"/>
      <c r="R137" s="1064" t="n"/>
      <c r="S137" s="1064" t="n"/>
      <c r="T137" s="1064" t="n"/>
      <c r="U137" s="1064" t="n"/>
      <c r="V137" s="1064" t="n"/>
      <c r="W137" s="1064" t="n"/>
      <c r="X137" s="1064" t="n"/>
      <c r="Y137" s="1064" t="n"/>
      <c r="Z137" s="1064" t="n"/>
      <c r="AA137" s="1064" t="n"/>
      <c r="AB137" s="1064" t="n"/>
      <c r="AC137" s="1064" t="n"/>
      <c r="AD137" s="1064" t="n"/>
      <c r="AE137" s="1064" t="n"/>
      <c r="AF137" s="1064" t="n"/>
      <c r="AG137" s="1064" t="n"/>
      <c r="AH137" s="1064" t="n"/>
      <c r="AI137" s="1064" t="n"/>
      <c r="AJ137" s="1064" t="n"/>
      <c r="AK137" s="1064" t="n"/>
      <c r="AL137" s="1064" t="n"/>
      <c r="AM137" s="1064" t="n"/>
      <c r="AN137" s="1064" t="n"/>
      <c r="AO137" s="1064" t="n"/>
      <c r="AP137" s="1064" t="n"/>
      <c r="AQ137" s="1064" t="n"/>
      <c r="AR137" s="1064" t="n"/>
      <c r="AS137" s="1064" t="n"/>
      <c r="AT137" s="1064" t="n"/>
      <c r="AU137" s="1064" t="n"/>
      <c r="AV137" s="1064" t="n"/>
      <c r="AW137" s="1064" t="n"/>
      <c r="AX137" s="1064" t="n"/>
      <c r="AY137" s="1064" t="n"/>
      <c r="AZ137" s="1064" t="n"/>
      <c r="BA137" s="1064" t="n"/>
      <c r="BB137" s="1064" t="n"/>
      <c r="BC137" s="1064" t="n"/>
      <c r="BD137" s="1064" t="n"/>
      <c r="BE137" s="1064" t="n"/>
      <c r="BF137" s="1064" t="n"/>
      <c r="BG137" s="1064" t="n"/>
      <c r="BH137" s="1064" t="n"/>
      <c r="BI137" s="1064" t="n"/>
      <c r="BJ137" s="1064" t="n"/>
      <c r="BK137" s="1064" t="n"/>
      <c r="BL137" s="1064" t="n"/>
      <c r="BM137" s="1064" t="n"/>
      <c r="BN137" s="1064" t="n"/>
      <c r="BO137" s="1064" t="n"/>
      <c r="BP137" s="1064" t="n"/>
      <c r="BQ137" s="1064" t="n"/>
      <c r="BR137" s="1064" t="n"/>
      <c r="BS137" s="1064" t="n"/>
      <c r="BT137" s="1064" t="n"/>
    </row>
    <row r="138" ht="13.2" customHeight="1" s="586">
      <c r="A138" s="1051" t="inlineStr">
        <is>
          <t>Desktop HW</t>
        </is>
      </c>
      <c r="B138" s="1052" t="inlineStr">
        <is>
          <t>BE</t>
        </is>
      </c>
      <c r="C138" s="1052" t="inlineStr">
        <is>
          <t>Printer Network big Mono</t>
        </is>
      </c>
      <c r="D138" s="1053" t="inlineStr">
        <is>
          <t>L</t>
        </is>
      </c>
      <c r="E138" s="1054" t="n">
        <v>179959.311341206</v>
      </c>
      <c r="F138" s="1052" t="n">
        <v>1</v>
      </c>
      <c r="G138" s="1052" t="n">
        <v>36</v>
      </c>
      <c r="H138" s="1054" t="n">
        <v>50575.7648593324</v>
      </c>
      <c r="I138" s="1054" t="n">
        <v>50575.7648593324</v>
      </c>
      <c r="J138" s="1054" t="n">
        <v>50575.7648593324</v>
      </c>
      <c r="K138" s="1054" t="n"/>
      <c r="L138" s="1056" t="n"/>
      <c r="M138" s="1064" t="n"/>
      <c r="N138" s="1064" t="n"/>
      <c r="O138" s="1064" t="n"/>
      <c r="P138" s="1064" t="n"/>
      <c r="Q138" s="1064" t="n"/>
      <c r="R138" s="1064" t="n"/>
      <c r="S138" s="1064" t="n"/>
      <c r="T138" s="1064" t="n"/>
      <c r="U138" s="1064" t="n"/>
      <c r="V138" s="1064" t="n"/>
      <c r="W138" s="1064" t="n"/>
      <c r="X138" s="1064" t="n"/>
      <c r="Y138" s="1064" t="n"/>
      <c r="Z138" s="1064" t="n"/>
      <c r="AA138" s="1064" t="n"/>
      <c r="AB138" s="1064" t="n"/>
      <c r="AC138" s="1064" t="n"/>
      <c r="AD138" s="1064" t="n"/>
      <c r="AE138" s="1064" t="n"/>
      <c r="AF138" s="1064" t="n"/>
      <c r="AG138" s="1064" t="n"/>
      <c r="AH138" s="1064" t="n"/>
      <c r="AI138" s="1064" t="n"/>
      <c r="AJ138" s="1064" t="n"/>
      <c r="AK138" s="1064" t="n"/>
      <c r="AL138" s="1064" t="n"/>
      <c r="AM138" s="1064" t="n"/>
      <c r="AN138" s="1064" t="n"/>
      <c r="AO138" s="1064" t="n"/>
      <c r="AP138" s="1064" t="n"/>
      <c r="AQ138" s="1064" t="n"/>
      <c r="AR138" s="1064" t="n"/>
      <c r="AS138" s="1064" t="n"/>
      <c r="AT138" s="1064" t="n"/>
      <c r="AU138" s="1064" t="n"/>
      <c r="AV138" s="1064" t="n"/>
      <c r="AW138" s="1064" t="n"/>
      <c r="AX138" s="1064" t="n"/>
      <c r="AY138" s="1064" t="n"/>
      <c r="AZ138" s="1064" t="n"/>
      <c r="BA138" s="1064" t="n"/>
      <c r="BB138" s="1064" t="n"/>
      <c r="BC138" s="1064" t="n"/>
      <c r="BD138" s="1064" t="n"/>
      <c r="BE138" s="1064" t="n"/>
      <c r="BF138" s="1064" t="n"/>
      <c r="BG138" s="1064" t="n"/>
      <c r="BH138" s="1064" t="n"/>
      <c r="BI138" s="1064" t="n"/>
      <c r="BJ138" s="1064" t="n"/>
      <c r="BK138" s="1064" t="n"/>
      <c r="BL138" s="1064" t="n"/>
      <c r="BM138" s="1064" t="n"/>
      <c r="BN138" s="1064" t="n"/>
      <c r="BO138" s="1064" t="n"/>
      <c r="BP138" s="1064" t="n"/>
      <c r="BQ138" s="1064" t="n"/>
      <c r="BR138" s="1064" t="n"/>
      <c r="BS138" s="1064" t="n"/>
      <c r="BT138" s="1064" t="n"/>
    </row>
    <row r="139" ht="13.2" customHeight="1" s="586">
      <c r="A139" s="1051" t="inlineStr">
        <is>
          <t>Desktop HW</t>
        </is>
      </c>
      <c r="B139" s="1052" t="inlineStr">
        <is>
          <t>BE</t>
        </is>
      </c>
      <c r="C139" s="1052" t="inlineStr">
        <is>
          <t>Printer Network big Mono</t>
        </is>
      </c>
      <c r="D139" s="1053" t="inlineStr">
        <is>
          <t>L</t>
        </is>
      </c>
      <c r="E139" s="1054" t="n">
        <v>179959.311341206</v>
      </c>
      <c r="F139" s="1052" t="n">
        <v>13</v>
      </c>
      <c r="G139" s="1052" t="n">
        <v>36</v>
      </c>
      <c r="H139" s="1054" t="n"/>
      <c r="I139" s="1054" t="n">
        <v>50575.7648593324</v>
      </c>
      <c r="J139" s="1054" t="n">
        <v>50575.7648593324</v>
      </c>
      <c r="K139" s="1054" t="n">
        <v>50575.7648593324</v>
      </c>
      <c r="L139" s="1056" t="n"/>
      <c r="M139" s="1064" t="n"/>
      <c r="N139" s="1064" t="n"/>
      <c r="O139" s="1064" t="n"/>
      <c r="P139" s="1064" t="n"/>
      <c r="Q139" s="1064" t="n"/>
      <c r="R139" s="1064" t="n"/>
      <c r="S139" s="1064" t="n"/>
      <c r="T139" s="1064" t="n"/>
      <c r="U139" s="1064" t="n"/>
      <c r="V139" s="1064" t="n"/>
      <c r="W139" s="1064" t="n"/>
      <c r="X139" s="1064" t="n"/>
      <c r="Y139" s="1064" t="n"/>
      <c r="Z139" s="1064" t="n"/>
      <c r="AA139" s="1064" t="n"/>
      <c r="AB139" s="1064" t="n"/>
      <c r="AC139" s="1064" t="n"/>
      <c r="AD139" s="1064" t="n"/>
      <c r="AE139" s="1064" t="n"/>
      <c r="AF139" s="1064" t="n"/>
      <c r="AG139" s="1064" t="n"/>
      <c r="AH139" s="1064" t="n"/>
      <c r="AI139" s="1064" t="n"/>
      <c r="AJ139" s="1064" t="n"/>
      <c r="AK139" s="1064" t="n"/>
      <c r="AL139" s="1064" t="n"/>
      <c r="AM139" s="1064" t="n"/>
      <c r="AN139" s="1064" t="n"/>
      <c r="AO139" s="1064" t="n"/>
      <c r="AP139" s="1064" t="n"/>
      <c r="AQ139" s="1064" t="n"/>
      <c r="AR139" s="1064" t="n"/>
      <c r="AS139" s="1064" t="n"/>
      <c r="AT139" s="1064" t="n"/>
      <c r="AU139" s="1064" t="n"/>
      <c r="AV139" s="1064" t="n"/>
      <c r="AW139" s="1064" t="n"/>
      <c r="AX139" s="1064" t="n"/>
      <c r="AY139" s="1064" t="n"/>
      <c r="AZ139" s="1064" t="n"/>
      <c r="BA139" s="1064" t="n"/>
      <c r="BB139" s="1064" t="n"/>
      <c r="BC139" s="1064" t="n"/>
      <c r="BD139" s="1064" t="n"/>
      <c r="BE139" s="1064" t="n"/>
      <c r="BF139" s="1064" t="n"/>
      <c r="BG139" s="1064" t="n"/>
      <c r="BH139" s="1064" t="n"/>
      <c r="BI139" s="1064" t="n"/>
      <c r="BJ139" s="1064" t="n"/>
      <c r="BK139" s="1064" t="n"/>
      <c r="BL139" s="1064" t="n"/>
      <c r="BM139" s="1064" t="n"/>
      <c r="BN139" s="1064" t="n"/>
      <c r="BO139" s="1064" t="n"/>
      <c r="BP139" s="1064" t="n"/>
      <c r="BQ139" s="1064" t="n"/>
      <c r="BR139" s="1064" t="n"/>
      <c r="BS139" s="1064" t="n"/>
      <c r="BT139" s="1064" t="n"/>
    </row>
    <row r="140" ht="13.2" customHeight="1" s="586">
      <c r="A140" s="1051" t="inlineStr">
        <is>
          <t>Desktop HW</t>
        </is>
      </c>
      <c r="B140" s="1052" t="inlineStr">
        <is>
          <t>BE</t>
        </is>
      </c>
      <c r="C140" s="1052" t="inlineStr">
        <is>
          <t>Printer Network big Mono</t>
        </is>
      </c>
      <c r="D140" s="1053" t="inlineStr">
        <is>
          <t>L</t>
        </is>
      </c>
      <c r="E140" s="1054" t="n">
        <v>179959.311341206</v>
      </c>
      <c r="F140" s="1052" t="n">
        <v>25</v>
      </c>
      <c r="G140" s="1052" t="n">
        <v>36</v>
      </c>
      <c r="H140" s="1054" t="n"/>
      <c r="I140" s="1054" t="n"/>
      <c r="J140" s="1054" t="n">
        <v>50575.7648593324</v>
      </c>
      <c r="K140" s="1054" t="n">
        <v>50575.7648593324</v>
      </c>
      <c r="L140" s="1056" t="n">
        <v>50575.7648593324</v>
      </c>
      <c r="M140" s="1064" t="n"/>
      <c r="N140" s="1064" t="n"/>
      <c r="O140" s="1064" t="n"/>
      <c r="P140" s="1064" t="n"/>
      <c r="Q140" s="1064" t="n"/>
      <c r="R140" s="1064" t="n"/>
      <c r="S140" s="1064" t="n"/>
      <c r="T140" s="1064" t="n"/>
      <c r="U140" s="1064" t="n"/>
      <c r="V140" s="1064" t="n"/>
      <c r="W140" s="1064" t="n"/>
      <c r="X140" s="1064" t="n"/>
      <c r="Y140" s="1064" t="n"/>
      <c r="Z140" s="1064" t="n"/>
      <c r="AA140" s="1064" t="n"/>
      <c r="AB140" s="1064" t="n"/>
      <c r="AC140" s="1064" t="n"/>
      <c r="AD140" s="1064" t="n"/>
      <c r="AE140" s="1064" t="n"/>
      <c r="AF140" s="1064" t="n"/>
      <c r="AG140" s="1064" t="n"/>
      <c r="AH140" s="1064" t="n"/>
      <c r="AI140" s="1064" t="n"/>
      <c r="AJ140" s="1064" t="n"/>
      <c r="AK140" s="1064" t="n"/>
      <c r="AL140" s="1064" t="n"/>
      <c r="AM140" s="1064" t="n"/>
      <c r="AN140" s="1064" t="n"/>
      <c r="AO140" s="1064" t="n"/>
      <c r="AP140" s="1064" t="n"/>
      <c r="AQ140" s="1064" t="n"/>
      <c r="AR140" s="1064" t="n"/>
      <c r="AS140" s="1064" t="n"/>
      <c r="AT140" s="1064" t="n"/>
      <c r="AU140" s="1064" t="n"/>
      <c r="AV140" s="1064" t="n"/>
      <c r="AW140" s="1064" t="n"/>
      <c r="AX140" s="1064" t="n"/>
      <c r="AY140" s="1064" t="n"/>
      <c r="AZ140" s="1064" t="n"/>
      <c r="BA140" s="1064" t="n"/>
      <c r="BB140" s="1064" t="n"/>
      <c r="BC140" s="1064" t="n"/>
      <c r="BD140" s="1064" t="n"/>
      <c r="BE140" s="1064" t="n"/>
      <c r="BF140" s="1064" t="n"/>
      <c r="BG140" s="1064" t="n"/>
      <c r="BH140" s="1064" t="n"/>
      <c r="BI140" s="1064" t="n"/>
      <c r="BJ140" s="1064" t="n"/>
      <c r="BK140" s="1064" t="n"/>
      <c r="BL140" s="1064" t="n"/>
      <c r="BM140" s="1064" t="n"/>
      <c r="BN140" s="1064" t="n"/>
      <c r="BO140" s="1064" t="n"/>
      <c r="BP140" s="1064" t="n"/>
      <c r="BQ140" s="1064" t="n"/>
      <c r="BR140" s="1064" t="n"/>
      <c r="BS140" s="1064" t="n"/>
      <c r="BT140" s="1064" t="n"/>
    </row>
    <row r="141" ht="13.2" customHeight="1" s="586">
      <c r="A141" s="1051" t="inlineStr">
        <is>
          <t>Desktop HW</t>
        </is>
      </c>
      <c r="B141" s="1052" t="inlineStr">
        <is>
          <t>BE</t>
        </is>
      </c>
      <c r="C141" s="1052" t="inlineStr">
        <is>
          <t>Printer Network big Mono</t>
        </is>
      </c>
      <c r="D141" s="1053" t="inlineStr">
        <is>
          <t>L</t>
        </is>
      </c>
      <c r="E141" s="1054" t="n">
        <v>179959.311341206</v>
      </c>
      <c r="F141" s="1052" t="n">
        <v>37</v>
      </c>
      <c r="G141" s="1052" t="n">
        <v>36</v>
      </c>
      <c r="H141" s="1054" t="n"/>
      <c r="I141" s="1054" t="n"/>
      <c r="J141" s="1054" t="n"/>
      <c r="K141" s="1054" t="n">
        <v>50575.7648593324</v>
      </c>
      <c r="L141" s="1056" t="n">
        <v>50575.7648593324</v>
      </c>
      <c r="M141" s="1064" t="n"/>
      <c r="N141" s="1064" t="n"/>
      <c r="O141" s="1064" t="n"/>
      <c r="P141" s="1064" t="n"/>
      <c r="Q141" s="1064" t="n"/>
      <c r="R141" s="1064" t="n"/>
      <c r="S141" s="1064" t="n"/>
      <c r="T141" s="1064" t="n"/>
      <c r="U141" s="1064" t="n"/>
      <c r="V141" s="1064" t="n"/>
      <c r="W141" s="1064" t="n"/>
      <c r="X141" s="1064" t="n"/>
      <c r="Y141" s="1064" t="n"/>
      <c r="Z141" s="1064" t="n"/>
      <c r="AA141" s="1064" t="n"/>
      <c r="AB141" s="1064" t="n"/>
      <c r="AC141" s="1064" t="n"/>
      <c r="AD141" s="1064" t="n"/>
      <c r="AE141" s="1064" t="n"/>
      <c r="AF141" s="1064" t="n"/>
      <c r="AG141" s="1064" t="n"/>
      <c r="AH141" s="1064" t="n"/>
      <c r="AI141" s="1064" t="n"/>
      <c r="AJ141" s="1064" t="n"/>
      <c r="AK141" s="1064" t="n"/>
      <c r="AL141" s="1064" t="n"/>
      <c r="AM141" s="1064" t="n"/>
      <c r="AN141" s="1064" t="n"/>
      <c r="AO141" s="1064" t="n"/>
      <c r="AP141" s="1064" t="n"/>
      <c r="AQ141" s="1064" t="n"/>
      <c r="AR141" s="1064" t="n"/>
      <c r="AS141" s="1064" t="n"/>
      <c r="AT141" s="1064" t="n"/>
      <c r="AU141" s="1064" t="n"/>
      <c r="AV141" s="1064" t="n"/>
      <c r="AW141" s="1064" t="n"/>
      <c r="AX141" s="1064" t="n"/>
      <c r="AY141" s="1064" t="n"/>
      <c r="AZ141" s="1064" t="n"/>
      <c r="BA141" s="1064" t="n"/>
      <c r="BB141" s="1064" t="n"/>
      <c r="BC141" s="1064" t="n"/>
      <c r="BD141" s="1064" t="n"/>
      <c r="BE141" s="1064" t="n"/>
      <c r="BF141" s="1064" t="n"/>
      <c r="BG141" s="1064" t="n"/>
      <c r="BH141" s="1064" t="n"/>
      <c r="BI141" s="1064" t="n"/>
      <c r="BJ141" s="1064" t="n"/>
      <c r="BK141" s="1064" t="n"/>
      <c r="BL141" s="1064" t="n"/>
      <c r="BM141" s="1064" t="n"/>
      <c r="BN141" s="1064" t="n"/>
      <c r="BO141" s="1064" t="n"/>
      <c r="BP141" s="1064" t="n"/>
      <c r="BQ141" s="1064" t="n"/>
      <c r="BR141" s="1064" t="n"/>
      <c r="BS141" s="1064" t="n"/>
      <c r="BT141" s="1064" t="n"/>
    </row>
    <row r="142" ht="13.2" customHeight="1" s="586">
      <c r="A142" s="1051" t="inlineStr">
        <is>
          <t>Desktop HW</t>
        </is>
      </c>
      <c r="B142" s="1052" t="inlineStr">
        <is>
          <t>BE</t>
        </is>
      </c>
      <c r="C142" s="1052" t="inlineStr">
        <is>
          <t>Printer Network big Mono</t>
        </is>
      </c>
      <c r="D142" s="1053" t="inlineStr">
        <is>
          <t>L</t>
        </is>
      </c>
      <c r="E142" s="1054" t="n">
        <v>179959.311341206</v>
      </c>
      <c r="F142" s="1052" t="n">
        <v>49</v>
      </c>
      <c r="G142" s="1052" t="n">
        <v>36</v>
      </c>
      <c r="H142" s="1054" t="n"/>
      <c r="I142" s="1054" t="n"/>
      <c r="J142" s="1054" t="n"/>
      <c r="K142" s="1054" t="n"/>
      <c r="L142" s="1056" t="n">
        <v>50575.7648593324</v>
      </c>
      <c r="M142" s="1064" t="n"/>
      <c r="N142" s="1064" t="n"/>
      <c r="O142" s="1064" t="n"/>
      <c r="P142" s="1064" t="n"/>
      <c r="Q142" s="1064" t="n"/>
      <c r="R142" s="1064" t="n"/>
      <c r="S142" s="1064" t="n"/>
      <c r="T142" s="1064" t="n"/>
      <c r="U142" s="1064" t="n"/>
      <c r="V142" s="1064" t="n"/>
      <c r="W142" s="1064" t="n"/>
      <c r="X142" s="1064" t="n"/>
      <c r="Y142" s="1064" t="n"/>
      <c r="Z142" s="1064" t="n"/>
      <c r="AA142" s="1064" t="n"/>
      <c r="AB142" s="1064" t="n"/>
      <c r="AC142" s="1064" t="n"/>
      <c r="AD142" s="1064" t="n"/>
      <c r="AE142" s="1064" t="n"/>
      <c r="AF142" s="1064" t="n"/>
      <c r="AG142" s="1064" t="n"/>
      <c r="AH142" s="1064" t="n"/>
      <c r="AI142" s="1064" t="n"/>
      <c r="AJ142" s="1064" t="n"/>
      <c r="AK142" s="1064" t="n"/>
      <c r="AL142" s="1064" t="n"/>
      <c r="AM142" s="1064" t="n"/>
      <c r="AN142" s="1064" t="n"/>
      <c r="AO142" s="1064" t="n"/>
      <c r="AP142" s="1064" t="n"/>
      <c r="AQ142" s="1064" t="n"/>
      <c r="AR142" s="1064" t="n"/>
      <c r="AS142" s="1064" t="n"/>
      <c r="AT142" s="1064" t="n"/>
      <c r="AU142" s="1064" t="n"/>
      <c r="AV142" s="1064" t="n"/>
      <c r="AW142" s="1064" t="n"/>
      <c r="AX142" s="1064" t="n"/>
      <c r="AY142" s="1064" t="n"/>
      <c r="AZ142" s="1064" t="n"/>
      <c r="BA142" s="1064" t="n"/>
      <c r="BB142" s="1064" t="n"/>
      <c r="BC142" s="1064" t="n"/>
      <c r="BD142" s="1064" t="n"/>
      <c r="BE142" s="1064" t="n"/>
      <c r="BF142" s="1064" t="n"/>
      <c r="BG142" s="1064" t="n"/>
      <c r="BH142" s="1064" t="n"/>
      <c r="BI142" s="1064" t="n"/>
      <c r="BJ142" s="1064" t="n"/>
      <c r="BK142" s="1064" t="n"/>
      <c r="BL142" s="1064" t="n"/>
      <c r="BM142" s="1064" t="n"/>
      <c r="BN142" s="1064" t="n"/>
      <c r="BO142" s="1064" t="n"/>
      <c r="BP142" s="1064" t="n"/>
      <c r="BQ142" s="1064" t="n"/>
      <c r="BR142" s="1064" t="n"/>
      <c r="BS142" s="1064" t="n"/>
      <c r="BT142" s="1064" t="n"/>
    </row>
    <row r="143" ht="13.2" customHeight="1" s="586">
      <c r="A143" s="1051" t="inlineStr">
        <is>
          <t>Desktop HW</t>
        </is>
      </c>
      <c r="B143" s="1052" t="inlineStr">
        <is>
          <t>BE</t>
        </is>
      </c>
      <c r="C143" s="1052" t="inlineStr">
        <is>
          <t>S&amp;LB Printer Network big color</t>
        </is>
      </c>
      <c r="D143" s="1053" t="inlineStr">
        <is>
          <t>L</t>
        </is>
      </c>
      <c r="E143" s="1054" t="n">
        <v>0</v>
      </c>
      <c r="F143" s="1052" t="n">
        <v>1</v>
      </c>
      <c r="G143" s="1052" t="n">
        <v>36</v>
      </c>
      <c r="H143" s="1054" t="n">
        <v>152866.003282528</v>
      </c>
      <c r="I143" s="1054" t="n"/>
      <c r="J143" s="1054" t="n"/>
      <c r="K143" s="1054" t="n"/>
      <c r="L143" s="1056" t="n"/>
      <c r="M143" s="1064" t="n"/>
      <c r="N143" s="1064" t="n"/>
      <c r="O143" s="1064" t="n"/>
      <c r="P143" s="1064" t="n"/>
      <c r="Q143" s="1064" t="n"/>
      <c r="R143" s="1064" t="n"/>
      <c r="S143" s="1064" t="n"/>
      <c r="T143" s="1064" t="n"/>
      <c r="U143" s="1064" t="n"/>
      <c r="V143" s="1064" t="n"/>
      <c r="W143" s="1064" t="n"/>
      <c r="X143" s="1064" t="n"/>
      <c r="Y143" s="1064" t="n"/>
      <c r="Z143" s="1064" t="n"/>
      <c r="AA143" s="1064" t="n"/>
      <c r="AB143" s="1064" t="n"/>
      <c r="AC143" s="1064" t="n"/>
      <c r="AD143" s="1064" t="n"/>
      <c r="AE143" s="1064" t="n"/>
      <c r="AF143" s="1064" t="n"/>
      <c r="AG143" s="1064" t="n"/>
      <c r="AH143" s="1064" t="n"/>
      <c r="AI143" s="1064" t="n"/>
      <c r="AJ143" s="1064" t="n"/>
      <c r="AK143" s="1064" t="n"/>
      <c r="AL143" s="1064" t="n"/>
      <c r="AM143" s="1064" t="n"/>
      <c r="AN143" s="1064" t="n"/>
      <c r="AO143" s="1064" t="n"/>
      <c r="AP143" s="1064" t="n"/>
      <c r="AQ143" s="1064" t="n"/>
      <c r="AR143" s="1064" t="n"/>
      <c r="AS143" s="1064" t="n"/>
      <c r="AT143" s="1064" t="n"/>
      <c r="AU143" s="1064" t="n"/>
      <c r="AV143" s="1064" t="n"/>
      <c r="AW143" s="1064" t="n"/>
      <c r="AX143" s="1064" t="n"/>
      <c r="AY143" s="1064" t="n"/>
      <c r="AZ143" s="1064" t="n"/>
      <c r="BA143" s="1064" t="n"/>
      <c r="BB143" s="1064" t="n"/>
      <c r="BC143" s="1064" t="n"/>
      <c r="BD143" s="1064" t="n"/>
      <c r="BE143" s="1064" t="n"/>
      <c r="BF143" s="1064" t="n"/>
      <c r="BG143" s="1064" t="n"/>
      <c r="BH143" s="1064" t="n"/>
      <c r="BI143" s="1064" t="n"/>
      <c r="BJ143" s="1064" t="n"/>
      <c r="BK143" s="1064" t="n"/>
      <c r="BL143" s="1064" t="n"/>
      <c r="BM143" s="1064" t="n"/>
      <c r="BN143" s="1064" t="n"/>
      <c r="BO143" s="1064" t="n"/>
      <c r="BP143" s="1064" t="n"/>
      <c r="BQ143" s="1064" t="n"/>
      <c r="BR143" s="1064" t="n"/>
      <c r="BS143" s="1064" t="n"/>
      <c r="BT143" s="1064" t="n"/>
    </row>
    <row r="144" ht="13.2" customHeight="1" s="586">
      <c r="A144" s="1051" t="inlineStr">
        <is>
          <t>Desktop HW</t>
        </is>
      </c>
      <c r="B144" s="1052" t="inlineStr">
        <is>
          <t>BE</t>
        </is>
      </c>
      <c r="C144" s="1052" t="inlineStr">
        <is>
          <t>S&amp;LB Printer Network big color</t>
        </is>
      </c>
      <c r="D144" s="1053" t="inlineStr">
        <is>
          <t>L</t>
        </is>
      </c>
      <c r="E144" s="1054" t="n">
        <v>0</v>
      </c>
      <c r="F144" s="1052" t="n">
        <v>1</v>
      </c>
      <c r="G144" s="1052" t="n">
        <v>36</v>
      </c>
      <c r="H144" s="1054" t="n">
        <v>152866.003282528</v>
      </c>
      <c r="I144" s="1054" t="n">
        <v>152866.003282528</v>
      </c>
      <c r="J144" s="1054" t="n"/>
      <c r="K144" s="1054" t="n"/>
      <c r="L144" s="1056" t="n"/>
      <c r="M144" s="1064" t="n"/>
      <c r="N144" s="1064" t="n"/>
      <c r="O144" s="1064" t="n"/>
      <c r="P144" s="1064" t="n"/>
      <c r="Q144" s="1064" t="n"/>
      <c r="R144" s="1064" t="n"/>
      <c r="S144" s="1064" t="n"/>
      <c r="T144" s="1064" t="n"/>
      <c r="U144" s="1064" t="n"/>
      <c r="V144" s="1064" t="n"/>
      <c r="W144" s="1064" t="n"/>
      <c r="X144" s="1064" t="n"/>
      <c r="Y144" s="1064" t="n"/>
      <c r="Z144" s="1064" t="n"/>
      <c r="AA144" s="1064" t="n"/>
      <c r="AB144" s="1064" t="n"/>
      <c r="AC144" s="1064" t="n"/>
      <c r="AD144" s="1064" t="n"/>
      <c r="AE144" s="1064" t="n"/>
      <c r="AF144" s="1064" t="n"/>
      <c r="AG144" s="1064" t="n"/>
      <c r="AH144" s="1064" t="n"/>
      <c r="AI144" s="1064" t="n"/>
      <c r="AJ144" s="1064" t="n"/>
      <c r="AK144" s="1064" t="n"/>
      <c r="AL144" s="1064" t="n"/>
      <c r="AM144" s="1064" t="n"/>
      <c r="AN144" s="1064" t="n"/>
      <c r="AO144" s="1064" t="n"/>
      <c r="AP144" s="1064" t="n"/>
      <c r="AQ144" s="1064" t="n"/>
      <c r="AR144" s="1064" t="n"/>
      <c r="AS144" s="1064" t="n"/>
      <c r="AT144" s="1064" t="n"/>
      <c r="AU144" s="1064" t="n"/>
      <c r="AV144" s="1064" t="n"/>
      <c r="AW144" s="1064" t="n"/>
      <c r="AX144" s="1064" t="n"/>
      <c r="AY144" s="1064" t="n"/>
      <c r="AZ144" s="1064" t="n"/>
      <c r="BA144" s="1064" t="n"/>
      <c r="BB144" s="1064" t="n"/>
      <c r="BC144" s="1064" t="n"/>
      <c r="BD144" s="1064" t="n"/>
      <c r="BE144" s="1064" t="n"/>
      <c r="BF144" s="1064" t="n"/>
      <c r="BG144" s="1064" t="n"/>
      <c r="BH144" s="1064" t="n"/>
      <c r="BI144" s="1064" t="n"/>
      <c r="BJ144" s="1064" t="n"/>
      <c r="BK144" s="1064" t="n"/>
      <c r="BL144" s="1064" t="n"/>
      <c r="BM144" s="1064" t="n"/>
      <c r="BN144" s="1064" t="n"/>
      <c r="BO144" s="1064" t="n"/>
      <c r="BP144" s="1064" t="n"/>
      <c r="BQ144" s="1064" t="n"/>
      <c r="BR144" s="1064" t="n"/>
      <c r="BS144" s="1064" t="n"/>
      <c r="BT144" s="1064" t="n"/>
    </row>
    <row r="145" ht="13.2" customHeight="1" s="586">
      <c r="A145" s="1051" t="inlineStr">
        <is>
          <t>Desktop HW</t>
        </is>
      </c>
      <c r="B145" s="1052" t="inlineStr">
        <is>
          <t>BE</t>
        </is>
      </c>
      <c r="C145" s="1052" t="inlineStr">
        <is>
          <t>Printer Network big color</t>
        </is>
      </c>
      <c r="D145" s="1053" t="inlineStr">
        <is>
          <t>L</t>
        </is>
      </c>
      <c r="E145" s="1054" t="n">
        <v>543929.701403814</v>
      </c>
      <c r="F145" s="1052" t="n">
        <v>1</v>
      </c>
      <c r="G145" s="1052" t="n">
        <v>36</v>
      </c>
      <c r="H145" s="1054" t="n">
        <v>152866.003282528</v>
      </c>
      <c r="I145" s="1054" t="n">
        <v>152866.003282528</v>
      </c>
      <c r="J145" s="1054" t="n">
        <v>152866.003282528</v>
      </c>
      <c r="K145" s="1054" t="n"/>
      <c r="L145" s="1056" t="n"/>
      <c r="M145" s="1064" t="n"/>
      <c r="N145" s="1064" t="n"/>
      <c r="O145" s="1064" t="n"/>
      <c r="P145" s="1064" t="n"/>
      <c r="Q145" s="1064" t="n"/>
      <c r="R145" s="1064" t="n"/>
      <c r="S145" s="1064" t="n"/>
      <c r="T145" s="1064" t="n"/>
      <c r="U145" s="1064" t="n"/>
      <c r="V145" s="1064" t="n"/>
      <c r="W145" s="1064" t="n"/>
      <c r="X145" s="1064" t="n"/>
      <c r="Y145" s="1064" t="n"/>
      <c r="Z145" s="1064" t="n"/>
      <c r="AA145" s="1064" t="n"/>
      <c r="AB145" s="1064" t="n"/>
      <c r="AC145" s="1064" t="n"/>
      <c r="AD145" s="1064" t="n"/>
      <c r="AE145" s="1064" t="n"/>
      <c r="AF145" s="1064" t="n"/>
      <c r="AG145" s="1064" t="n"/>
      <c r="AH145" s="1064" t="n"/>
      <c r="AI145" s="1064" t="n"/>
      <c r="AJ145" s="1064" t="n"/>
      <c r="AK145" s="1064" t="n"/>
      <c r="AL145" s="1064" t="n"/>
      <c r="AM145" s="1064" t="n"/>
      <c r="AN145" s="1064" t="n"/>
      <c r="AO145" s="1064" t="n"/>
      <c r="AP145" s="1064" t="n"/>
      <c r="AQ145" s="1064" t="n"/>
      <c r="AR145" s="1064" t="n"/>
      <c r="AS145" s="1064" t="n"/>
      <c r="AT145" s="1064" t="n"/>
      <c r="AU145" s="1064" t="n"/>
      <c r="AV145" s="1064" t="n"/>
      <c r="AW145" s="1064" t="n"/>
      <c r="AX145" s="1064" t="n"/>
      <c r="AY145" s="1064" t="n"/>
      <c r="AZ145" s="1064" t="n"/>
      <c r="BA145" s="1064" t="n"/>
      <c r="BB145" s="1064" t="n"/>
      <c r="BC145" s="1064" t="n"/>
      <c r="BD145" s="1064" t="n"/>
      <c r="BE145" s="1064" t="n"/>
      <c r="BF145" s="1064" t="n"/>
      <c r="BG145" s="1064" t="n"/>
      <c r="BH145" s="1064" t="n"/>
      <c r="BI145" s="1064" t="n"/>
      <c r="BJ145" s="1064" t="n"/>
      <c r="BK145" s="1064" t="n"/>
      <c r="BL145" s="1064" t="n"/>
      <c r="BM145" s="1064" t="n"/>
      <c r="BN145" s="1064" t="n"/>
      <c r="BO145" s="1064" t="n"/>
      <c r="BP145" s="1064" t="n"/>
      <c r="BQ145" s="1064" t="n"/>
      <c r="BR145" s="1064" t="n"/>
      <c r="BS145" s="1064" t="n"/>
      <c r="BT145" s="1064" t="n"/>
    </row>
    <row r="146" ht="13.2" customHeight="1" s="586">
      <c r="A146" s="1051" t="inlineStr">
        <is>
          <t>Desktop HW</t>
        </is>
      </c>
      <c r="B146" s="1052" t="inlineStr">
        <is>
          <t>BE</t>
        </is>
      </c>
      <c r="C146" s="1052" t="inlineStr">
        <is>
          <t>Printer Network big color</t>
        </is>
      </c>
      <c r="D146" s="1053" t="inlineStr">
        <is>
          <t>L</t>
        </is>
      </c>
      <c r="E146" s="1054" t="n">
        <v>543929.701403814</v>
      </c>
      <c r="F146" s="1052" t="n">
        <v>13</v>
      </c>
      <c r="G146" s="1052" t="n">
        <v>36</v>
      </c>
      <c r="H146" s="1054" t="n"/>
      <c r="I146" s="1054" t="n">
        <v>152866.003282528</v>
      </c>
      <c r="J146" s="1054" t="n">
        <v>152866.003282528</v>
      </c>
      <c r="K146" s="1054" t="n">
        <v>152866.003282528</v>
      </c>
      <c r="L146" s="1056" t="n"/>
      <c r="M146" s="1064" t="n"/>
      <c r="N146" s="1064" t="n"/>
      <c r="O146" s="1064" t="n"/>
      <c r="P146" s="1064" t="n"/>
      <c r="Q146" s="1064" t="n"/>
      <c r="R146" s="1064" t="n"/>
      <c r="S146" s="1064" t="n"/>
      <c r="T146" s="1064" t="n"/>
      <c r="U146" s="1064" t="n"/>
      <c r="V146" s="1064" t="n"/>
      <c r="W146" s="1064" t="n"/>
      <c r="X146" s="1064" t="n"/>
      <c r="Y146" s="1064" t="n"/>
      <c r="Z146" s="1064" t="n"/>
      <c r="AA146" s="1064" t="n"/>
      <c r="AB146" s="1064" t="n"/>
      <c r="AC146" s="1064" t="n"/>
      <c r="AD146" s="1064" t="n"/>
      <c r="AE146" s="1064" t="n"/>
      <c r="AF146" s="1064" t="n"/>
      <c r="AG146" s="1064" t="n"/>
      <c r="AH146" s="1064" t="n"/>
      <c r="AI146" s="1064" t="n"/>
      <c r="AJ146" s="1064" t="n"/>
      <c r="AK146" s="1064" t="n"/>
      <c r="AL146" s="1064" t="n"/>
      <c r="AM146" s="1064" t="n"/>
      <c r="AN146" s="1064" t="n"/>
      <c r="AO146" s="1064" t="n"/>
      <c r="AP146" s="1064" t="n"/>
      <c r="AQ146" s="1064" t="n"/>
      <c r="AR146" s="1064" t="n"/>
      <c r="AS146" s="1064" t="n"/>
      <c r="AT146" s="1064" t="n"/>
      <c r="AU146" s="1064" t="n"/>
      <c r="AV146" s="1064" t="n"/>
      <c r="AW146" s="1064" t="n"/>
      <c r="AX146" s="1064" t="n"/>
      <c r="AY146" s="1064" t="n"/>
      <c r="AZ146" s="1064" t="n"/>
      <c r="BA146" s="1064" t="n"/>
      <c r="BB146" s="1064" t="n"/>
      <c r="BC146" s="1064" t="n"/>
      <c r="BD146" s="1064" t="n"/>
      <c r="BE146" s="1064" t="n"/>
      <c r="BF146" s="1064" t="n"/>
      <c r="BG146" s="1064" t="n"/>
      <c r="BH146" s="1064" t="n"/>
      <c r="BI146" s="1064" t="n"/>
      <c r="BJ146" s="1064" t="n"/>
      <c r="BK146" s="1064" t="n"/>
      <c r="BL146" s="1064" t="n"/>
      <c r="BM146" s="1064" t="n"/>
      <c r="BN146" s="1064" t="n"/>
      <c r="BO146" s="1064" t="n"/>
      <c r="BP146" s="1064" t="n"/>
      <c r="BQ146" s="1064" t="n"/>
      <c r="BR146" s="1064" t="n"/>
      <c r="BS146" s="1064" t="n"/>
      <c r="BT146" s="1064" t="n"/>
    </row>
    <row r="147" ht="13.2" customHeight="1" s="586">
      <c r="A147" s="1051" t="inlineStr">
        <is>
          <t>Desktop HW</t>
        </is>
      </c>
      <c r="B147" s="1052" t="inlineStr">
        <is>
          <t>BE</t>
        </is>
      </c>
      <c r="C147" s="1052" t="inlineStr">
        <is>
          <t>Printer Network big color</t>
        </is>
      </c>
      <c r="D147" s="1053" t="inlineStr">
        <is>
          <t>L</t>
        </is>
      </c>
      <c r="E147" s="1054" t="n">
        <v>543929.701403814</v>
      </c>
      <c r="F147" s="1052" t="n">
        <v>25</v>
      </c>
      <c r="G147" s="1052" t="n">
        <v>36</v>
      </c>
      <c r="H147" s="1054" t="n"/>
      <c r="I147" s="1054" t="n"/>
      <c r="J147" s="1054" t="n">
        <v>152866.003282528</v>
      </c>
      <c r="K147" s="1054" t="n">
        <v>152866.003282528</v>
      </c>
      <c r="L147" s="1056" t="n">
        <v>152866.003282528</v>
      </c>
      <c r="M147" s="1064" t="n"/>
      <c r="N147" s="1064" t="n"/>
      <c r="O147" s="1064" t="n"/>
      <c r="P147" s="1064" t="n"/>
      <c r="Q147" s="1064" t="n"/>
      <c r="R147" s="1064" t="n"/>
      <c r="S147" s="1064" t="n"/>
      <c r="T147" s="1064" t="n"/>
      <c r="U147" s="1064" t="n"/>
      <c r="V147" s="1064" t="n"/>
      <c r="W147" s="1064" t="n"/>
      <c r="X147" s="1064" t="n"/>
      <c r="Y147" s="1064" t="n"/>
      <c r="Z147" s="1064" t="n"/>
      <c r="AA147" s="1064" t="n"/>
      <c r="AB147" s="1064" t="n"/>
      <c r="AC147" s="1064" t="n"/>
      <c r="AD147" s="1064" t="n"/>
      <c r="AE147" s="1064" t="n"/>
      <c r="AF147" s="1064" t="n"/>
      <c r="AG147" s="1064" t="n"/>
      <c r="AH147" s="1064" t="n"/>
      <c r="AI147" s="1064" t="n"/>
      <c r="AJ147" s="1064" t="n"/>
      <c r="AK147" s="1064" t="n"/>
      <c r="AL147" s="1064" t="n"/>
      <c r="AM147" s="1064" t="n"/>
      <c r="AN147" s="1064" t="n"/>
      <c r="AO147" s="1064" t="n"/>
      <c r="AP147" s="1064" t="n"/>
      <c r="AQ147" s="1064" t="n"/>
      <c r="AR147" s="1064" t="n"/>
      <c r="AS147" s="1064" t="n"/>
      <c r="AT147" s="1064" t="n"/>
      <c r="AU147" s="1064" t="n"/>
      <c r="AV147" s="1064" t="n"/>
      <c r="AW147" s="1064" t="n"/>
      <c r="AX147" s="1064" t="n"/>
      <c r="AY147" s="1064" t="n"/>
      <c r="AZ147" s="1064" t="n"/>
      <c r="BA147" s="1064" t="n"/>
      <c r="BB147" s="1064" t="n"/>
      <c r="BC147" s="1064" t="n"/>
      <c r="BD147" s="1064" t="n"/>
      <c r="BE147" s="1064" t="n"/>
      <c r="BF147" s="1064" t="n"/>
      <c r="BG147" s="1064" t="n"/>
      <c r="BH147" s="1064" t="n"/>
      <c r="BI147" s="1064" t="n"/>
      <c r="BJ147" s="1064" t="n"/>
      <c r="BK147" s="1064" t="n"/>
      <c r="BL147" s="1064" t="n"/>
      <c r="BM147" s="1064" t="n"/>
      <c r="BN147" s="1064" t="n"/>
      <c r="BO147" s="1064" t="n"/>
      <c r="BP147" s="1064" t="n"/>
      <c r="BQ147" s="1064" t="n"/>
      <c r="BR147" s="1064" t="n"/>
      <c r="BS147" s="1064" t="n"/>
      <c r="BT147" s="1064" t="n"/>
    </row>
    <row r="148" ht="13.2" customHeight="1" s="586">
      <c r="A148" s="1051" t="inlineStr">
        <is>
          <t>Desktop HW</t>
        </is>
      </c>
      <c r="B148" s="1052" t="inlineStr">
        <is>
          <t>BE</t>
        </is>
      </c>
      <c r="C148" s="1052" t="inlineStr">
        <is>
          <t>Printer Network big color</t>
        </is>
      </c>
      <c r="D148" s="1053" t="inlineStr">
        <is>
          <t>L</t>
        </is>
      </c>
      <c r="E148" s="1054" t="n">
        <v>543929.701403814</v>
      </c>
      <c r="F148" s="1052" t="n">
        <v>37</v>
      </c>
      <c r="G148" s="1052" t="n">
        <v>36</v>
      </c>
      <c r="H148" s="1054" t="n"/>
      <c r="I148" s="1054" t="n"/>
      <c r="J148" s="1054" t="n"/>
      <c r="K148" s="1054" t="n">
        <v>152866.003282528</v>
      </c>
      <c r="L148" s="1056" t="n">
        <v>152866.003282528</v>
      </c>
      <c r="M148" s="1064" t="n"/>
      <c r="N148" s="1064" t="n"/>
      <c r="O148" s="1064" t="n"/>
      <c r="P148" s="1064" t="n"/>
      <c r="Q148" s="1064" t="n"/>
      <c r="R148" s="1064" t="n"/>
      <c r="S148" s="1064" t="n"/>
      <c r="T148" s="1064" t="n"/>
      <c r="U148" s="1064" t="n"/>
      <c r="V148" s="1064" t="n"/>
      <c r="W148" s="1064" t="n"/>
      <c r="X148" s="1064" t="n"/>
      <c r="Y148" s="1064" t="n"/>
      <c r="Z148" s="1064" t="n"/>
      <c r="AA148" s="1064" t="n"/>
      <c r="AB148" s="1064" t="n"/>
      <c r="AC148" s="1064" t="n"/>
      <c r="AD148" s="1064" t="n"/>
      <c r="AE148" s="1064" t="n"/>
      <c r="AF148" s="1064" t="n"/>
      <c r="AG148" s="1064" t="n"/>
      <c r="AH148" s="1064" t="n"/>
      <c r="AI148" s="1064" t="n"/>
      <c r="AJ148" s="1064" t="n"/>
      <c r="AK148" s="1064" t="n"/>
      <c r="AL148" s="1064" t="n"/>
      <c r="AM148" s="1064" t="n"/>
      <c r="AN148" s="1064" t="n"/>
      <c r="AO148" s="1064" t="n"/>
      <c r="AP148" s="1064" t="n"/>
      <c r="AQ148" s="1064" t="n"/>
      <c r="AR148" s="1064" t="n"/>
      <c r="AS148" s="1064" t="n"/>
      <c r="AT148" s="1064" t="n"/>
      <c r="AU148" s="1064" t="n"/>
      <c r="AV148" s="1064" t="n"/>
      <c r="AW148" s="1064" t="n"/>
      <c r="AX148" s="1064" t="n"/>
      <c r="AY148" s="1064" t="n"/>
      <c r="AZ148" s="1064" t="n"/>
      <c r="BA148" s="1064" t="n"/>
      <c r="BB148" s="1064" t="n"/>
      <c r="BC148" s="1064" t="n"/>
      <c r="BD148" s="1064" t="n"/>
      <c r="BE148" s="1064" t="n"/>
      <c r="BF148" s="1064" t="n"/>
      <c r="BG148" s="1064" t="n"/>
      <c r="BH148" s="1064" t="n"/>
      <c r="BI148" s="1064" t="n"/>
      <c r="BJ148" s="1064" t="n"/>
      <c r="BK148" s="1064" t="n"/>
      <c r="BL148" s="1064" t="n"/>
      <c r="BM148" s="1064" t="n"/>
      <c r="BN148" s="1064" t="n"/>
      <c r="BO148" s="1064" t="n"/>
      <c r="BP148" s="1064" t="n"/>
      <c r="BQ148" s="1064" t="n"/>
      <c r="BR148" s="1064" t="n"/>
      <c r="BS148" s="1064" t="n"/>
      <c r="BT148" s="1064" t="n"/>
    </row>
    <row r="149" ht="13.2" customHeight="1" s="586">
      <c r="A149" s="1051" t="inlineStr">
        <is>
          <t>Desktop HW</t>
        </is>
      </c>
      <c r="B149" s="1052" t="inlineStr">
        <is>
          <t>BE</t>
        </is>
      </c>
      <c r="C149" s="1052" t="inlineStr">
        <is>
          <t>Printer Network big color</t>
        </is>
      </c>
      <c r="D149" s="1053" t="inlineStr">
        <is>
          <t>L</t>
        </is>
      </c>
      <c r="E149" s="1054" t="n">
        <v>543929.701403814</v>
      </c>
      <c r="F149" s="1052" t="n">
        <v>49</v>
      </c>
      <c r="G149" s="1052" t="n">
        <v>36</v>
      </c>
      <c r="H149" s="1054" t="n"/>
      <c r="I149" s="1054" t="n"/>
      <c r="J149" s="1054" t="n"/>
      <c r="K149" s="1054" t="n"/>
      <c r="L149" s="1056" t="n">
        <v>152866.003282528</v>
      </c>
      <c r="M149" s="1064" t="n"/>
      <c r="N149" s="1064" t="n"/>
      <c r="O149" s="1064" t="n"/>
      <c r="P149" s="1064" t="n"/>
      <c r="Q149" s="1064" t="n"/>
      <c r="R149" s="1064" t="n"/>
      <c r="S149" s="1064" t="n"/>
      <c r="T149" s="1064" t="n"/>
      <c r="U149" s="1064" t="n"/>
      <c r="V149" s="1064" t="n"/>
      <c r="W149" s="1064" t="n"/>
      <c r="X149" s="1064" t="n"/>
      <c r="Y149" s="1064" t="n"/>
      <c r="Z149" s="1064" t="n"/>
      <c r="AA149" s="1064" t="n"/>
      <c r="AB149" s="1064" t="n"/>
      <c r="AC149" s="1064" t="n"/>
      <c r="AD149" s="1064" t="n"/>
      <c r="AE149" s="1064" t="n"/>
      <c r="AF149" s="1064" t="n"/>
      <c r="AG149" s="1064" t="n"/>
      <c r="AH149" s="1064" t="n"/>
      <c r="AI149" s="1064" t="n"/>
      <c r="AJ149" s="1064" t="n"/>
      <c r="AK149" s="1064" t="n"/>
      <c r="AL149" s="1064" t="n"/>
      <c r="AM149" s="1064" t="n"/>
      <c r="AN149" s="1064" t="n"/>
      <c r="AO149" s="1064" t="n"/>
      <c r="AP149" s="1064" t="n"/>
      <c r="AQ149" s="1064" t="n"/>
      <c r="AR149" s="1064" t="n"/>
      <c r="AS149" s="1064" t="n"/>
      <c r="AT149" s="1064" t="n"/>
      <c r="AU149" s="1064" t="n"/>
      <c r="AV149" s="1064" t="n"/>
      <c r="AW149" s="1064" t="n"/>
      <c r="AX149" s="1064" t="n"/>
      <c r="AY149" s="1064" t="n"/>
      <c r="AZ149" s="1064" t="n"/>
      <c r="BA149" s="1064" t="n"/>
      <c r="BB149" s="1064" t="n"/>
      <c r="BC149" s="1064" t="n"/>
      <c r="BD149" s="1064" t="n"/>
      <c r="BE149" s="1064" t="n"/>
      <c r="BF149" s="1064" t="n"/>
      <c r="BG149" s="1064" t="n"/>
      <c r="BH149" s="1064" t="n"/>
      <c r="BI149" s="1064" t="n"/>
      <c r="BJ149" s="1064" t="n"/>
      <c r="BK149" s="1064" t="n"/>
      <c r="BL149" s="1064" t="n"/>
      <c r="BM149" s="1064" t="n"/>
      <c r="BN149" s="1064" t="n"/>
      <c r="BO149" s="1064" t="n"/>
      <c r="BP149" s="1064" t="n"/>
      <c r="BQ149" s="1064" t="n"/>
      <c r="BR149" s="1064" t="n"/>
      <c r="BS149" s="1064" t="n"/>
      <c r="BT149" s="1064" t="n"/>
    </row>
    <row r="150" ht="13.2" customHeight="1" s="586">
      <c r="A150" s="1066" t="n"/>
      <c r="B150" s="1067" t="n"/>
      <c r="C150" s="1067" t="n"/>
      <c r="D150" s="1068" t="n"/>
      <c r="E150" s="1069" t="n"/>
      <c r="F150" s="1067" t="n"/>
      <c r="G150" s="1067" t="n"/>
      <c r="H150" s="1069" t="n"/>
      <c r="I150" s="1069" t="n"/>
      <c r="J150" s="1069" t="n"/>
      <c r="K150" s="1069" t="n"/>
      <c r="L150" s="1070" t="n"/>
    </row>
    <row r="151" ht="13.2" customHeight="1" s="586">
      <c r="A151" s="1051" t="inlineStr">
        <is>
          <t>Server</t>
        </is>
      </c>
      <c r="B151" s="1052" t="inlineStr">
        <is>
          <t>NL</t>
        </is>
      </c>
      <c r="C151" s="1052" t="inlineStr">
        <is>
          <t>2 way - central</t>
        </is>
      </c>
      <c r="D151" s="1053" t="inlineStr">
        <is>
          <t>I</t>
        </is>
      </c>
      <c r="E151" s="1054" t="n">
        <v>343349.301790281</v>
      </c>
      <c r="F151" s="1052" t="n">
        <v>1</v>
      </c>
      <c r="G151" s="1052" t="n">
        <v>36</v>
      </c>
      <c r="H151" s="1054" t="n">
        <v>114449.767263427</v>
      </c>
      <c r="I151" s="1054" t="n">
        <v>114449.767263427</v>
      </c>
      <c r="J151" s="1054" t="n">
        <v>114449.767263427</v>
      </c>
      <c r="K151" s="1054" t="n"/>
      <c r="L151" s="1056" t="n"/>
    </row>
    <row r="152" ht="13.2" customHeight="1" s="586">
      <c r="A152" s="1051" t="inlineStr">
        <is>
          <t>Server</t>
        </is>
      </c>
      <c r="B152" s="1052" t="inlineStr">
        <is>
          <t>NL</t>
        </is>
      </c>
      <c r="C152" s="1052" t="inlineStr">
        <is>
          <t>2 way - central</t>
        </is>
      </c>
      <c r="D152" s="1053" t="inlineStr">
        <is>
          <t>I</t>
        </is>
      </c>
      <c r="E152" s="1054" t="n">
        <v>349768.023255814</v>
      </c>
      <c r="F152" s="1052" t="n">
        <v>13</v>
      </c>
      <c r="G152" s="1052" t="n">
        <v>36</v>
      </c>
      <c r="H152" s="1054" t="n"/>
      <c r="I152" s="1054" t="n">
        <v>116589.341085271</v>
      </c>
      <c r="J152" s="1054" t="n">
        <v>116589.341085271</v>
      </c>
      <c r="K152" s="1054" t="n">
        <v>116589.341085271</v>
      </c>
      <c r="L152" s="1056" t="n"/>
    </row>
    <row r="153" ht="13.2" customHeight="1" s="586">
      <c r="A153" s="1051" t="inlineStr">
        <is>
          <t>Server</t>
        </is>
      </c>
      <c r="B153" s="1052" t="inlineStr">
        <is>
          <t>NL</t>
        </is>
      </c>
      <c r="C153" s="1052" t="inlineStr">
        <is>
          <t>2 way - central</t>
        </is>
      </c>
      <c r="D153" s="1053" t="inlineStr">
        <is>
          <t>I</t>
        </is>
      </c>
      <c r="E153" s="1054" t="n">
        <v>349768.023255814</v>
      </c>
      <c r="F153" s="1052" t="n">
        <v>25</v>
      </c>
      <c r="G153" s="1052" t="n">
        <v>36</v>
      </c>
      <c r="H153" s="1054" t="n"/>
      <c r="I153" s="1054" t="n"/>
      <c r="J153" s="1054" t="n">
        <v>116589.341085271</v>
      </c>
      <c r="K153" s="1054" t="n">
        <v>116589.341085271</v>
      </c>
      <c r="L153" s="1056" t="n">
        <v>116589.341085271</v>
      </c>
    </row>
    <row r="154" ht="13.2" customHeight="1" s="586">
      <c r="A154" s="1051" t="inlineStr">
        <is>
          <t>Server</t>
        </is>
      </c>
      <c r="B154" s="1052" t="inlineStr">
        <is>
          <t>NL</t>
        </is>
      </c>
      <c r="C154" s="1052" t="inlineStr">
        <is>
          <t>2 way - central</t>
        </is>
      </c>
      <c r="D154" s="1053" t="inlineStr">
        <is>
          <t>I</t>
        </is>
      </c>
      <c r="E154" s="1054" t="n">
        <v>349768.023255814</v>
      </c>
      <c r="F154" s="1052" t="n">
        <v>37</v>
      </c>
      <c r="G154" s="1052" t="n">
        <v>36</v>
      </c>
      <c r="H154" s="1054" t="n"/>
      <c r="I154" s="1054" t="n"/>
      <c r="J154" s="1054" t="n"/>
      <c r="K154" s="1054" t="n">
        <v>116589.341085271</v>
      </c>
      <c r="L154" s="1056" t="n">
        <v>116589.341085271</v>
      </c>
    </row>
    <row r="155" ht="13.2" customHeight="1" s="586">
      <c r="A155" s="1051" t="inlineStr">
        <is>
          <t>Server</t>
        </is>
      </c>
      <c r="B155" s="1052" t="inlineStr">
        <is>
          <t>NL</t>
        </is>
      </c>
      <c r="C155" s="1052" t="inlineStr">
        <is>
          <t>2 way - central</t>
        </is>
      </c>
      <c r="D155" s="1053" t="inlineStr">
        <is>
          <t>I</t>
        </is>
      </c>
      <c r="E155" s="1054" t="n">
        <v>349768.023255814</v>
      </c>
      <c r="F155" s="1052" t="n">
        <v>49</v>
      </c>
      <c r="G155" s="1052" t="n">
        <v>36</v>
      </c>
      <c r="H155" s="1054" t="n"/>
      <c r="I155" s="1054" t="n"/>
      <c r="J155" s="1054" t="n"/>
      <c r="K155" s="1054" t="n"/>
      <c r="L155" s="1056" t="n">
        <v>116589.341085271</v>
      </c>
    </row>
    <row r="156" ht="13.2" customHeight="1" s="586">
      <c r="A156" s="1051" t="inlineStr">
        <is>
          <t>Server</t>
        </is>
      </c>
      <c r="B156" s="1052" t="inlineStr">
        <is>
          <t>NL</t>
        </is>
      </c>
      <c r="C156" s="1052" t="inlineStr">
        <is>
          <t>4 way - central</t>
        </is>
      </c>
      <c r="D156" s="1053" t="inlineStr">
        <is>
          <t>I</t>
        </is>
      </c>
      <c r="E156" s="1054" t="n">
        <v>774051.3491048591</v>
      </c>
      <c r="F156" s="1052" t="n">
        <v>1</v>
      </c>
      <c r="G156" s="1052" t="n">
        <v>36</v>
      </c>
      <c r="H156" s="1054" t="n">
        <v>258017.116368286</v>
      </c>
      <c r="I156" s="1054" t="n">
        <v>258017.116368286</v>
      </c>
      <c r="J156" s="1054" t="n">
        <v>258017.116368286</v>
      </c>
      <c r="K156" s="1054" t="n"/>
      <c r="L156" s="1056" t="n"/>
    </row>
    <row r="157" ht="13.2" customHeight="1" s="586">
      <c r="A157" s="1051" t="inlineStr">
        <is>
          <t>Server</t>
        </is>
      </c>
      <c r="B157" s="1052" t="inlineStr">
        <is>
          <t>NL</t>
        </is>
      </c>
      <c r="C157" s="1052" t="inlineStr">
        <is>
          <t>4 way - central</t>
        </is>
      </c>
      <c r="D157" s="1053" t="inlineStr">
        <is>
          <t>I</t>
        </is>
      </c>
      <c r="E157" s="1054" t="n">
        <v>788521.802325581</v>
      </c>
      <c r="F157" s="1052" t="n">
        <v>13</v>
      </c>
      <c r="G157" s="1052" t="n">
        <v>36</v>
      </c>
      <c r="H157" s="1054" t="n"/>
      <c r="I157" s="1054" t="n">
        <v>262840.600775194</v>
      </c>
      <c r="J157" s="1054" t="n">
        <v>262840.600775194</v>
      </c>
      <c r="K157" s="1054" t="n">
        <v>262840.600775194</v>
      </c>
      <c r="L157" s="1056" t="n"/>
    </row>
    <row r="158" ht="13.2" customHeight="1" s="586">
      <c r="A158" s="1051" t="inlineStr">
        <is>
          <t>Server</t>
        </is>
      </c>
      <c r="B158" s="1052" t="inlineStr">
        <is>
          <t>NL</t>
        </is>
      </c>
      <c r="C158" s="1052" t="inlineStr">
        <is>
          <t>4 way - central</t>
        </is>
      </c>
      <c r="D158" s="1053" t="inlineStr">
        <is>
          <t>I</t>
        </is>
      </c>
      <c r="E158" s="1054" t="n">
        <v>788521.802325581</v>
      </c>
      <c r="F158" s="1052" t="n">
        <v>25</v>
      </c>
      <c r="G158" s="1052" t="n">
        <v>36</v>
      </c>
      <c r="H158" s="1054" t="n"/>
      <c r="I158" s="1054" t="n"/>
      <c r="J158" s="1054" t="n">
        <v>262840.600775194</v>
      </c>
      <c r="K158" s="1054" t="n">
        <v>262840.600775194</v>
      </c>
      <c r="L158" s="1056" t="n">
        <v>262840.600775194</v>
      </c>
    </row>
    <row r="159" ht="13.2" customHeight="1" s="586">
      <c r="A159" s="1051" t="inlineStr">
        <is>
          <t>Server</t>
        </is>
      </c>
      <c r="B159" s="1052" t="inlineStr">
        <is>
          <t>NL</t>
        </is>
      </c>
      <c r="C159" s="1052" t="inlineStr">
        <is>
          <t>4 way - central</t>
        </is>
      </c>
      <c r="D159" s="1053" t="inlineStr">
        <is>
          <t>I</t>
        </is>
      </c>
      <c r="E159" s="1054" t="n">
        <v>788521.802325581</v>
      </c>
      <c r="F159" s="1052" t="n">
        <v>37</v>
      </c>
      <c r="G159" s="1052" t="n">
        <v>36</v>
      </c>
      <c r="H159" s="1054" t="n"/>
      <c r="I159" s="1054" t="n"/>
      <c r="J159" s="1054" t="n"/>
      <c r="K159" s="1054" t="n">
        <v>262840.600775194</v>
      </c>
      <c r="L159" s="1056" t="n">
        <v>262840.600775194</v>
      </c>
    </row>
    <row r="160" ht="13.2" customHeight="1" s="586">
      <c r="A160" s="1051" t="inlineStr">
        <is>
          <t>Server</t>
        </is>
      </c>
      <c r="B160" s="1052" t="inlineStr">
        <is>
          <t>NL</t>
        </is>
      </c>
      <c r="C160" s="1052" t="inlineStr">
        <is>
          <t>4 way - central</t>
        </is>
      </c>
      <c r="D160" s="1053" t="inlineStr">
        <is>
          <t>I</t>
        </is>
      </c>
      <c r="E160" s="1054" t="n">
        <v>788521.802325581</v>
      </c>
      <c r="F160" s="1052" t="n">
        <v>49</v>
      </c>
      <c r="G160" s="1052" t="n">
        <v>36</v>
      </c>
      <c r="H160" s="1054" t="n"/>
      <c r="I160" s="1054" t="n"/>
      <c r="J160" s="1054" t="n"/>
      <c r="K160" s="1054" t="n"/>
      <c r="L160" s="1056" t="n">
        <v>262840.600775194</v>
      </c>
    </row>
    <row r="161" ht="13.2" customHeight="1" s="586">
      <c r="A161" s="1051" t="inlineStr">
        <is>
          <t>Server</t>
        </is>
      </c>
      <c r="B161" s="1052" t="inlineStr">
        <is>
          <t>NL</t>
        </is>
      </c>
      <c r="C161" s="1052" t="inlineStr">
        <is>
          <t>4/8 Way - central</t>
        </is>
      </c>
      <c r="D161" s="1053" t="inlineStr">
        <is>
          <t>I</t>
        </is>
      </c>
      <c r="E161" s="1054" t="n">
        <v>218062.20971867</v>
      </c>
      <c r="F161" s="1052" t="n">
        <v>1</v>
      </c>
      <c r="G161" s="1052" t="n">
        <v>36</v>
      </c>
      <c r="H161" s="1054" t="n">
        <v>72687.4032395567</v>
      </c>
      <c r="I161" s="1054" t="n">
        <v>72687.4032395567</v>
      </c>
      <c r="J161" s="1054" t="n">
        <v>72687.4032395567</v>
      </c>
      <c r="K161" s="1054" t="n"/>
      <c r="L161" s="1056" t="n"/>
    </row>
    <row r="162" ht="13.2" customHeight="1" s="586">
      <c r="A162" s="1051" t="inlineStr">
        <is>
          <t>Server</t>
        </is>
      </c>
      <c r="B162" s="1052" t="inlineStr">
        <is>
          <t>NL</t>
        </is>
      </c>
      <c r="C162" s="1052" t="inlineStr">
        <is>
          <t>4/8 Way - central</t>
        </is>
      </c>
      <c r="D162" s="1053" t="inlineStr">
        <is>
          <t>I</t>
        </is>
      </c>
      <c r="E162" s="1054" t="n">
        <v>214219.23255814</v>
      </c>
      <c r="F162" s="1052" t="n">
        <v>13</v>
      </c>
      <c r="G162" s="1052" t="n">
        <v>36</v>
      </c>
      <c r="H162" s="1054" t="n"/>
      <c r="I162" s="1054" t="n">
        <v>71406.4108527132</v>
      </c>
      <c r="J162" s="1054" t="n">
        <v>71406.4108527132</v>
      </c>
      <c r="K162" s="1054" t="n">
        <v>71406.4108527132</v>
      </c>
      <c r="L162" s="1056" t="n"/>
    </row>
    <row r="163" ht="13.2" customHeight="1" s="586">
      <c r="A163" s="1051" t="inlineStr">
        <is>
          <t>Server</t>
        </is>
      </c>
      <c r="B163" s="1052" t="inlineStr">
        <is>
          <t>NL</t>
        </is>
      </c>
      <c r="C163" s="1052" t="inlineStr">
        <is>
          <t>4/8 Way - central</t>
        </is>
      </c>
      <c r="D163" s="1053" t="inlineStr">
        <is>
          <t>I</t>
        </is>
      </c>
      <c r="E163" s="1054" t="n">
        <v>223638.759689922</v>
      </c>
      <c r="F163" s="1052" t="n">
        <v>25</v>
      </c>
      <c r="G163" s="1052" t="n">
        <v>36</v>
      </c>
      <c r="H163" s="1054" t="n"/>
      <c r="I163" s="1054" t="n"/>
      <c r="J163" s="1054" t="n">
        <v>74546.2532299742</v>
      </c>
      <c r="K163" s="1054" t="n">
        <v>74546.2532299742</v>
      </c>
      <c r="L163" s="1056" t="n">
        <v>74546.2532299742</v>
      </c>
    </row>
    <row r="164" ht="13.2" customHeight="1" s="586">
      <c r="A164" s="1051" t="inlineStr">
        <is>
          <t>Server</t>
        </is>
      </c>
      <c r="B164" s="1052" t="inlineStr">
        <is>
          <t>NL</t>
        </is>
      </c>
      <c r="C164" s="1052" t="inlineStr">
        <is>
          <t>4/8 Way - central</t>
        </is>
      </c>
      <c r="D164" s="1053" t="inlineStr">
        <is>
          <t>I</t>
        </is>
      </c>
      <c r="E164" s="1054" t="n">
        <v>214219</v>
      </c>
      <c r="F164" s="1052" t="n">
        <v>37</v>
      </c>
      <c r="G164" s="1052" t="n">
        <v>36</v>
      </c>
      <c r="H164" s="1054" t="n"/>
      <c r="I164" s="1054" t="n"/>
      <c r="J164" s="1054" t="n"/>
      <c r="K164" s="1054" t="n">
        <v>71406.3333333333</v>
      </c>
      <c r="L164" s="1056" t="n">
        <v>71406.3333333333</v>
      </c>
    </row>
    <row r="165" ht="13.2" customHeight="1" s="586">
      <c r="A165" s="1051" t="inlineStr">
        <is>
          <t>Server</t>
        </is>
      </c>
      <c r="B165" s="1052" t="inlineStr">
        <is>
          <t>NL</t>
        </is>
      </c>
      <c r="C165" s="1052" t="inlineStr">
        <is>
          <t>4/8 Way - central</t>
        </is>
      </c>
      <c r="D165" s="1053" t="inlineStr">
        <is>
          <t>I</t>
        </is>
      </c>
      <c r="E165" s="1054" t="n">
        <v>223638.759689922</v>
      </c>
      <c r="F165" s="1052" t="n">
        <v>49</v>
      </c>
      <c r="G165" s="1052" t="n">
        <v>36</v>
      </c>
      <c r="H165" s="1054" t="n"/>
      <c r="I165" s="1054" t="n"/>
      <c r="J165" s="1054" t="n"/>
      <c r="K165" s="1054" t="n"/>
      <c r="L165" s="1056" t="n">
        <v>74546.2532299742</v>
      </c>
    </row>
    <row r="166" ht="13.2" customHeight="1" s="586">
      <c r="A166" s="1051" t="inlineStr">
        <is>
          <t>Server</t>
        </is>
      </c>
      <c r="B166" s="1052" t="inlineStr">
        <is>
          <t>NL</t>
        </is>
      </c>
      <c r="C166" s="1052" t="inlineStr">
        <is>
          <t>1 way - decentral</t>
        </is>
      </c>
      <c r="D166" s="1053" t="inlineStr">
        <is>
          <t>I</t>
        </is>
      </c>
      <c r="E166" s="1054" t="n">
        <v>339315.601023018</v>
      </c>
      <c r="F166" s="1052" t="n">
        <v>1</v>
      </c>
      <c r="G166" s="1052" t="n">
        <v>36</v>
      </c>
      <c r="H166" s="1054" t="n">
        <v>113105.200341006</v>
      </c>
      <c r="I166" s="1054" t="n">
        <v>113105.200341006</v>
      </c>
      <c r="J166" s="1054" t="n">
        <v>113105.200341006</v>
      </c>
      <c r="K166" s="1054" t="n"/>
      <c r="L166" s="1056" t="n"/>
    </row>
    <row r="167" ht="13.2" customHeight="1" s="586">
      <c r="A167" s="1051" t="inlineStr">
        <is>
          <t>Server</t>
        </is>
      </c>
      <c r="B167" s="1052" t="inlineStr">
        <is>
          <t>NL</t>
        </is>
      </c>
      <c r="C167" s="1052" t="inlineStr">
        <is>
          <t>1 way - decentral</t>
        </is>
      </c>
      <c r="D167" s="1053" t="inlineStr">
        <is>
          <t>I</t>
        </is>
      </c>
      <c r="E167" s="1054" t="n">
        <v>345658.914728682</v>
      </c>
      <c r="F167" s="1052" t="n">
        <v>13</v>
      </c>
      <c r="G167" s="1052" t="n">
        <v>36</v>
      </c>
      <c r="H167" s="1054" t="n"/>
      <c r="I167" s="1054" t="n">
        <v>115219.638242894</v>
      </c>
      <c r="J167" s="1054" t="n">
        <v>115219.638242894</v>
      </c>
      <c r="K167" s="1054" t="n">
        <v>115219.638242894</v>
      </c>
      <c r="L167" s="1056" t="n"/>
    </row>
    <row r="168" ht="13.2" customHeight="1" s="586">
      <c r="A168" s="1051" t="inlineStr">
        <is>
          <t>Server</t>
        </is>
      </c>
      <c r="B168" s="1052" t="inlineStr">
        <is>
          <t>NL</t>
        </is>
      </c>
      <c r="C168" s="1052" t="inlineStr">
        <is>
          <t>1 way - decentral</t>
        </is>
      </c>
      <c r="D168" s="1053" t="inlineStr">
        <is>
          <t>I</t>
        </is>
      </c>
      <c r="E168" s="1054" t="n">
        <v>345658.914728682</v>
      </c>
      <c r="F168" s="1052" t="n">
        <v>25</v>
      </c>
      <c r="G168" s="1052" t="n">
        <v>36</v>
      </c>
      <c r="H168" s="1054" t="n"/>
      <c r="I168" s="1054" t="n"/>
      <c r="J168" s="1054" t="n">
        <v>115219.638242894</v>
      </c>
      <c r="K168" s="1054" t="n">
        <v>115219.638242894</v>
      </c>
      <c r="L168" s="1056" t="n">
        <v>115219.638242894</v>
      </c>
    </row>
    <row r="169" ht="13.2" customHeight="1" s="586">
      <c r="A169" s="1051" t="inlineStr">
        <is>
          <t>Server</t>
        </is>
      </c>
      <c r="B169" s="1052" t="inlineStr">
        <is>
          <t>NL</t>
        </is>
      </c>
      <c r="C169" s="1052" t="inlineStr">
        <is>
          <t>1 way - decentral</t>
        </is>
      </c>
      <c r="D169" s="1053" t="inlineStr">
        <is>
          <t>I</t>
        </is>
      </c>
      <c r="E169" s="1054" t="n">
        <v>345658.914728682</v>
      </c>
      <c r="F169" s="1052" t="n">
        <v>37</v>
      </c>
      <c r="G169" s="1052" t="n">
        <v>36</v>
      </c>
      <c r="H169" s="1054" t="n"/>
      <c r="I169" s="1054" t="n"/>
      <c r="J169" s="1054" t="n"/>
      <c r="K169" s="1054" t="n">
        <v>115219.638242894</v>
      </c>
      <c r="L169" s="1056" t="n">
        <v>115219.638242894</v>
      </c>
    </row>
    <row r="170" ht="13.2" customHeight="1" s="586">
      <c r="A170" s="1051" t="inlineStr">
        <is>
          <t>Server</t>
        </is>
      </c>
      <c r="B170" s="1052" t="inlineStr">
        <is>
          <t>NL</t>
        </is>
      </c>
      <c r="C170" s="1052" t="inlineStr">
        <is>
          <t>1 way - decentral</t>
        </is>
      </c>
      <c r="D170" s="1053" t="inlineStr">
        <is>
          <t>I</t>
        </is>
      </c>
      <c r="E170" s="1054" t="n">
        <v>345658.914728682</v>
      </c>
      <c r="F170" s="1052" t="n">
        <v>49</v>
      </c>
      <c r="G170" s="1052" t="n">
        <v>36</v>
      </c>
      <c r="H170" s="1054" t="n"/>
      <c r="I170" s="1054" t="n"/>
      <c r="J170" s="1054" t="n"/>
      <c r="K170" s="1054" t="n"/>
      <c r="L170" s="1056" t="n">
        <v>115219.638242894</v>
      </c>
    </row>
    <row r="171" ht="13.2" customHeight="1" s="586">
      <c r="A171" s="1051" t="inlineStr">
        <is>
          <t>Server</t>
        </is>
      </c>
      <c r="B171" s="1052" t="inlineStr">
        <is>
          <t>NL</t>
        </is>
      </c>
      <c r="C171" s="1052" t="inlineStr">
        <is>
          <t>2 way - decentral</t>
        </is>
      </c>
      <c r="D171" s="1053" t="inlineStr">
        <is>
          <t>I</t>
        </is>
      </c>
      <c r="E171" s="1054" t="n">
        <v>87695.27621483379</v>
      </c>
      <c r="F171" s="1052" t="n">
        <v>1</v>
      </c>
      <c r="G171" s="1052" t="n">
        <v>36</v>
      </c>
      <c r="H171" s="1054" t="n">
        <v>29231.7587382779</v>
      </c>
      <c r="I171" s="1054" t="n">
        <v>29231.7587382779</v>
      </c>
      <c r="J171" s="1054" t="n">
        <v>29231.7587382779</v>
      </c>
      <c r="K171" s="1054" t="n"/>
      <c r="L171" s="1056" t="n"/>
    </row>
    <row r="172" ht="13.2" customHeight="1" s="586">
      <c r="A172" s="1051" t="inlineStr">
        <is>
          <t>Server</t>
        </is>
      </c>
      <c r="B172" s="1052" t="inlineStr">
        <is>
          <t>NL</t>
        </is>
      </c>
      <c r="C172" s="1052" t="inlineStr">
        <is>
          <t>2 way - decentral</t>
        </is>
      </c>
      <c r="D172" s="1053" t="inlineStr">
        <is>
          <t>I</t>
        </is>
      </c>
      <c r="E172" s="1054" t="n">
        <v>89334.6899224806</v>
      </c>
      <c r="F172" s="1052" t="n">
        <v>13</v>
      </c>
      <c r="G172" s="1052" t="n">
        <v>36</v>
      </c>
      <c r="H172" s="1054" t="n"/>
      <c r="I172" s="1054" t="n">
        <v>29778.2299741602</v>
      </c>
      <c r="J172" s="1054" t="n">
        <v>29778.2299741602</v>
      </c>
      <c r="K172" s="1054" t="n">
        <v>29778.2299741602</v>
      </c>
      <c r="L172" s="1056" t="n"/>
    </row>
    <row r="173" ht="13.2" customHeight="1" s="586">
      <c r="A173" s="1051" t="inlineStr">
        <is>
          <t>Server</t>
        </is>
      </c>
      <c r="B173" s="1052" t="inlineStr">
        <is>
          <t>NL</t>
        </is>
      </c>
      <c r="C173" s="1052" t="inlineStr">
        <is>
          <t>2 way - decentral</t>
        </is>
      </c>
      <c r="D173" s="1053" t="inlineStr">
        <is>
          <t>I</t>
        </is>
      </c>
      <c r="E173" s="1054" t="n">
        <v>89334.6899224806</v>
      </c>
      <c r="F173" s="1052" t="n">
        <v>25</v>
      </c>
      <c r="G173" s="1052" t="n">
        <v>36</v>
      </c>
      <c r="H173" s="1054" t="n"/>
      <c r="I173" s="1054" t="n"/>
      <c r="J173" s="1054" t="n">
        <v>29778.2299741602</v>
      </c>
      <c r="K173" s="1054" t="n">
        <v>29778.2299741602</v>
      </c>
      <c r="L173" s="1056" t="n">
        <v>29778.2299741602</v>
      </c>
    </row>
    <row r="174" ht="13.2" customHeight="1" s="586">
      <c r="A174" s="1051" t="inlineStr">
        <is>
          <t>Server</t>
        </is>
      </c>
      <c r="B174" s="1052" t="inlineStr">
        <is>
          <t>NL</t>
        </is>
      </c>
      <c r="C174" s="1052" t="inlineStr">
        <is>
          <t>2 way - decentral</t>
        </is>
      </c>
      <c r="D174" s="1053" t="inlineStr">
        <is>
          <t>I</t>
        </is>
      </c>
      <c r="E174" s="1054" t="n">
        <v>89334.6899224806</v>
      </c>
      <c r="F174" s="1052" t="n">
        <v>37</v>
      </c>
      <c r="G174" s="1052" t="n">
        <v>36</v>
      </c>
      <c r="H174" s="1054" t="n"/>
      <c r="I174" s="1054" t="n"/>
      <c r="J174" s="1054" t="n"/>
      <c r="K174" s="1054" t="n">
        <v>29778.2299741602</v>
      </c>
      <c r="L174" s="1056" t="n">
        <v>29778.2299741602</v>
      </c>
    </row>
    <row r="175" ht="13.2" customHeight="1" s="586">
      <c r="A175" s="1051" t="inlineStr">
        <is>
          <t>Server</t>
        </is>
      </c>
      <c r="B175" s="1052" t="inlineStr">
        <is>
          <t>NL</t>
        </is>
      </c>
      <c r="C175" s="1052" t="inlineStr">
        <is>
          <t>2 way - decentral</t>
        </is>
      </c>
      <c r="D175" s="1053" t="inlineStr">
        <is>
          <t>I</t>
        </is>
      </c>
      <c r="E175" s="1054" t="n">
        <v>89334.6899224806</v>
      </c>
      <c r="F175" s="1052" t="n">
        <v>49</v>
      </c>
      <c r="G175" s="1052" t="n">
        <v>36</v>
      </c>
      <c r="H175" s="1054" t="n"/>
      <c r="I175" s="1054" t="n"/>
      <c r="J175" s="1054" t="n"/>
      <c r="K175" s="1054" t="n"/>
      <c r="L175" s="1056" t="n">
        <v>29778.2299741602</v>
      </c>
    </row>
    <row r="176" ht="13.2" customHeight="1" s="586">
      <c r="A176" s="1051" t="inlineStr">
        <is>
          <t>Server</t>
        </is>
      </c>
      <c r="B176" s="1052" t="inlineStr">
        <is>
          <t>BE</t>
        </is>
      </c>
      <c r="C176" s="1052" t="inlineStr">
        <is>
          <t>2 way - central</t>
        </is>
      </c>
      <c r="D176" s="1053" t="inlineStr">
        <is>
          <t>I</t>
        </is>
      </c>
      <c r="E176" s="1054" t="n">
        <v>73143.6982097187</v>
      </c>
      <c r="F176" s="1052" t="n">
        <v>1</v>
      </c>
      <c r="G176" s="1052" t="n">
        <v>36</v>
      </c>
      <c r="H176" s="1054" t="n">
        <v>24381.2327365729</v>
      </c>
      <c r="I176" s="1054" t="n">
        <v>24381.2327365729</v>
      </c>
      <c r="J176" s="1054" t="n">
        <v>24381.2327365729</v>
      </c>
      <c r="K176" s="1054" t="n"/>
      <c r="L176" s="1056" t="n"/>
    </row>
    <row r="177" ht="13.2" customHeight="1" s="586">
      <c r="A177" s="1051" t="inlineStr">
        <is>
          <t>Server</t>
        </is>
      </c>
      <c r="B177" s="1052" t="inlineStr">
        <is>
          <t>BE</t>
        </is>
      </c>
      <c r="C177" s="1052" t="inlineStr">
        <is>
          <t>2 way - central</t>
        </is>
      </c>
      <c r="D177" s="1053" t="inlineStr">
        <is>
          <t>I</t>
        </is>
      </c>
      <c r="E177" s="1054" t="n">
        <v>66724.9767441861</v>
      </c>
      <c r="F177" s="1052" t="n">
        <v>13</v>
      </c>
      <c r="G177" s="1052" t="n">
        <v>36</v>
      </c>
      <c r="H177" s="1054" t="n"/>
      <c r="I177" s="1054" t="n">
        <v>22241.6589147287</v>
      </c>
      <c r="J177" s="1054" t="n">
        <v>22241.6589147287</v>
      </c>
      <c r="K177" s="1054" t="n">
        <v>22241.6589147287</v>
      </c>
      <c r="L177" s="1056" t="n"/>
    </row>
    <row r="178" ht="13.2" customHeight="1" s="586">
      <c r="A178" s="1051" t="inlineStr">
        <is>
          <t>Server</t>
        </is>
      </c>
      <c r="B178" s="1052" t="inlineStr">
        <is>
          <t>BE</t>
        </is>
      </c>
      <c r="C178" s="1052" t="inlineStr">
        <is>
          <t>2 way - central</t>
        </is>
      </c>
      <c r="D178" s="1053" t="inlineStr">
        <is>
          <t>I</t>
        </is>
      </c>
      <c r="E178" s="1054" t="n">
        <v>66724.9767441861</v>
      </c>
      <c r="F178" s="1052" t="n">
        <v>25</v>
      </c>
      <c r="G178" s="1052" t="n">
        <v>36</v>
      </c>
      <c r="H178" s="1054" t="n"/>
      <c r="I178" s="1054" t="n"/>
      <c r="J178" s="1054" t="n">
        <v>22241.6589147287</v>
      </c>
      <c r="K178" s="1054" t="n">
        <v>22241.6589147287</v>
      </c>
      <c r="L178" s="1056" t="n">
        <v>22241.6589147287</v>
      </c>
    </row>
    <row r="179" ht="13.2" customHeight="1" s="586">
      <c r="A179" s="1051" t="inlineStr">
        <is>
          <t>Server</t>
        </is>
      </c>
      <c r="B179" s="1052" t="inlineStr">
        <is>
          <t>BE</t>
        </is>
      </c>
      <c r="C179" s="1052" t="inlineStr">
        <is>
          <t>2 way - central</t>
        </is>
      </c>
      <c r="D179" s="1053" t="inlineStr">
        <is>
          <t>I</t>
        </is>
      </c>
      <c r="E179" s="1054" t="n">
        <v>66724.9767441861</v>
      </c>
      <c r="F179" s="1052" t="n">
        <v>37</v>
      </c>
      <c r="G179" s="1052" t="n">
        <v>36</v>
      </c>
      <c r="H179" s="1054" t="n"/>
      <c r="I179" s="1054" t="n"/>
      <c r="J179" s="1054" t="n"/>
      <c r="K179" s="1054" t="n">
        <v>22241.6589147287</v>
      </c>
      <c r="L179" s="1056" t="n">
        <v>22241.6589147287</v>
      </c>
    </row>
    <row r="180" ht="13.2" customHeight="1" s="586">
      <c r="A180" s="1051" t="inlineStr">
        <is>
          <t>Server</t>
        </is>
      </c>
      <c r="B180" s="1052" t="inlineStr">
        <is>
          <t>BE</t>
        </is>
      </c>
      <c r="C180" s="1052" t="inlineStr">
        <is>
          <t>2 way - central</t>
        </is>
      </c>
      <c r="D180" s="1053" t="inlineStr">
        <is>
          <t>I</t>
        </is>
      </c>
      <c r="E180" s="1054" t="n">
        <v>66724.9767441861</v>
      </c>
      <c r="F180" s="1052" t="n">
        <v>49</v>
      </c>
      <c r="G180" s="1052" t="n">
        <v>36</v>
      </c>
      <c r="H180" s="1054" t="n"/>
      <c r="I180" s="1054" t="n"/>
      <c r="J180" s="1054" t="n"/>
      <c r="K180" s="1054" t="n"/>
      <c r="L180" s="1056" t="n">
        <v>22241.6589147287</v>
      </c>
    </row>
    <row r="181" ht="13.2" customHeight="1" s="586">
      <c r="A181" s="1051" t="inlineStr">
        <is>
          <t>Server</t>
        </is>
      </c>
      <c r="B181" s="1052" t="inlineStr">
        <is>
          <t>BE</t>
        </is>
      </c>
      <c r="C181" s="1052" t="inlineStr">
        <is>
          <t>4 way - central</t>
        </is>
      </c>
      <c r="D181" s="1053" t="inlineStr">
        <is>
          <t>I</t>
        </is>
      </c>
      <c r="E181" s="1054" t="n">
        <v>164896.150895141</v>
      </c>
      <c r="F181" s="1052" t="n">
        <v>1</v>
      </c>
      <c r="G181" s="1052" t="n">
        <v>36</v>
      </c>
      <c r="H181" s="1054" t="n">
        <v>54965.3836317136</v>
      </c>
      <c r="I181" s="1054" t="n">
        <v>54965.3836317136</v>
      </c>
      <c r="J181" s="1054" t="n">
        <v>54965.3836317136</v>
      </c>
      <c r="K181" s="1054" t="n"/>
      <c r="L181" s="1056" t="n"/>
    </row>
    <row r="182" ht="13.2" customHeight="1" s="586">
      <c r="A182" s="1051" t="inlineStr">
        <is>
          <t>Server</t>
        </is>
      </c>
      <c r="B182" s="1052" t="inlineStr">
        <is>
          <t>BE</t>
        </is>
      </c>
      <c r="C182" s="1052" t="inlineStr">
        <is>
          <t>4 way - central</t>
        </is>
      </c>
      <c r="D182" s="1053" t="inlineStr">
        <is>
          <t>I</t>
        </is>
      </c>
      <c r="E182" s="1054" t="n">
        <v>150425.697674419</v>
      </c>
      <c r="F182" s="1052" t="n">
        <v>13</v>
      </c>
      <c r="G182" s="1052" t="n">
        <v>36</v>
      </c>
      <c r="H182" s="1054" t="n"/>
      <c r="I182" s="1054" t="n">
        <v>50141.8992248062</v>
      </c>
      <c r="J182" s="1054" t="n">
        <v>50141.8992248062</v>
      </c>
      <c r="K182" s="1054" t="n">
        <v>50141.8992248062</v>
      </c>
      <c r="L182" s="1056" t="n"/>
    </row>
    <row r="183" ht="13.2" customHeight="1" s="586">
      <c r="A183" s="1051" t="inlineStr">
        <is>
          <t>Server</t>
        </is>
      </c>
      <c r="B183" s="1052" t="inlineStr">
        <is>
          <t>BE</t>
        </is>
      </c>
      <c r="C183" s="1052" t="inlineStr">
        <is>
          <t>4 way - central</t>
        </is>
      </c>
      <c r="D183" s="1053" t="inlineStr">
        <is>
          <t>I</t>
        </is>
      </c>
      <c r="E183" s="1054" t="n">
        <v>150425.697674419</v>
      </c>
      <c r="F183" s="1052" t="n">
        <v>25</v>
      </c>
      <c r="G183" s="1052" t="n">
        <v>36</v>
      </c>
      <c r="H183" s="1054" t="n"/>
      <c r="I183" s="1054" t="n"/>
      <c r="J183" s="1054" t="n">
        <v>50141.8992248062</v>
      </c>
      <c r="K183" s="1054" t="n">
        <v>50141.8992248062</v>
      </c>
      <c r="L183" s="1056" t="n">
        <v>50141.8992248062</v>
      </c>
    </row>
    <row r="184" ht="13.2" customHeight="1" s="586">
      <c r="A184" s="1051" t="inlineStr">
        <is>
          <t>Server</t>
        </is>
      </c>
      <c r="B184" s="1052" t="inlineStr">
        <is>
          <t>BE</t>
        </is>
      </c>
      <c r="C184" s="1052" t="inlineStr">
        <is>
          <t>4 way - central</t>
        </is>
      </c>
      <c r="D184" s="1053" t="inlineStr">
        <is>
          <t>I</t>
        </is>
      </c>
      <c r="E184" s="1054" t="n">
        <v>150425.697674419</v>
      </c>
      <c r="F184" s="1052" t="n">
        <v>37</v>
      </c>
      <c r="G184" s="1052" t="n">
        <v>36</v>
      </c>
      <c r="H184" s="1054" t="n"/>
      <c r="I184" s="1054" t="n"/>
      <c r="J184" s="1054" t="n"/>
      <c r="K184" s="1054" t="n">
        <v>50141.8992248062</v>
      </c>
      <c r="L184" s="1056" t="n">
        <v>50141.8992248062</v>
      </c>
    </row>
    <row r="185" ht="13.2" customHeight="1" s="586">
      <c r="A185" s="1051" t="inlineStr">
        <is>
          <t>Server</t>
        </is>
      </c>
      <c r="B185" s="1052" t="inlineStr">
        <is>
          <t>BE</t>
        </is>
      </c>
      <c r="C185" s="1052" t="inlineStr">
        <is>
          <t>4 way - central</t>
        </is>
      </c>
      <c r="D185" s="1053" t="inlineStr">
        <is>
          <t>I</t>
        </is>
      </c>
      <c r="E185" s="1054" t="n">
        <v>150425.697674419</v>
      </c>
      <c r="F185" s="1052" t="n">
        <v>49</v>
      </c>
      <c r="G185" s="1052" t="n">
        <v>36</v>
      </c>
      <c r="H185" s="1054" t="n"/>
      <c r="I185" s="1054" t="n"/>
      <c r="J185" s="1054" t="n"/>
      <c r="K185" s="1054" t="n"/>
      <c r="L185" s="1056" t="n">
        <v>50141.8992248062</v>
      </c>
    </row>
    <row r="186" ht="13.2" customHeight="1" s="586">
      <c r="A186" s="1051" t="inlineStr">
        <is>
          <t>Server</t>
        </is>
      </c>
      <c r="B186" s="1052" t="inlineStr">
        <is>
          <t>BE</t>
        </is>
      </c>
      <c r="C186" s="1052" t="inlineStr">
        <is>
          <t>4/8 Way - central</t>
        </is>
      </c>
      <c r="D186" s="1053" t="inlineStr">
        <is>
          <t>I</t>
        </is>
      </c>
      <c r="E186" s="1054" t="n">
        <v>46453.7902813299</v>
      </c>
      <c r="F186" s="1052" t="n">
        <v>1</v>
      </c>
      <c r="G186" s="1052" t="n">
        <v>36</v>
      </c>
      <c r="H186" s="1054" t="n">
        <v>15484.5967604433</v>
      </c>
      <c r="I186" s="1054" t="n">
        <v>15484.5967604433</v>
      </c>
      <c r="J186" s="1054" t="n">
        <v>15484.5967604433</v>
      </c>
      <c r="K186" s="1054" t="n"/>
      <c r="L186" s="1056" t="n"/>
    </row>
    <row r="187" ht="13.2" customHeight="1" s="586">
      <c r="A187" s="1051" t="inlineStr">
        <is>
          <t>Server</t>
        </is>
      </c>
      <c r="B187" s="1052" t="inlineStr">
        <is>
          <t>BE</t>
        </is>
      </c>
      <c r="C187" s="1052" t="inlineStr">
        <is>
          <t>4/8 Way - central</t>
        </is>
      </c>
      <c r="D187" s="1053" t="inlineStr">
        <is>
          <t>I</t>
        </is>
      </c>
      <c r="E187" s="1054" t="n">
        <v>40863.7674418605</v>
      </c>
      <c r="F187" s="1052" t="n">
        <v>13</v>
      </c>
      <c r="G187" s="1052" t="n">
        <v>36</v>
      </c>
      <c r="H187" s="1054" t="n"/>
      <c r="I187" s="1054" t="n">
        <v>13621.2558139535</v>
      </c>
      <c r="J187" s="1054" t="n">
        <v>13621.2558139535</v>
      </c>
      <c r="K187" s="1054" t="n">
        <v>13621.2558139535</v>
      </c>
      <c r="L187" s="1056" t="n"/>
    </row>
    <row r="188" ht="13.2" customHeight="1" s="586">
      <c r="A188" s="1051" t="inlineStr">
        <is>
          <t>Server</t>
        </is>
      </c>
      <c r="B188" s="1052" t="inlineStr">
        <is>
          <t>BE</t>
        </is>
      </c>
      <c r="C188" s="1052" t="inlineStr">
        <is>
          <t>4/8 Way - central</t>
        </is>
      </c>
      <c r="D188" s="1053" t="inlineStr">
        <is>
          <t>I</t>
        </is>
      </c>
      <c r="E188" s="1054" t="n">
        <v>40863.7674418605</v>
      </c>
      <c r="F188" s="1052" t="n">
        <v>25</v>
      </c>
      <c r="G188" s="1052" t="n">
        <v>36</v>
      </c>
      <c r="H188" s="1054" t="n"/>
      <c r="I188" s="1054" t="n"/>
      <c r="J188" s="1054" t="n">
        <v>13621.2558139535</v>
      </c>
      <c r="K188" s="1054" t="n">
        <v>13621.2558139535</v>
      </c>
      <c r="L188" s="1056" t="n">
        <v>13621.2558139535</v>
      </c>
    </row>
    <row r="189" ht="13.2" customHeight="1" s="586">
      <c r="A189" s="1051" t="inlineStr">
        <is>
          <t>Server</t>
        </is>
      </c>
      <c r="B189" s="1052" t="inlineStr">
        <is>
          <t>BE</t>
        </is>
      </c>
      <c r="C189" s="1052" t="inlineStr">
        <is>
          <t>4/8 Way - central</t>
        </is>
      </c>
      <c r="D189" s="1053" t="inlineStr">
        <is>
          <t>I</t>
        </is>
      </c>
      <c r="E189" s="1054" t="n">
        <v>40863.7674418605</v>
      </c>
      <c r="F189" s="1052" t="n">
        <v>37</v>
      </c>
      <c r="G189" s="1052" t="n">
        <v>36</v>
      </c>
      <c r="H189" s="1054" t="n"/>
      <c r="I189" s="1054" t="n"/>
      <c r="J189" s="1054" t="n"/>
      <c r="K189" s="1054" t="n">
        <v>13621.2558139535</v>
      </c>
      <c r="L189" s="1056" t="n">
        <v>13621.2558139535</v>
      </c>
    </row>
    <row r="190" ht="13.2" customHeight="1" s="586">
      <c r="A190" s="1051" t="inlineStr">
        <is>
          <t>Server</t>
        </is>
      </c>
      <c r="B190" s="1052" t="inlineStr">
        <is>
          <t>BE</t>
        </is>
      </c>
      <c r="C190" s="1052" t="inlineStr">
        <is>
          <t>4/8 Way - central</t>
        </is>
      </c>
      <c r="D190" s="1053" t="inlineStr">
        <is>
          <t>I</t>
        </is>
      </c>
      <c r="E190" s="1054" t="n">
        <v>40863.7674418605</v>
      </c>
      <c r="F190" s="1052" t="n">
        <v>49</v>
      </c>
      <c r="G190" s="1052" t="n">
        <v>36</v>
      </c>
      <c r="H190" s="1054" t="n"/>
      <c r="I190" s="1054" t="n"/>
      <c r="J190" s="1054" t="n"/>
      <c r="K190" s="1054" t="n"/>
      <c r="L190" s="1056" t="n">
        <v>13621.2558139535</v>
      </c>
    </row>
    <row r="191" ht="13.2" customHeight="1" s="586">
      <c r="A191" s="1051" t="inlineStr">
        <is>
          <t>Server</t>
        </is>
      </c>
      <c r="B191" s="1052" t="inlineStr">
        <is>
          <t>BE</t>
        </is>
      </c>
      <c r="C191" s="1052" t="inlineStr">
        <is>
          <t>1 way - decentral</t>
        </is>
      </c>
      <c r="D191" s="1053" t="inlineStr">
        <is>
          <t>I</t>
        </is>
      </c>
      <c r="E191" s="1054" t="n">
        <v>72284.39897698211</v>
      </c>
      <c r="F191" s="1052" t="n">
        <v>1</v>
      </c>
      <c r="G191" s="1052" t="n">
        <v>36</v>
      </c>
      <c r="H191" s="1054" t="n">
        <v>24094.799658994</v>
      </c>
      <c r="I191" s="1054" t="n">
        <v>24094.799658994</v>
      </c>
      <c r="J191" s="1054" t="n">
        <v>24094.799658994</v>
      </c>
      <c r="K191" s="1054" t="n"/>
      <c r="L191" s="1056" t="n"/>
    </row>
    <row r="192" ht="13.2" customHeight="1" s="586">
      <c r="A192" s="1051" t="inlineStr">
        <is>
          <t>Server</t>
        </is>
      </c>
      <c r="B192" s="1052" t="inlineStr">
        <is>
          <t>BE</t>
        </is>
      </c>
      <c r="C192" s="1052" t="inlineStr">
        <is>
          <t>1 way - decentral</t>
        </is>
      </c>
      <c r="D192" s="1053" t="inlineStr">
        <is>
          <t>I</t>
        </is>
      </c>
      <c r="E192" s="1054" t="n">
        <v>65941.0852713178</v>
      </c>
      <c r="F192" s="1052" t="n">
        <v>13</v>
      </c>
      <c r="G192" s="1052" t="n">
        <v>36</v>
      </c>
      <c r="H192" s="1054" t="n"/>
      <c r="I192" s="1054" t="n">
        <v>21980.3617571059</v>
      </c>
      <c r="J192" s="1054" t="n">
        <v>21980.3617571059</v>
      </c>
      <c r="K192" s="1054" t="n">
        <v>21980.3617571059</v>
      </c>
      <c r="L192" s="1056" t="n"/>
    </row>
    <row r="193" ht="13.2" customHeight="1" s="586">
      <c r="A193" s="1051" t="inlineStr">
        <is>
          <t>Server</t>
        </is>
      </c>
      <c r="B193" s="1052" t="inlineStr">
        <is>
          <t>BE</t>
        </is>
      </c>
      <c r="C193" s="1052" t="inlineStr">
        <is>
          <t>1 way - decentral</t>
        </is>
      </c>
      <c r="D193" s="1053" t="inlineStr">
        <is>
          <t>I</t>
        </is>
      </c>
      <c r="E193" s="1054" t="n">
        <v>65941.0852713178</v>
      </c>
      <c r="F193" s="1052" t="n">
        <v>25</v>
      </c>
      <c r="G193" s="1052" t="n">
        <v>36</v>
      </c>
      <c r="H193" s="1054" t="n"/>
      <c r="I193" s="1054" t="n"/>
      <c r="J193" s="1054" t="n">
        <v>21980.3617571059</v>
      </c>
      <c r="K193" s="1054" t="n">
        <v>21980.3617571059</v>
      </c>
      <c r="L193" s="1056" t="n">
        <v>21980.3617571059</v>
      </c>
    </row>
    <row r="194" ht="13.2" customHeight="1" s="586">
      <c r="A194" s="1051" t="inlineStr">
        <is>
          <t>Server</t>
        </is>
      </c>
      <c r="B194" s="1052" t="inlineStr">
        <is>
          <t>BE</t>
        </is>
      </c>
      <c r="C194" s="1052" t="inlineStr">
        <is>
          <t>1 way - decentral</t>
        </is>
      </c>
      <c r="D194" s="1053" t="inlineStr">
        <is>
          <t>I</t>
        </is>
      </c>
      <c r="E194" s="1054" t="n">
        <v>65941.0852713178</v>
      </c>
      <c r="F194" s="1052" t="n">
        <v>37</v>
      </c>
      <c r="G194" s="1052" t="n">
        <v>36</v>
      </c>
      <c r="H194" s="1054" t="n"/>
      <c r="I194" s="1054" t="n"/>
      <c r="J194" s="1054" t="n"/>
      <c r="K194" s="1054" t="n">
        <v>21980.3617571059</v>
      </c>
      <c r="L194" s="1056" t="n">
        <v>21980.3617571059</v>
      </c>
    </row>
    <row r="195" ht="13.2" customHeight="1" s="586">
      <c r="A195" s="1051" t="inlineStr">
        <is>
          <t>Server</t>
        </is>
      </c>
      <c r="B195" s="1052" t="inlineStr">
        <is>
          <t>BE</t>
        </is>
      </c>
      <c r="C195" s="1052" t="inlineStr">
        <is>
          <t>1 way - decentral</t>
        </is>
      </c>
      <c r="D195" s="1053" t="inlineStr">
        <is>
          <t>I</t>
        </is>
      </c>
      <c r="E195" s="1054" t="n">
        <v>65941.0852713178</v>
      </c>
      <c r="F195" s="1052" t="n">
        <v>49</v>
      </c>
      <c r="G195" s="1052" t="n">
        <v>36</v>
      </c>
      <c r="H195" s="1054" t="n"/>
      <c r="I195" s="1054" t="n"/>
      <c r="J195" s="1054" t="n"/>
      <c r="K195" s="1054" t="n"/>
      <c r="L195" s="1056" t="n">
        <v>21980.3617571059</v>
      </c>
    </row>
    <row r="196" ht="13.2" customHeight="1" s="586">
      <c r="A196" s="1051" t="inlineStr">
        <is>
          <t>Server</t>
        </is>
      </c>
      <c r="B196" s="1052" t="inlineStr">
        <is>
          <t>BE</t>
        </is>
      </c>
      <c r="C196" s="1052" t="inlineStr">
        <is>
          <t>2 way - decentral</t>
        </is>
      </c>
      <c r="D196" s="1053" t="inlineStr">
        <is>
          <t>I</t>
        </is>
      </c>
      <c r="E196" s="1054" t="n">
        <v>18681.7237851662</v>
      </c>
      <c r="F196" s="1052" t="n">
        <v>1</v>
      </c>
      <c r="G196" s="1052" t="n">
        <v>36</v>
      </c>
      <c r="H196" s="1054" t="n">
        <v>6227.24126172208</v>
      </c>
      <c r="I196" s="1054" t="n">
        <v>6227.24126172208</v>
      </c>
      <c r="J196" s="1054" t="n">
        <v>6227.24126172208</v>
      </c>
      <c r="K196" s="1054" t="n"/>
      <c r="L196" s="1056" t="n"/>
    </row>
    <row r="197" ht="13.2" customHeight="1" s="586">
      <c r="A197" s="1051" t="inlineStr">
        <is>
          <t>Server</t>
        </is>
      </c>
      <c r="B197" s="1052" t="inlineStr">
        <is>
          <t>BE</t>
        </is>
      </c>
      <c r="C197" s="1052" t="inlineStr">
        <is>
          <t>2 way - decentral</t>
        </is>
      </c>
      <c r="D197" s="1053" t="inlineStr">
        <is>
          <t>I</t>
        </is>
      </c>
      <c r="E197" s="1054" t="n">
        <v>17042.3100775194</v>
      </c>
      <c r="F197" s="1052" t="n">
        <v>13</v>
      </c>
      <c r="G197" s="1052" t="n">
        <v>36</v>
      </c>
      <c r="H197" s="1054" t="n"/>
      <c r="I197" s="1054" t="n">
        <v>5680.77002583979</v>
      </c>
      <c r="J197" s="1054" t="n">
        <v>5680.77002583979</v>
      </c>
      <c r="K197" s="1054" t="n">
        <v>5680.77002583979</v>
      </c>
      <c r="L197" s="1056" t="n"/>
    </row>
    <row r="198" ht="13.2" customHeight="1" s="586">
      <c r="A198" s="1051" t="inlineStr">
        <is>
          <t>Server</t>
        </is>
      </c>
      <c r="B198" s="1052" t="inlineStr">
        <is>
          <t>BE</t>
        </is>
      </c>
      <c r="C198" s="1052" t="inlineStr">
        <is>
          <t>2 way - decentral</t>
        </is>
      </c>
      <c r="D198" s="1053" t="inlineStr">
        <is>
          <t>I</t>
        </is>
      </c>
      <c r="E198" s="1054" t="n">
        <v>17042.3100775194</v>
      </c>
      <c r="F198" s="1052" t="n">
        <v>25</v>
      </c>
      <c r="G198" s="1052" t="n">
        <v>36</v>
      </c>
      <c r="H198" s="1054" t="n"/>
      <c r="I198" s="1054" t="n"/>
      <c r="J198" s="1054" t="n">
        <v>5680.77002583979</v>
      </c>
      <c r="K198" s="1054" t="n">
        <v>5680.77002583979</v>
      </c>
      <c r="L198" s="1056" t="n">
        <v>5680.77002583979</v>
      </c>
    </row>
    <row r="199" ht="13.2" customHeight="1" s="586">
      <c r="A199" s="1051" t="inlineStr">
        <is>
          <t>Server</t>
        </is>
      </c>
      <c r="B199" s="1052" t="inlineStr">
        <is>
          <t>BE</t>
        </is>
      </c>
      <c r="C199" s="1052" t="inlineStr">
        <is>
          <t>2 way - decentral</t>
        </is>
      </c>
      <c r="D199" s="1053" t="inlineStr">
        <is>
          <t>I</t>
        </is>
      </c>
      <c r="E199" s="1054" t="n">
        <v>17042.3100775194</v>
      </c>
      <c r="F199" s="1052" t="n">
        <v>37</v>
      </c>
      <c r="G199" s="1052" t="n">
        <v>36</v>
      </c>
      <c r="H199" s="1054" t="n"/>
      <c r="I199" s="1054" t="n"/>
      <c r="J199" s="1054" t="n"/>
      <c r="K199" s="1054" t="n">
        <v>5680.77002583979</v>
      </c>
      <c r="L199" s="1056" t="n">
        <v>5680.77002583979</v>
      </c>
    </row>
    <row r="200" ht="13.2" customHeight="1" s="586">
      <c r="A200" s="1051" t="inlineStr">
        <is>
          <t>Server</t>
        </is>
      </c>
      <c r="B200" s="1052" t="inlineStr">
        <is>
          <t>BE</t>
        </is>
      </c>
      <c r="C200" s="1052" t="inlineStr">
        <is>
          <t>2 way - decentral</t>
        </is>
      </c>
      <c r="D200" s="1053" t="inlineStr">
        <is>
          <t>I</t>
        </is>
      </c>
      <c r="E200" s="1054" t="n">
        <v>17042.3100775194</v>
      </c>
      <c r="F200" s="1052" t="n">
        <v>49</v>
      </c>
      <c r="G200" s="1052" t="n">
        <v>36</v>
      </c>
      <c r="H200" s="1054" t="n"/>
      <c r="I200" s="1054" t="n"/>
      <c r="J200" s="1054" t="n"/>
      <c r="K200" s="1054" t="n"/>
      <c r="L200" s="1056" t="n">
        <v>5680.77002583979</v>
      </c>
    </row>
    <row r="201" ht="13.2" customHeight="1" s="586">
      <c r="A201" s="1051" t="inlineStr">
        <is>
          <t>Server</t>
        </is>
      </c>
      <c r="B201" s="1052" t="inlineStr">
        <is>
          <t>BE</t>
        </is>
      </c>
      <c r="C201" s="1052" t="inlineStr">
        <is>
          <t>TPA</t>
        </is>
      </c>
      <c r="D201" s="1053" t="inlineStr">
        <is>
          <t>I</t>
        </is>
      </c>
      <c r="E201" s="1054" t="n">
        <v>1644355</v>
      </c>
      <c r="F201" s="1052" t="n">
        <v>25</v>
      </c>
      <c r="G201" s="1052" t="n">
        <v>36</v>
      </c>
      <c r="H201" s="1054" t="n"/>
      <c r="I201" s="1054" t="inlineStr">
        <is>
          <t xml:space="preserve"> </t>
        </is>
      </c>
      <c r="J201" s="1054" t="n">
        <v>548118.333333333</v>
      </c>
      <c r="K201" s="1054" t="n">
        <v>548118.333333333</v>
      </c>
      <c r="L201" s="1056" t="n">
        <v>548118.333333333</v>
      </c>
    </row>
    <row r="202" ht="13.2" customHeight="1" s="586">
      <c r="A202" s="1051" t="n"/>
      <c r="B202" s="1052" t="n"/>
      <c r="C202" s="1052" t="n"/>
      <c r="D202" s="1053" t="n"/>
      <c r="E202" s="1054" t="n"/>
      <c r="F202" s="1052" t="n"/>
      <c r="G202" s="1052" t="n"/>
      <c r="H202" s="1054" t="n"/>
      <c r="I202" s="1054" t="n"/>
      <c r="J202" s="1054" t="n"/>
      <c r="K202" s="1054" t="n"/>
      <c r="L202" s="1056" t="n"/>
    </row>
    <row r="203" ht="13.2" customHeight="1" s="586">
      <c r="A203" s="1051" t="inlineStr">
        <is>
          <t>2IM</t>
        </is>
      </c>
      <c r="B203" s="1052" t="inlineStr">
        <is>
          <t>NL/BE</t>
        </is>
      </c>
      <c r="C203" s="1052" t="inlineStr">
        <is>
          <t>Expence Transfer</t>
        </is>
      </c>
      <c r="D203" s="1053" t="inlineStr">
        <is>
          <t>D</t>
        </is>
      </c>
      <c r="E203" s="1054" t="n"/>
      <c r="F203" s="1052" t="n"/>
      <c r="G203" s="1052" t="n"/>
      <c r="H203" s="1054" t="n">
        <v>262327</v>
      </c>
      <c r="I203" s="1054" t="n">
        <v>0</v>
      </c>
      <c r="J203" s="1054" t="n">
        <v>0</v>
      </c>
      <c r="K203" s="1054" t="n">
        <v>0</v>
      </c>
      <c r="L203" s="1056" t="n">
        <v>0</v>
      </c>
    </row>
    <row r="204" ht="13.2" customHeight="1" s="586">
      <c r="A204" s="1051" t="inlineStr">
        <is>
          <t>2IM</t>
        </is>
      </c>
      <c r="B204" s="1052" t="inlineStr">
        <is>
          <t>NL/BE</t>
        </is>
      </c>
      <c r="C204" s="1052" t="inlineStr">
        <is>
          <t>Expence Project Management</t>
        </is>
      </c>
      <c r="D204" s="1053" t="inlineStr">
        <is>
          <t>D</t>
        </is>
      </c>
      <c r="E204" s="1054" t="n"/>
      <c r="F204" s="1052" t="n"/>
      <c r="G204" s="1052" t="n"/>
      <c r="H204" s="1054" t="n">
        <v>67549</v>
      </c>
      <c r="I204" s="1054" t="n">
        <v>67549</v>
      </c>
      <c r="J204" s="1054" t="n">
        <v>42218</v>
      </c>
      <c r="K204" s="1054" t="n">
        <v>16887</v>
      </c>
      <c r="L204" s="1056" t="n">
        <v>0</v>
      </c>
    </row>
    <row r="205" ht="13.8" customHeight="1" s="586">
      <c r="A205" s="1071" t="n"/>
      <c r="B205" s="1072" t="n"/>
      <c r="C205" s="1072" t="n"/>
      <c r="D205" s="1073" t="n"/>
      <c r="E205" s="1074" t="n"/>
      <c r="F205" s="1072" t="n"/>
      <c r="G205" s="1072" t="n"/>
      <c r="H205" s="1072" t="n"/>
      <c r="I205" s="1072" t="n"/>
      <c r="J205" s="1072" t="n"/>
      <c r="K205" s="1072" t="n"/>
      <c r="L205" s="1075" t="n"/>
    </row>
  </sheetData>
  <printOptions horizontalCentered="0" verticalCentered="0" headings="0" gridLines="0" gridLinesSet="1"/>
  <pageMargins left="0.747916666666667" right="0.747916666666667" top="0.9840277777777779" bottom="0.9840277777777779" header="0.5" footer="0.5"/>
  <pageSetup orientation="landscape" paperSize="9" scale="100" fitToHeight="0" fitToWidth="1" pageOrder="downThenOver" blackAndWhite="0" draft="0" horizontalDpi="300" verticalDpi="300" copies="1"/>
  <headerFooter differentOddEven="0" differentFirst="0">
    <oddHeader>&amp;R&amp;"Times New Roman,Regular"&amp;8 &amp;Kffffff&amp;F</oddHeader>
    <oddFooter>&amp;L&amp;"Times New Roman,Regular"&amp;8 &amp;KffffffOps&amp;&amp;IT Banking Confidential&amp;C&amp;"Times New Roman,Regular"&amp;8 &amp;KffffffAttachment 4-A   &amp;A  &amp;P&amp;R&amp;"Times New Roman,Regular"&amp;8 &amp;Kffffff&amp;D</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0"/>
  </sheetPr>
  <dimension ref="A1:I53"/>
  <sheetViews>
    <sheetView showFormulas="0" showGridLines="0"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33.13" customWidth="1" style="1076" min="1" max="1"/>
    <col width="28.62" customWidth="1" style="1076" min="2" max="2"/>
    <col width="15.11" customWidth="1" style="1076" min="3" max="3"/>
    <col width="14.7" customWidth="1" style="1076" min="4" max="4"/>
    <col width="14.7" customWidth="1" style="1077" min="5" max="5"/>
    <col width="14.7" customWidth="1" style="1078" min="6" max="6"/>
    <col width="20.81" customWidth="1" style="1078" min="7" max="7"/>
    <col width="1.89" customWidth="1" style="1078" min="8" max="8"/>
    <col width="12.1" customWidth="1" style="1078" min="9" max="9"/>
    <col width="8.4" customWidth="1" style="1078" min="10" max="257"/>
  </cols>
  <sheetData>
    <row r="1" ht="15.6" customHeight="1" s="586">
      <c r="A1" s="1079" t="inlineStr">
        <is>
          <t>Retained contract values</t>
        </is>
      </c>
    </row>
    <row r="2" ht="13.2" customHeight="1" s="586">
      <c r="A2" s="1076" t="inlineStr">
        <is>
          <t>Amounts x Euro</t>
        </is>
      </c>
    </row>
    <row r="3" ht="13.2" customHeight="1" s="586">
      <c r="A3" s="1076" t="inlineStr">
        <is>
          <t>excluding VAT</t>
        </is>
      </c>
    </row>
    <row r="4"/>
    <row r="5" ht="13.2" customHeight="1" s="586">
      <c r="A5" s="1080" t="inlineStr">
        <is>
          <t>Location</t>
        </is>
      </c>
      <c r="B5" s="1080" t="inlineStr">
        <is>
          <t>NL</t>
        </is>
      </c>
      <c r="C5" s="1081" t="n"/>
      <c r="D5" s="1081" t="n"/>
      <c r="E5" s="1081" t="n"/>
      <c r="F5" s="1081" t="n"/>
      <c r="G5" s="1081" t="n"/>
      <c r="H5" s="1081" t="n"/>
      <c r="I5" s="1081" t="n"/>
    </row>
    <row r="6" ht="13.8" customHeight="1" s="586">
      <c r="A6" s="1081" t="n"/>
      <c r="B6" s="1081" t="n"/>
      <c r="C6" s="1081" t="n"/>
      <c r="D6" s="1081" t="n"/>
      <c r="E6" s="1081" t="n"/>
      <c r="F6" s="1081" t="n"/>
      <c r="G6" s="1081" t="n"/>
      <c r="H6" s="1081" t="n"/>
      <c r="I6" s="1081" t="n"/>
    </row>
    <row r="7" ht="13.8" customHeight="1" s="586">
      <c r="A7" s="1082" t="inlineStr">
        <is>
          <t>PST member</t>
        </is>
      </c>
      <c r="B7" s="1083" t="inlineStr">
        <is>
          <t>Y1 ret EuroBank</t>
        </is>
      </c>
      <c r="C7" s="1083" t="inlineStr">
        <is>
          <t>Y2 ret EuroBank</t>
        </is>
      </c>
      <c r="D7" s="1083" t="inlineStr">
        <is>
          <t>Y3 ret EuroBank</t>
        </is>
      </c>
      <c r="E7" s="1083" t="inlineStr">
        <is>
          <t>Y4 ret EuroBank</t>
        </is>
      </c>
      <c r="F7" s="1083" t="inlineStr">
        <is>
          <t>Y5 ret EuroBank</t>
        </is>
      </c>
      <c r="G7" s="1084" t="inlineStr">
        <is>
          <t>Total`Retained EuroBank</t>
        </is>
      </c>
    </row>
    <row r="8" ht="13.2" customHeight="1" s="586">
      <c r="A8" s="1085" t="inlineStr">
        <is>
          <t>VendorA</t>
        </is>
      </c>
      <c r="B8" s="1086" t="n">
        <v>9710096.449999999</v>
      </c>
      <c r="C8" s="1087" t="n">
        <v>9543575.6</v>
      </c>
      <c r="D8" s="1088" t="n">
        <v>9543575.6</v>
      </c>
      <c r="E8" s="1088" t="n">
        <v>9543575.6</v>
      </c>
      <c r="F8" s="1089" t="n">
        <v>9543575.6</v>
      </c>
      <c r="G8" s="1090">
        <f>SUM(B8:F8)</f>
        <v/>
      </c>
    </row>
    <row r="9" ht="13.2" customHeight="1" s="586">
      <c r="A9" s="1085" t="inlineStr">
        <is>
          <t>Vendor Gamma</t>
        </is>
      </c>
      <c r="B9" s="1091" t="n">
        <v>2081639.2</v>
      </c>
      <c r="C9" s="1087" t="n">
        <v>867504.7</v>
      </c>
      <c r="D9" s="1092" t="n">
        <v>867504.7</v>
      </c>
      <c r="E9" s="1092" t="n">
        <v>867504.7</v>
      </c>
      <c r="F9" s="1093" t="n">
        <v>867504.7</v>
      </c>
      <c r="G9" s="1090">
        <f>SUM(B9:F9)</f>
        <v/>
      </c>
    </row>
    <row r="10" ht="13.8" customHeight="1" s="586">
      <c r="A10" s="1085" t="inlineStr">
        <is>
          <t>TelCo</t>
        </is>
      </c>
      <c r="B10" s="1094" t="n">
        <v>1446048.75</v>
      </c>
      <c r="C10" s="1087" t="n">
        <v>180708</v>
      </c>
      <c r="D10" s="1095" t="n">
        <v>180708</v>
      </c>
      <c r="E10" s="1095" t="n">
        <v>180708</v>
      </c>
      <c r="F10" s="1093" t="n">
        <v>180708</v>
      </c>
      <c r="G10" s="1090">
        <f>SUM(B10:F10)</f>
        <v/>
      </c>
    </row>
    <row r="11" ht="15" customHeight="1" s="586">
      <c r="A11" s="1096" t="inlineStr">
        <is>
          <t>Total</t>
        </is>
      </c>
      <c r="B11" s="1097">
        <f>SUM(B8:B10)</f>
        <v/>
      </c>
      <c r="C11" s="1097">
        <f>SUM(C8:C10)</f>
        <v/>
      </c>
      <c r="D11" s="1098">
        <f>SUM(D8:D10)</f>
        <v/>
      </c>
      <c r="E11" s="1097">
        <f>SUM(E8:E10)</f>
        <v/>
      </c>
      <c r="F11" s="1099">
        <f>SUM(F8:F10)</f>
        <v/>
      </c>
      <c r="G11" s="1100">
        <f>SUM(G8:G10)</f>
        <v/>
      </c>
    </row>
    <row r="12" ht="13.2" customHeight="1" s="586">
      <c r="A12" s="1081" t="n"/>
      <c r="B12" s="1081" t="n"/>
      <c r="C12" s="1081" t="n"/>
      <c r="D12" s="1081" t="n"/>
      <c r="E12" s="1081" t="n"/>
      <c r="F12" s="1081" t="n"/>
      <c r="G12" s="1081" t="n"/>
      <c r="H12" s="1081" t="n"/>
    </row>
    <row r="13" ht="13.2" customHeight="1" s="586">
      <c r="A13" s="1081" t="n"/>
      <c r="B13" s="1081" t="n"/>
      <c r="C13" s="1081" t="n"/>
      <c r="D13" s="1081" t="n"/>
      <c r="E13" s="1081" t="n"/>
      <c r="F13" s="1081" t="n"/>
      <c r="G13" s="1081" t="n"/>
      <c r="H13" s="1081" t="n"/>
    </row>
    <row r="14" ht="13.2" customHeight="1" s="586">
      <c r="A14" s="1080" t="inlineStr">
        <is>
          <t>Location</t>
        </is>
      </c>
      <c r="B14" s="1080" t="inlineStr">
        <is>
          <t>BE</t>
        </is>
      </c>
      <c r="C14" s="1081" t="n"/>
      <c r="D14" s="1081" t="n"/>
      <c r="E14" s="1081" t="n"/>
      <c r="F14" s="1081" t="n"/>
      <c r="G14" s="1081" t="n"/>
      <c r="H14" s="1081" t="n"/>
    </row>
    <row r="15" ht="13.8" customHeight="1" s="586">
      <c r="A15" s="1081" t="n"/>
      <c r="B15" s="1081" t="n"/>
      <c r="C15" s="1081" t="n"/>
      <c r="D15" s="1081" t="n"/>
      <c r="E15" s="1081" t="n"/>
      <c r="F15" s="1081" t="n"/>
      <c r="G15" s="1081" t="n"/>
      <c r="H15" s="1081" t="n"/>
    </row>
    <row r="16" ht="13.8" customHeight="1" s="586">
      <c r="A16" s="1082" t="inlineStr">
        <is>
          <t>PST member</t>
        </is>
      </c>
      <c r="B16" s="1083" t="inlineStr">
        <is>
          <t>Y1 ret EuroBank</t>
        </is>
      </c>
      <c r="C16" s="1083" t="inlineStr">
        <is>
          <t>Y2 ret EuroBank</t>
        </is>
      </c>
      <c r="D16" s="1083" t="inlineStr">
        <is>
          <t>Y3 ret EuroBank</t>
        </is>
      </c>
      <c r="E16" s="1083" t="inlineStr">
        <is>
          <t>Y4 ret EuroBank</t>
        </is>
      </c>
      <c r="F16" s="1083" t="inlineStr">
        <is>
          <t>Y5 ret EuroBank</t>
        </is>
      </c>
      <c r="G16" s="1084" t="inlineStr">
        <is>
          <t>Total`Retained EuroBank</t>
        </is>
      </c>
    </row>
    <row r="17" ht="13.2" customHeight="1" s="586">
      <c r="A17" s="1085" t="inlineStr">
        <is>
          <t>VendorA</t>
        </is>
      </c>
      <c r="B17" s="1086" t="n">
        <v>3312235.74780725</v>
      </c>
      <c r="C17" s="1087" t="n">
        <v>2908620.296</v>
      </c>
      <c r="D17" s="1088" t="n">
        <v>2821424.296</v>
      </c>
      <c r="E17" s="1088" t="n">
        <v>2821424.296</v>
      </c>
      <c r="F17" s="1089" t="n">
        <v>2821424.296</v>
      </c>
      <c r="G17" s="1090">
        <f>SUM(B17:F17)</f>
        <v/>
      </c>
    </row>
    <row r="18" ht="13.2" customHeight="1" s="586">
      <c r="A18" s="1085" t="inlineStr">
        <is>
          <t>Vendor Gamma</t>
        </is>
      </c>
      <c r="B18" s="1091" t="n">
        <v>7748051.800176</v>
      </c>
      <c r="C18" s="1087" t="n">
        <v>2821709.1656</v>
      </c>
      <c r="D18" s="1092" t="n">
        <v>2118037.764</v>
      </c>
      <c r="E18" s="1092" t="n">
        <v>2118037.764</v>
      </c>
      <c r="F18" s="1093" t="n">
        <v>2118037.764</v>
      </c>
      <c r="G18" s="1090">
        <f>SUM(B18:F18)</f>
        <v/>
      </c>
    </row>
    <row r="19" ht="13.8" customHeight="1" s="586">
      <c r="A19" s="1085" t="inlineStr">
        <is>
          <t>TelCo</t>
        </is>
      </c>
      <c r="B19" s="1094" t="n">
        <v>2232956.21916667</v>
      </c>
      <c r="C19" s="1087" t="n">
        <v>16912.3025</v>
      </c>
      <c r="D19" s="1095" t="n">
        <v>16912.3025</v>
      </c>
      <c r="E19" s="1095" t="n">
        <v>16912.3025</v>
      </c>
      <c r="F19" s="1093" t="n">
        <v>16912.3025</v>
      </c>
      <c r="G19" s="1090">
        <f>SUM(B19:F19)</f>
        <v/>
      </c>
    </row>
    <row r="20" ht="15" customHeight="1" s="586">
      <c r="A20" s="1096" t="inlineStr">
        <is>
          <t>Total</t>
        </is>
      </c>
      <c r="B20" s="1097">
        <f>SUM(B17:B19)</f>
        <v/>
      </c>
      <c r="C20" s="1097">
        <f>SUM(C17:C19)</f>
        <v/>
      </c>
      <c r="D20" s="1098">
        <f>SUM(D17:D19)</f>
        <v/>
      </c>
      <c r="E20" s="1097">
        <f>SUM(E17:E19)</f>
        <v/>
      </c>
      <c r="F20" s="1099">
        <f>SUM(F17:F19)</f>
        <v/>
      </c>
      <c r="G20" s="1100">
        <f>SUM(G17:G19)</f>
        <v/>
      </c>
    </row>
    <row r="21" ht="13.2" customHeight="1" s="586">
      <c r="A21" s="1081" t="n"/>
      <c r="B21" s="1081" t="n"/>
      <c r="C21" s="1081" t="n"/>
      <c r="D21" s="1081" t="n"/>
      <c r="E21" s="1081" t="n"/>
      <c r="F21" s="1081" t="n"/>
      <c r="G21" s="1081" t="n"/>
      <c r="H21" s="1081" t="n"/>
    </row>
    <row r="22" ht="13.2" customHeight="1" s="586">
      <c r="A22" s="1081" t="n"/>
      <c r="B22" s="1081" t="n"/>
      <c r="C22" s="1081" t="n"/>
      <c r="D22" s="1081" t="n"/>
      <c r="E22" s="1081" t="n"/>
      <c r="F22" s="1081" t="n"/>
      <c r="G22" s="1081" t="n"/>
      <c r="H22" s="1081" t="n"/>
    </row>
    <row r="23" ht="13.2" customHeight="1" s="586">
      <c r="A23" s="1080" t="inlineStr">
        <is>
          <t>Location</t>
        </is>
      </c>
      <c r="B23" s="1080" t="inlineStr">
        <is>
          <t>NL + BE</t>
        </is>
      </c>
      <c r="C23" s="1081" t="n"/>
      <c r="D23" s="1081" t="n"/>
      <c r="E23" s="1081" t="n"/>
      <c r="F23" s="1081" t="n"/>
      <c r="G23" s="1081" t="n"/>
      <c r="H23" s="1081" t="n"/>
    </row>
    <row r="24" ht="13.8" customHeight="1" s="586">
      <c r="A24" s="1081" t="n"/>
      <c r="B24" s="1081" t="n"/>
      <c r="C24" s="1081" t="n"/>
      <c r="D24" s="1081" t="n"/>
      <c r="E24" s="1081" t="n"/>
      <c r="F24" s="1081" t="n"/>
      <c r="G24" s="1081" t="n"/>
      <c r="H24" s="1081" t="n"/>
    </row>
    <row r="25" ht="13.8" customHeight="1" s="586">
      <c r="A25" s="1082" t="inlineStr">
        <is>
          <t>PST member</t>
        </is>
      </c>
      <c r="B25" s="1083" t="inlineStr">
        <is>
          <t>Y1 ret EuroBank</t>
        </is>
      </c>
      <c r="C25" s="1083" t="inlineStr">
        <is>
          <t>Y2 ret EuroBank</t>
        </is>
      </c>
      <c r="D25" s="1083" t="inlineStr">
        <is>
          <t>Y3 ret EuroBank</t>
        </is>
      </c>
      <c r="E25" s="1083" t="inlineStr">
        <is>
          <t>Y4 ret EuroBank</t>
        </is>
      </c>
      <c r="F25" s="1083" t="inlineStr">
        <is>
          <t>Y5 ret EuroBank</t>
        </is>
      </c>
      <c r="G25" s="1084" t="inlineStr">
        <is>
          <t>Total`Retained EuroBank</t>
        </is>
      </c>
    </row>
    <row r="26" ht="13.2" customHeight="1" s="586">
      <c r="A26" s="1085" t="inlineStr">
        <is>
          <t>VendorA</t>
        </is>
      </c>
      <c r="B26" s="1086" t="n">
        <v>13022332.1978072</v>
      </c>
      <c r="C26" s="1087" t="n">
        <v>12452195.896</v>
      </c>
      <c r="D26" s="1088" t="n">
        <v>12364999.896</v>
      </c>
      <c r="E26" s="1088" t="n">
        <v>12364999.896</v>
      </c>
      <c r="F26" s="1101" t="n">
        <v>12364999.896</v>
      </c>
      <c r="G26" s="1090">
        <f>SUM(B26:F26)</f>
        <v/>
      </c>
    </row>
    <row r="27" ht="13.2" customHeight="1" s="586">
      <c r="A27" s="1085" t="inlineStr">
        <is>
          <t>Vendor Gamma</t>
        </is>
      </c>
      <c r="B27" s="1091" t="n">
        <v>9829691.000175999</v>
      </c>
      <c r="C27" s="1087" t="n">
        <v>3689213.8656</v>
      </c>
      <c r="D27" s="1092" t="n">
        <v>2985542.464</v>
      </c>
      <c r="E27" s="1092" t="n">
        <v>2985542.464</v>
      </c>
      <c r="F27" s="1101" t="n">
        <v>2985542.464</v>
      </c>
      <c r="G27" s="1090">
        <f>SUM(B27:F27)</f>
        <v/>
      </c>
    </row>
    <row r="28" ht="13.8" customHeight="1" s="586">
      <c r="A28" s="1085" t="inlineStr">
        <is>
          <t>TelCo</t>
        </is>
      </c>
      <c r="B28" s="1094" t="n">
        <v>3679004.96916667</v>
      </c>
      <c r="C28" s="1087" t="n">
        <v>197620.3025</v>
      </c>
      <c r="D28" s="1095" t="n">
        <v>197620.3025</v>
      </c>
      <c r="E28" s="1095" t="n">
        <v>197620.3025</v>
      </c>
      <c r="F28" s="1101" t="n">
        <v>197620.3025</v>
      </c>
      <c r="G28" s="1090">
        <f>SUM(B28:F28)</f>
        <v/>
      </c>
    </row>
    <row r="29" ht="15" customHeight="1" s="586">
      <c r="A29" s="1096" t="inlineStr">
        <is>
          <t>Total</t>
        </is>
      </c>
      <c r="B29" s="1097">
        <f>SUM(B26:B28)</f>
        <v/>
      </c>
      <c r="C29" s="1097">
        <f>SUM(C26:C28)</f>
        <v/>
      </c>
      <c r="D29" s="1098">
        <f>SUM(D26:D28)</f>
        <v/>
      </c>
      <c r="E29" s="1097">
        <f>SUM(E26:E28)</f>
        <v/>
      </c>
      <c r="F29" s="1099">
        <f>SUM(F26:F28)</f>
        <v/>
      </c>
      <c r="G29" s="1100">
        <f>SUM(G26:G28)</f>
        <v/>
      </c>
    </row>
    <row r="30"/>
    <row r="31"/>
    <row r="32" ht="15.6" customHeight="1" s="586">
      <c r="A32" s="1079" t="inlineStr">
        <is>
          <t>Retained Legacy assets</t>
        </is>
      </c>
    </row>
    <row r="33"/>
    <row r="34" ht="13.2" customHeight="1" s="586">
      <c r="A34" s="1080" t="inlineStr">
        <is>
          <t>Location</t>
        </is>
      </c>
      <c r="B34" s="1080" t="inlineStr">
        <is>
          <t>NL</t>
        </is>
      </c>
    </row>
    <row r="35" ht="13.8" customHeight="1" s="586">
      <c r="A35" s="1081" t="n"/>
      <c r="B35" s="1081" t="n"/>
    </row>
    <row r="36" ht="13.8" customHeight="1" s="586">
      <c r="A36" s="1082" t="n"/>
      <c r="B36" s="1083" t="inlineStr">
        <is>
          <t>Y1 ret EuroBank</t>
        </is>
      </c>
      <c r="C36" s="1083" t="inlineStr">
        <is>
          <t>Y2 ret EuroBank</t>
        </is>
      </c>
      <c r="D36" s="1083" t="inlineStr">
        <is>
          <t>Y3 ret EuroBank</t>
        </is>
      </c>
      <c r="E36" s="1083" t="inlineStr">
        <is>
          <t>Y4 ret EuroBank</t>
        </is>
      </c>
      <c r="F36" s="1083" t="inlineStr">
        <is>
          <t>Y5 ret EuroBank</t>
        </is>
      </c>
      <c r="G36" s="1084" t="inlineStr">
        <is>
          <t>Total`Retained EuroBank</t>
        </is>
      </c>
    </row>
    <row r="37" ht="13.2" customHeight="1" s="586">
      <c r="A37" s="1102" t="inlineStr">
        <is>
          <t>Server Hardware</t>
        </is>
      </c>
      <c r="B37" s="1088" t="n">
        <v>6724727.1</v>
      </c>
      <c r="C37" s="1086" t="n">
        <v>1921350.6</v>
      </c>
      <c r="D37" s="1087" t="n">
        <v>960675.3</v>
      </c>
      <c r="E37" s="1088" t="n"/>
      <c r="F37" s="1088" t="n"/>
      <c r="G37" s="1090">
        <f>SUM(B37:F37)</f>
        <v/>
      </c>
    </row>
    <row r="38" ht="13.8" customHeight="1" s="586">
      <c r="A38" s="1102" t="inlineStr">
        <is>
          <t>Desktop related Hardware</t>
        </is>
      </c>
      <c r="B38" s="1095" t="n">
        <v>15401996.4</v>
      </c>
      <c r="C38" s="1094" t="n">
        <v>4400570.4</v>
      </c>
      <c r="D38" s="1091" t="n">
        <v>2200285.2</v>
      </c>
      <c r="E38" s="1078" t="n"/>
      <c r="F38" s="1103" t="n"/>
      <c r="G38" s="1090">
        <f>SUM(B38:F38)</f>
        <v/>
      </c>
    </row>
    <row r="39" ht="15" customHeight="1" s="586">
      <c r="A39" s="1096" t="inlineStr">
        <is>
          <t>Total</t>
        </is>
      </c>
      <c r="B39" s="1097">
        <f>SUM(B37:B38)</f>
        <v/>
      </c>
      <c r="C39" s="1097">
        <f>SUM(C37:C38)</f>
        <v/>
      </c>
      <c r="D39" s="1098">
        <f>SUM(D37:D38)</f>
        <v/>
      </c>
      <c r="E39" s="1097" t="n"/>
      <c r="F39" s="1099" t="n"/>
      <c r="G39" s="1100">
        <f>SUM(G36:G38)</f>
        <v/>
      </c>
    </row>
    <row r="40"/>
    <row r="41" ht="13.2" customHeight="1" s="586">
      <c r="A41" s="1080" t="inlineStr">
        <is>
          <t>Location</t>
        </is>
      </c>
      <c r="B41" s="1080" t="inlineStr">
        <is>
          <t>BE</t>
        </is>
      </c>
    </row>
    <row r="42" ht="13.8" customHeight="1" s="586">
      <c r="A42" s="1081" t="n"/>
      <c r="B42" s="1081" t="n"/>
    </row>
    <row r="43" ht="13.8" customHeight="1" s="586">
      <c r="A43" s="1082" t="n"/>
      <c r="B43" s="1083" t="inlineStr">
        <is>
          <t>Y1 ret EuroBank</t>
        </is>
      </c>
      <c r="C43" s="1083" t="inlineStr">
        <is>
          <t>Y2 ret EuroBank</t>
        </is>
      </c>
      <c r="D43" s="1083" t="inlineStr">
        <is>
          <t>Y3 ret EuroBank</t>
        </is>
      </c>
      <c r="E43" s="1083" t="inlineStr">
        <is>
          <t>Y4 ret EuroBank</t>
        </is>
      </c>
      <c r="F43" s="1083" t="inlineStr">
        <is>
          <t>Y5 ret EuroBank</t>
        </is>
      </c>
      <c r="G43" s="1084" t="inlineStr">
        <is>
          <t>Total`Retained EuroBank</t>
        </is>
      </c>
    </row>
    <row r="44" ht="13.2" customHeight="1" s="586">
      <c r="A44" s="1102" t="inlineStr">
        <is>
          <t>Server Hardware</t>
        </is>
      </c>
      <c r="B44" s="1088" t="n"/>
      <c r="C44" s="1086" t="n"/>
      <c r="D44" s="1087" t="n"/>
      <c r="E44" s="1088" t="n"/>
      <c r="F44" s="1088" t="n"/>
      <c r="G44" s="1090">
        <f>SUM(B44:F44)</f>
        <v/>
      </c>
    </row>
    <row r="45" ht="13.8" customHeight="1" s="586">
      <c r="A45" s="1102" t="inlineStr">
        <is>
          <t>Desktop related Hardware</t>
        </is>
      </c>
      <c r="B45" s="1095" t="n">
        <v>189753.2</v>
      </c>
      <c r="C45" s="1094" t="n">
        <v>54215.2</v>
      </c>
      <c r="D45" s="1091" t="n">
        <v>27107.6</v>
      </c>
      <c r="E45" s="1078" t="n"/>
      <c r="F45" s="1103" t="n"/>
      <c r="G45" s="1090">
        <f>SUM(B45:F45)</f>
        <v/>
      </c>
    </row>
    <row r="46" ht="15" customHeight="1" s="586">
      <c r="A46" s="1096" t="inlineStr">
        <is>
          <t>Total</t>
        </is>
      </c>
      <c r="B46" s="1097">
        <f>SUM(B43:B45)</f>
        <v/>
      </c>
      <c r="C46" s="1097">
        <f>SUM(C43:C45)</f>
        <v/>
      </c>
      <c r="D46" s="1098">
        <f>SUM(D43:D45)</f>
        <v/>
      </c>
      <c r="E46" s="1097">
        <f>SUM(E43:E45)</f>
        <v/>
      </c>
      <c r="F46" s="1099">
        <f>SUM(F43:F45)</f>
        <v/>
      </c>
      <c r="G46" s="1100">
        <f>SUM(G43:G45)</f>
        <v/>
      </c>
    </row>
    <row r="47"/>
    <row r="48" ht="13.2" customHeight="1" s="586">
      <c r="A48" s="1080" t="inlineStr">
        <is>
          <t>Location</t>
        </is>
      </c>
      <c r="B48" s="1080" t="inlineStr">
        <is>
          <t>Total NL + BE</t>
        </is>
      </c>
    </row>
    <row r="49" ht="13.8" customHeight="1" s="586">
      <c r="A49" s="1081" t="n"/>
      <c r="B49" s="1081" t="n"/>
    </row>
    <row r="50" ht="13.8" customHeight="1" s="586">
      <c r="A50" s="1082" t="n"/>
      <c r="B50" s="1083" t="inlineStr">
        <is>
          <t>Y1 ret EuroBank</t>
        </is>
      </c>
      <c r="C50" s="1083" t="inlineStr">
        <is>
          <t>Y2 ret EuroBank</t>
        </is>
      </c>
      <c r="D50" s="1083" t="inlineStr">
        <is>
          <t>Y3 ret EuroBank</t>
        </is>
      </c>
      <c r="E50" s="1083" t="inlineStr">
        <is>
          <t>Y4 ret EuroBank</t>
        </is>
      </c>
      <c r="F50" s="1083" t="inlineStr">
        <is>
          <t>Y5 ret EuroBank</t>
        </is>
      </c>
      <c r="G50" s="1084" t="inlineStr">
        <is>
          <t>Total`Retained EuroBank</t>
        </is>
      </c>
    </row>
    <row r="51" ht="13.2" customHeight="1" s="586">
      <c r="A51" s="1102" t="inlineStr">
        <is>
          <t>Server Hardware</t>
        </is>
      </c>
      <c r="B51" s="1088">
        <f>B37+B44</f>
        <v/>
      </c>
      <c r="C51" s="1086">
        <f>C37+C44</f>
        <v/>
      </c>
      <c r="D51" s="1087">
        <f>D37+D44</f>
        <v/>
      </c>
      <c r="E51" s="1087">
        <f>E37+E44</f>
        <v/>
      </c>
      <c r="F51" s="1087">
        <f>F37+F44</f>
        <v/>
      </c>
      <c r="G51" s="1090">
        <f>SUM(B51:F51)</f>
        <v/>
      </c>
    </row>
    <row r="52" ht="13.8" customHeight="1" s="586">
      <c r="A52" s="1102" t="inlineStr">
        <is>
          <t>Desktop related Hardware</t>
        </is>
      </c>
      <c r="B52" s="1095">
        <f>B38+B45</f>
        <v/>
      </c>
      <c r="C52" s="1094">
        <f>C38+C45</f>
        <v/>
      </c>
      <c r="D52" s="1091">
        <f>D38+D45</f>
        <v/>
      </c>
      <c r="E52" s="1091">
        <f>E38+E45</f>
        <v/>
      </c>
      <c r="F52" s="1091">
        <f>F38+F45</f>
        <v/>
      </c>
      <c r="G52" s="1090">
        <f>SUM(B52:F52)</f>
        <v/>
      </c>
    </row>
    <row r="53" ht="15" customHeight="1" s="586">
      <c r="A53" s="1096" t="inlineStr">
        <is>
          <t>Total</t>
        </is>
      </c>
      <c r="B53" s="1097">
        <f>SUM(B50:B52)</f>
        <v/>
      </c>
      <c r="C53" s="1097">
        <f>SUM(C50:C52)</f>
        <v/>
      </c>
      <c r="D53" s="1098">
        <f>SUM(D50:D52)</f>
        <v/>
      </c>
      <c r="E53" s="1097">
        <f>SUM(E50:E52)</f>
        <v/>
      </c>
      <c r="F53" s="1099">
        <f>SUM(F50:F52)</f>
        <v/>
      </c>
      <c r="G53" s="1100">
        <f>SUM(G50:G52)</f>
        <v/>
      </c>
    </row>
  </sheetData>
  <printOptions horizontalCentered="0" verticalCentered="0" headings="0" gridLines="0" gridLinesSet="1"/>
  <pageMargins left="0.747916666666667" right="0.747916666666667" top="0.9840277777777779" bottom="0.9840277777777779" header="0.5" footer="0.5"/>
  <pageSetup orientation="portrait" paperSize="9" scale="52"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&amp;KffffffOps&amp;&amp;IT Banking Confidential&amp;C&amp;"Times New Roman,Regular"&amp;8 &amp;KffffffAttachment 4-A  &amp;A   &amp;P  &amp;R&amp;"Times New Roman,Regular"&amp;8 &amp;Kffffff&amp;D</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0"/>
  </sheetPr>
  <dimension ref="A1:H41"/>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8.3984375" defaultRowHeight="13.2" customHeight="1" zeroHeight="0" outlineLevelRow="0"/>
  <cols>
    <col width="8.4" customWidth="1" style="585" min="1" max="2"/>
    <col width="25.61" customWidth="1" style="585" min="3" max="3"/>
    <col width="18.01" customWidth="1" style="585" min="4" max="8"/>
    <col width="8.4" customWidth="1" style="585" min="9" max="257"/>
  </cols>
  <sheetData>
    <row r="1"/>
    <row r="2" ht="13.2" customHeight="1" s="586">
      <c r="B2" s="1104" t="inlineStr">
        <is>
          <t>Overview of volumes used for refresh</t>
        </is>
      </c>
    </row>
    <row r="3"/>
    <row r="4" ht="13.8" customHeight="1" s="586"/>
    <row r="5" ht="29.25" customHeight="1" s="586">
      <c r="B5" s="1064" t="n"/>
      <c r="C5" s="1104" t="n"/>
      <c r="D5" s="1105" t="inlineStr">
        <is>
          <t>Year 1 Annual Avg.</t>
        </is>
      </c>
      <c r="E5" s="1106" t="inlineStr">
        <is>
          <t>Year 2 Annual Avg.</t>
        </is>
      </c>
      <c r="F5" s="1106" t="inlineStr">
        <is>
          <t>Year 3 Annual Avg.</t>
        </is>
      </c>
      <c r="G5" s="1106" t="inlineStr">
        <is>
          <t>Year 4 Annual Avg.</t>
        </is>
      </c>
      <c r="H5" s="1107" t="inlineStr">
        <is>
          <t>Year 5 Annual Avg.</t>
        </is>
      </c>
    </row>
    <row r="6" ht="12.75" customHeight="1" s="586">
      <c r="B6" s="1108" t="inlineStr">
        <is>
          <t>NL</t>
        </is>
      </c>
      <c r="C6" s="1109" t="inlineStr">
        <is>
          <t>Desktop normal</t>
        </is>
      </c>
      <c r="D6" s="1110" t="n">
        <v>29996</v>
      </c>
      <c r="E6" s="1110" t="n">
        <v>2856.8</v>
      </c>
      <c r="F6" s="1110" t="n">
        <v>671.2</v>
      </c>
      <c r="G6" s="1110" t="n">
        <v>29996</v>
      </c>
      <c r="H6" s="1110" t="n">
        <v>2856.8</v>
      </c>
    </row>
    <row r="7" ht="12.75" customHeight="1" s="586">
      <c r="B7" s="1111" t="n"/>
      <c r="C7" s="1112" t="inlineStr">
        <is>
          <t>Desktop highend</t>
        </is>
      </c>
      <c r="D7" s="1113" t="n">
        <v>7499</v>
      </c>
      <c r="E7" s="1113" t="n">
        <v>714.2</v>
      </c>
      <c r="F7" s="1113" t="n">
        <v>167.8</v>
      </c>
      <c r="G7" s="1113" t="n">
        <v>7499</v>
      </c>
      <c r="H7" s="1113" t="n">
        <v>714.2</v>
      </c>
    </row>
    <row r="8" ht="12.75" customHeight="1" s="586">
      <c r="B8" s="1111" t="n"/>
      <c r="C8" s="1112" t="inlineStr">
        <is>
          <t>Laptop portable</t>
        </is>
      </c>
      <c r="D8" s="1113" t="n">
        <v>844</v>
      </c>
      <c r="E8" s="1113" t="n">
        <v>2404</v>
      </c>
      <c r="F8" s="1113" t="n">
        <v>396.8</v>
      </c>
      <c r="G8" s="1113" t="n">
        <v>844</v>
      </c>
      <c r="H8" s="1113" t="n">
        <v>2404</v>
      </c>
    </row>
    <row r="9" ht="12.75" customHeight="1" s="586">
      <c r="B9" s="1111" t="n"/>
      <c r="C9" s="1112" t="inlineStr">
        <is>
          <t>Laptop performance</t>
        </is>
      </c>
      <c r="D9" s="1113" t="n">
        <v>211</v>
      </c>
      <c r="E9" s="1113" t="n">
        <v>601</v>
      </c>
      <c r="F9" s="1113" t="n">
        <v>99.2</v>
      </c>
      <c r="G9" s="1113" t="n">
        <v>211</v>
      </c>
      <c r="H9" s="1113" t="n">
        <v>601</v>
      </c>
    </row>
    <row r="10" ht="12.75" customHeight="1" s="586">
      <c r="B10" s="1111" t="n"/>
      <c r="C10" s="1112" t="inlineStr">
        <is>
          <t>Monitor</t>
        </is>
      </c>
      <c r="D10" s="1113" t="n">
        <v>26213</v>
      </c>
      <c r="E10" s="1113" t="n">
        <v>6282</v>
      </c>
      <c r="F10" s="1113" t="n">
        <v>9410</v>
      </c>
      <c r="G10" s="1113" t="n">
        <v>26213</v>
      </c>
      <c r="H10" s="1113" t="n">
        <v>6282</v>
      </c>
    </row>
    <row r="11" ht="12.75" customHeight="1" s="586">
      <c r="B11" s="1111" t="n"/>
      <c r="C11" s="1112" t="inlineStr">
        <is>
          <t>Printer Local Mono</t>
        </is>
      </c>
      <c r="D11" s="1113" t="n">
        <v>179.204282334525</v>
      </c>
      <c r="E11" s="1113" t="n">
        <v>179.204282334525</v>
      </c>
      <c r="F11" s="1113" t="n">
        <v>179.204282334525</v>
      </c>
      <c r="G11" s="1113" t="n">
        <v>179.204282334525</v>
      </c>
      <c r="H11" s="1113" t="n">
        <v>179.204282334525</v>
      </c>
    </row>
    <row r="12" ht="12.75" customHeight="1" s="586">
      <c r="B12" s="1111" t="n"/>
      <c r="C12" s="1112" t="inlineStr">
        <is>
          <t>Printer Local Color</t>
        </is>
      </c>
      <c r="D12" s="1113" t="n">
        <v>653.073324212398</v>
      </c>
      <c r="E12" s="1113" t="n">
        <v>653.073324212398</v>
      </c>
      <c r="F12" s="1113" t="n">
        <v>653.073324212398</v>
      </c>
      <c r="G12" s="1113" t="n">
        <v>653.073324212398</v>
      </c>
      <c r="H12" s="1113" t="n">
        <v>653.073324212398</v>
      </c>
    </row>
    <row r="13" ht="12.75" customHeight="1" s="586">
      <c r="B13" s="1111" t="n"/>
      <c r="C13" s="1112" t="inlineStr">
        <is>
          <t>Printer Network small Mono</t>
        </is>
      </c>
      <c r="D13" s="1113" t="n">
        <v>194.140341807407</v>
      </c>
      <c r="E13" s="1113" t="n">
        <v>194.140341807407</v>
      </c>
      <c r="F13" s="1113" t="n">
        <v>194.140341807407</v>
      </c>
      <c r="G13" s="1113" t="n">
        <v>194.140341807407</v>
      </c>
      <c r="H13" s="1113" t="n">
        <v>194.140341807407</v>
      </c>
    </row>
    <row r="14" ht="12.75" customHeight="1" s="586">
      <c r="B14" s="1111" t="n"/>
      <c r="C14" s="1112" t="inlineStr">
        <is>
          <t>Printer Network small Color</t>
        </is>
      </c>
      <c r="D14" s="1113" t="n">
        <v>383.39866694308</v>
      </c>
      <c r="E14" s="1113" t="n">
        <v>383.39866694308</v>
      </c>
      <c r="F14" s="1113" t="n">
        <v>383.39866694308</v>
      </c>
      <c r="G14" s="1113" t="n">
        <v>383.39866694308</v>
      </c>
      <c r="H14" s="1113" t="n">
        <v>383.39866694308</v>
      </c>
    </row>
    <row r="15" ht="12.75" customHeight="1" s="586">
      <c r="B15" s="1111" t="n"/>
      <c r="C15" s="1112" t="inlineStr">
        <is>
          <t>Printer Network big Mono</t>
        </is>
      </c>
      <c r="D15" s="1113" t="n">
        <v>83.2030036317461</v>
      </c>
      <c r="E15" s="1113" t="n">
        <v>83.2030036317461</v>
      </c>
      <c r="F15" s="1113" t="n">
        <v>83.2030036317461</v>
      </c>
      <c r="G15" s="1113" t="n">
        <v>83.2030036317461</v>
      </c>
      <c r="H15" s="1113" t="n">
        <v>83.2030036317461</v>
      </c>
    </row>
    <row r="16" ht="12.75" customHeight="1" s="586">
      <c r="B16" s="1111" t="n"/>
      <c r="C16" s="1112" t="inlineStr">
        <is>
          <t>Printer Network big color</t>
        </is>
      </c>
      <c r="D16" s="1114" t="n">
        <v>164.313714404177</v>
      </c>
      <c r="E16" s="1114" t="n">
        <v>164.313714404177</v>
      </c>
      <c r="F16" s="1114" t="n">
        <v>164.313714404177</v>
      </c>
      <c r="G16" s="1114" t="n">
        <v>164.313714404177</v>
      </c>
      <c r="H16" s="1114" t="n">
        <v>164.313714404177</v>
      </c>
    </row>
    <row r="17" ht="20.25" customHeight="1" s="586">
      <c r="B17" s="1111" t="n"/>
      <c r="C17" s="1115" t="inlineStr">
        <is>
          <t>Central 2 way Server</t>
        </is>
      </c>
      <c r="D17" s="1113" t="n">
        <v>190.432225063939</v>
      </c>
      <c r="E17" s="1113" t="n">
        <v>193.992248062016</v>
      </c>
      <c r="F17" s="1113" t="n">
        <v>193.992248062016</v>
      </c>
      <c r="G17" s="1113" t="n">
        <v>193.992248062016</v>
      </c>
      <c r="H17" s="1113" t="n">
        <v>193.992248062016</v>
      </c>
    </row>
    <row r="18" ht="20.25" customHeight="1" s="586">
      <c r="B18" s="1111" t="n"/>
      <c r="C18" s="1115" t="inlineStr">
        <is>
          <t>Central 4 way Server</t>
        </is>
      </c>
      <c r="D18" s="1113" t="n">
        <v>215.16368286445</v>
      </c>
      <c r="E18" s="1113" t="n">
        <v>219.186046511628</v>
      </c>
      <c r="F18" s="1113" t="n">
        <v>219.186046511628</v>
      </c>
      <c r="G18" s="1113" t="n">
        <v>219.186046511628</v>
      </c>
      <c r="H18" s="1113" t="n">
        <v>219.186046511628</v>
      </c>
    </row>
    <row r="19" ht="20.25" customHeight="1" s="586">
      <c r="B19" s="1111" t="n"/>
      <c r="C19" s="1115" t="inlineStr">
        <is>
          <t>Central 4/8 Way Server</t>
        </is>
      </c>
      <c r="D19" s="1113" t="n">
        <v>23.0826939471441</v>
      </c>
      <c r="E19" s="1113" t="n">
        <v>22.6744186046512</v>
      </c>
      <c r="F19" s="1113" t="n">
        <v>23.5142118863049</v>
      </c>
      <c r="G19" s="1113" t="n">
        <v>23.5142118863049</v>
      </c>
      <c r="H19" s="1113" t="n">
        <v>22.6744186046512</v>
      </c>
    </row>
    <row r="20" ht="20.25" customHeight="1" s="586">
      <c r="B20" s="1111" t="n"/>
      <c r="C20" s="1115" t="inlineStr">
        <is>
          <t>Decentral 1 way Server</t>
        </is>
      </c>
      <c r="D20" s="1113" t="n">
        <v>288.533674339301</v>
      </c>
      <c r="E20" s="1113" t="n">
        <v>293.927648578811</v>
      </c>
      <c r="F20" s="1113" t="n">
        <v>293.927648578811</v>
      </c>
      <c r="G20" s="1113" t="n">
        <v>293.927648578811</v>
      </c>
      <c r="H20" s="1113" t="n">
        <v>293.927648578811</v>
      </c>
    </row>
    <row r="21" ht="21" customHeight="1" s="586">
      <c r="B21" s="1116" t="n"/>
      <c r="C21" s="1117" t="inlineStr">
        <is>
          <t>Decentral 2 way Server</t>
        </is>
      </c>
      <c r="D21" s="1114" t="n">
        <v>48.6385336743393</v>
      </c>
      <c r="E21" s="1114" t="n">
        <v>49.5478036175711</v>
      </c>
      <c r="F21" s="1114" t="n">
        <v>49.5478036175711</v>
      </c>
      <c r="G21" s="1114" t="n">
        <v>49.5478036175711</v>
      </c>
      <c r="H21" s="1114" t="n">
        <v>49.5478036175711</v>
      </c>
    </row>
    <row r="22" ht="12.75" customHeight="1" s="586">
      <c r="B22" s="1108" t="inlineStr">
        <is>
          <t>BE</t>
        </is>
      </c>
      <c r="C22" s="1109" t="inlineStr">
        <is>
          <t>Desktop normal</t>
        </is>
      </c>
      <c r="D22" s="1110" t="n">
        <v>5366.4</v>
      </c>
      <c r="E22" s="1110" t="n">
        <v>1990.4</v>
      </c>
      <c r="F22" s="1110" t="n">
        <v>6478.4</v>
      </c>
      <c r="G22" s="1110" t="n">
        <v>5366.4</v>
      </c>
      <c r="H22" s="1110" t="n">
        <v>1990.4</v>
      </c>
    </row>
    <row r="23" ht="12.75" customHeight="1" s="586">
      <c r="B23" s="1111" t="n"/>
      <c r="C23" s="1112" t="inlineStr">
        <is>
          <t>Desktop highend</t>
        </is>
      </c>
      <c r="D23" s="1113" t="n">
        <v>1341.6</v>
      </c>
      <c r="E23" s="1113" t="n">
        <v>497.6</v>
      </c>
      <c r="F23" s="1113" t="n">
        <v>1619.6</v>
      </c>
      <c r="G23" s="1113" t="n">
        <v>1341.6</v>
      </c>
      <c r="H23" s="1113" t="n">
        <v>497.6</v>
      </c>
    </row>
    <row r="24" ht="12.75" customHeight="1" s="586">
      <c r="B24" s="1111" t="n"/>
      <c r="C24" s="1112" t="inlineStr">
        <is>
          <t>Laptop portable</t>
        </is>
      </c>
      <c r="D24" s="1113" t="n">
        <v>0</v>
      </c>
      <c r="E24" s="1113" t="n">
        <v>164</v>
      </c>
      <c r="F24" s="1113" t="n">
        <v>1294.4</v>
      </c>
      <c r="G24" s="1113" t="n">
        <v>0</v>
      </c>
      <c r="H24" s="1113" t="n">
        <v>164</v>
      </c>
    </row>
    <row r="25" ht="12.75" customHeight="1" s="586">
      <c r="B25" s="1111" t="n"/>
      <c r="C25" s="1112" t="inlineStr">
        <is>
          <t>Laptop performance</t>
        </is>
      </c>
      <c r="D25" s="1113" t="n">
        <v>0</v>
      </c>
      <c r="E25" s="1113" t="n">
        <v>41</v>
      </c>
      <c r="F25" s="1113" t="n">
        <v>323.6</v>
      </c>
      <c r="G25" s="1113" t="n">
        <v>0</v>
      </c>
      <c r="H25" s="1113" t="n">
        <v>41</v>
      </c>
    </row>
    <row r="26" ht="12.75" customHeight="1" s="586">
      <c r="B26" s="1111" t="n"/>
      <c r="C26" s="1112" t="inlineStr">
        <is>
          <t>Monitor</t>
        </is>
      </c>
      <c r="D26" s="1113" t="n">
        <v>2813</v>
      </c>
      <c r="E26" s="1113" t="n">
        <v>2080</v>
      </c>
      <c r="F26" s="1113" t="n">
        <v>12401</v>
      </c>
      <c r="G26" s="1113" t="n">
        <v>2813</v>
      </c>
      <c r="H26" s="1113" t="n">
        <v>2080</v>
      </c>
    </row>
    <row r="27" ht="13.5" customHeight="1" s="586">
      <c r="B27" s="1111" t="n"/>
      <c r="C27" s="1112" t="inlineStr">
        <is>
          <t>Printer Local Mono</t>
        </is>
      </c>
      <c r="D27" s="1113" t="n">
        <v>422.222157161665</v>
      </c>
      <c r="E27" s="1113" t="n">
        <v>422.222157161665</v>
      </c>
      <c r="F27" s="1113" t="n">
        <v>422.222157161665</v>
      </c>
      <c r="G27" s="1113" t="n">
        <v>422.222157161665</v>
      </c>
      <c r="H27" s="1113" t="n">
        <v>422.222157161665</v>
      </c>
    </row>
    <row r="28" ht="13.2" customHeight="1" s="586">
      <c r="B28" s="1111" t="n"/>
      <c r="C28" s="1112" t="inlineStr">
        <is>
          <t>Printer Local Color</t>
        </is>
      </c>
      <c r="D28" s="1113" t="n">
        <v>1538.70222375023</v>
      </c>
      <c r="E28" s="1113" t="n">
        <v>1538.70222375023</v>
      </c>
      <c r="F28" s="1113" t="n">
        <v>1538.70222375023</v>
      </c>
      <c r="G28" s="1113" t="n">
        <v>1538.70222375023</v>
      </c>
      <c r="H28" s="1113" t="n">
        <v>1538.70222375023</v>
      </c>
    </row>
    <row r="29" ht="13.2" customHeight="1" s="586">
      <c r="B29" s="1111" t="n"/>
      <c r="C29" s="1112" t="inlineStr">
        <is>
          <t>Printer Network small Mono</t>
        </is>
      </c>
      <c r="D29" s="1113" t="n">
        <v>457.412919167915</v>
      </c>
      <c r="E29" s="1113" t="n">
        <v>457.412919167915</v>
      </c>
      <c r="F29" s="1113" t="n">
        <v>457.412919167915</v>
      </c>
      <c r="G29" s="1113" t="n">
        <v>457.412919167915</v>
      </c>
      <c r="H29" s="1113" t="n">
        <v>457.412919167915</v>
      </c>
    </row>
    <row r="30" ht="13.2" customHeight="1" s="586">
      <c r="B30" s="1111" t="n"/>
      <c r="C30" s="1112" t="inlineStr">
        <is>
          <t>Printer Network small Color</t>
        </is>
      </c>
      <c r="D30" s="1113" t="n">
        <v>903.323347527093</v>
      </c>
      <c r="E30" s="1113" t="n">
        <v>903.323347527093</v>
      </c>
      <c r="F30" s="1113" t="n">
        <v>903.323347527093</v>
      </c>
      <c r="G30" s="1113" t="n">
        <v>903.323347527093</v>
      </c>
      <c r="H30" s="1113" t="n">
        <v>903.323347527093</v>
      </c>
    </row>
    <row r="31" ht="13.2" customHeight="1" s="586">
      <c r="B31" s="1111" t="n"/>
      <c r="C31" s="1112" t="inlineStr">
        <is>
          <t>Printer Network big Mono</t>
        </is>
      </c>
      <c r="D31" s="1113" t="n">
        <v>196.034108214821</v>
      </c>
      <c r="E31" s="1113" t="n">
        <v>196.034108214821</v>
      </c>
      <c r="F31" s="1113" t="n">
        <v>196.034108214821</v>
      </c>
      <c r="G31" s="1113" t="n">
        <v>196.034108214821</v>
      </c>
      <c r="H31" s="1113" t="n">
        <v>196.034108214821</v>
      </c>
    </row>
    <row r="32" ht="13.8" customHeight="1" s="586">
      <c r="B32" s="1111" t="n"/>
      <c r="C32" s="1118" t="inlineStr">
        <is>
          <t>Printer Network big color</t>
        </is>
      </c>
      <c r="D32" s="1114" t="n">
        <v>387.138577511611</v>
      </c>
      <c r="E32" s="1114" t="n">
        <v>387.138577511611</v>
      </c>
      <c r="F32" s="1114" t="n">
        <v>387.138577511611</v>
      </c>
      <c r="G32" s="1114" t="n">
        <v>387.138577511611</v>
      </c>
      <c r="H32" s="1114" t="n">
        <v>387.138577511611</v>
      </c>
    </row>
    <row r="33" ht="13.2" customHeight="1" s="586">
      <c r="B33" s="1111" t="n"/>
      <c r="C33" s="1115" t="inlineStr">
        <is>
          <t>Central 2 way Server</t>
        </is>
      </c>
      <c r="D33" s="1119" t="n">
        <v>40.5677749360614</v>
      </c>
      <c r="E33" s="1119" t="n">
        <v>37.0077519379845</v>
      </c>
      <c r="F33" s="1119" t="n">
        <v>37.0077519379845</v>
      </c>
      <c r="G33" s="1119" t="n">
        <v>37.0077519379845</v>
      </c>
      <c r="H33" s="1119" t="n">
        <v>37.0077519379845</v>
      </c>
    </row>
    <row r="34" ht="13.2" customHeight="1" s="586">
      <c r="B34" s="1111" t="n"/>
      <c r="C34" s="1115" t="inlineStr">
        <is>
          <t>Central 4 way Server</t>
        </is>
      </c>
      <c r="D34" s="1119" t="n">
        <v>45.8363171355499</v>
      </c>
      <c r="E34" s="1119" t="n">
        <v>41.8139534883721</v>
      </c>
      <c r="F34" s="1119" t="n">
        <v>41.8139534883721</v>
      </c>
      <c r="G34" s="1119" t="n">
        <v>41.8139534883721</v>
      </c>
      <c r="H34" s="1119" t="n">
        <v>41.8139534883721</v>
      </c>
    </row>
    <row r="35" ht="13.2" customHeight="1" s="586">
      <c r="B35" s="1111" t="n"/>
      <c r="C35" s="1115" t="inlineStr">
        <is>
          <t>Central 4/8 Way Server</t>
        </is>
      </c>
      <c r="D35" s="1119" t="n">
        <v>4.91730605285593</v>
      </c>
      <c r="E35" s="1119" t="n">
        <v>4.32558139534884</v>
      </c>
      <c r="F35" s="1119" t="n">
        <v>4.48578811369509</v>
      </c>
      <c r="G35" s="1119" t="n">
        <v>4.48578811369509</v>
      </c>
      <c r="H35" s="1119" t="n">
        <v>4.32558139534884</v>
      </c>
    </row>
    <row r="36" ht="13.2" customHeight="1" s="586">
      <c r="B36" s="1111" t="n"/>
      <c r="C36" s="1115" t="inlineStr">
        <is>
          <t>Decentral 1 way Server</t>
        </is>
      </c>
      <c r="D36" s="1119" t="n">
        <v>61.4663256606991</v>
      </c>
      <c r="E36" s="1119" t="n">
        <v>56.0723514211886</v>
      </c>
      <c r="F36" s="1119" t="n">
        <v>56.0723514211886</v>
      </c>
      <c r="G36" s="1119" t="n">
        <v>56.0723514211886</v>
      </c>
      <c r="H36" s="1119" t="n">
        <v>56.0723514211886</v>
      </c>
    </row>
    <row r="37" ht="13.2" customHeight="1" s="586">
      <c r="B37" s="1111" t="n"/>
      <c r="C37" s="670" t="inlineStr">
        <is>
          <t>Decentral 2 way Server</t>
        </is>
      </c>
      <c r="D37" s="1113" t="n">
        <v>10.3614663256607</v>
      </c>
      <c r="E37" s="1113" t="n">
        <v>9.452196382428941</v>
      </c>
      <c r="F37" s="1113" t="n">
        <v>9.452196382428941</v>
      </c>
      <c r="G37" s="1113" t="n">
        <v>9.452196382428941</v>
      </c>
      <c r="H37" s="1113" t="n">
        <v>9.452196382428941</v>
      </c>
    </row>
    <row r="38" ht="13.8" customHeight="1" s="586">
      <c r="B38" s="1116" t="n"/>
      <c r="C38" s="1120" t="inlineStr">
        <is>
          <t>TPA Servers</t>
        </is>
      </c>
      <c r="D38" s="1114" t="inlineStr">
        <is>
          <t xml:space="preserve"> </t>
        </is>
      </c>
      <c r="E38" s="1114" t="inlineStr">
        <is>
          <t xml:space="preserve"> </t>
        </is>
      </c>
      <c r="F38" s="1114" t="n">
        <v>911</v>
      </c>
      <c r="G38" s="1114" t="inlineStr">
        <is>
          <t xml:space="preserve"> </t>
        </is>
      </c>
      <c r="H38" s="1114" t="inlineStr">
        <is>
          <t xml:space="preserve"> </t>
        </is>
      </c>
    </row>
    <row r="39"/>
    <row r="40"/>
    <row r="41" ht="13.2" customHeight="1" s="586">
      <c r="B41" s="1104" t="inlineStr">
        <is>
          <t>3 year refresh cycle for all equipment.</t>
        </is>
      </c>
    </row>
  </sheetData>
  <mergeCells count="2">
    <mergeCell ref="B22:B38"/>
    <mergeCell ref="B6:B2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65"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42"/>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59765625" defaultRowHeight="13.2" customHeight="1" zeroHeight="0" outlineLevelRow="0"/>
  <cols>
    <col width="25.92" customWidth="1" style="585" min="1" max="1"/>
    <col width="10.3" customWidth="1" style="585" min="2" max="6"/>
    <col width="10.8" customWidth="1" style="585" min="7" max="7"/>
    <col width="9.6" customWidth="1" style="585" min="8" max="257"/>
  </cols>
  <sheetData>
    <row r="1" ht="13.2" customHeight="1" s="586">
      <c r="A1" s="1104" t="inlineStr">
        <is>
          <t>The prices below are available for acceptance by EuroBank during the period of 12 months after the effective date</t>
        </is>
      </c>
    </row>
    <row r="2" ht="13.8" customHeight="1" s="586">
      <c r="A2" s="1104" t="n"/>
    </row>
    <row r="3" ht="13.8" customHeight="1" s="586">
      <c r="A3" s="630" t="inlineStr">
        <is>
          <t>Detailed Base Charges - Total</t>
        </is>
      </c>
      <c r="B3" s="631" t="inlineStr">
        <is>
          <t>Year 1</t>
        </is>
      </c>
      <c r="C3" s="631" t="inlineStr">
        <is>
          <t>Year 2</t>
        </is>
      </c>
      <c r="D3" s="631" t="inlineStr">
        <is>
          <t>Year 3</t>
        </is>
      </c>
      <c r="E3" s="631" t="inlineStr">
        <is>
          <t>Year 4</t>
        </is>
      </c>
      <c r="F3" s="631" t="inlineStr">
        <is>
          <t>Year 5</t>
        </is>
      </c>
      <c r="G3" s="632" t="inlineStr">
        <is>
          <t>Total 5 Yr</t>
        </is>
      </c>
    </row>
    <row r="4" ht="13.8" customHeight="1" s="586">
      <c r="A4" s="1121" t="inlineStr">
        <is>
          <t>Server Management</t>
        </is>
      </c>
      <c r="B4" s="1122" t="n"/>
      <c r="C4" s="1122" t="n"/>
      <c r="D4" s="1122" t="n"/>
      <c r="E4" s="1122" t="n"/>
      <c r="F4" s="1122" t="n"/>
      <c r="G4" s="1123" t="n"/>
    </row>
    <row r="5" ht="13.8" customHeight="1" s="586">
      <c r="A5" s="687" t="inlineStr">
        <is>
          <t>Support Services</t>
        </is>
      </c>
      <c r="B5" s="638" t="n"/>
      <c r="C5" s="638" t="n"/>
      <c r="D5" s="638" t="n"/>
      <c r="E5" s="638" t="n"/>
      <c r="F5" s="638" t="n"/>
      <c r="G5" s="639" t="n"/>
    </row>
    <row r="6" ht="13.2" customHeight="1" s="586">
      <c r="A6" s="640" t="inlineStr">
        <is>
          <t>Total SAN (TB)</t>
        </is>
      </c>
      <c r="B6" s="641" t="n">
        <v>2625168</v>
      </c>
      <c r="C6" s="641" t="n">
        <v>3242384</v>
      </c>
      <c r="D6" s="641" t="n">
        <v>2679575</v>
      </c>
      <c r="E6" s="641" t="n">
        <v>2468522</v>
      </c>
      <c r="F6" s="641" t="n">
        <v>2081591</v>
      </c>
      <c r="G6" s="642" t="n">
        <v>13097240</v>
      </c>
    </row>
    <row r="7" ht="13.8" customHeight="1" s="586">
      <c r="A7" s="1124" t="inlineStr">
        <is>
          <t>Total NAS (TB)</t>
        </is>
      </c>
      <c r="B7" s="1125" t="n">
        <v>737687</v>
      </c>
      <c r="C7" s="1125" t="n">
        <v>925032</v>
      </c>
      <c r="D7" s="1125" t="n">
        <v>760769</v>
      </c>
      <c r="E7" s="1125" t="n">
        <v>706015</v>
      </c>
      <c r="F7" s="1125" t="n">
        <v>590422</v>
      </c>
      <c r="G7" s="1126" t="n">
        <v>3719925</v>
      </c>
    </row>
    <row r="8"/>
    <row r="9" ht="13.8" customHeight="1" s="586"/>
    <row r="10" ht="13.8" customHeight="1" s="586">
      <c r="A10" s="630" t="inlineStr">
        <is>
          <t>Detailed Base Charges - NL</t>
        </is>
      </c>
      <c r="B10" s="631" t="inlineStr">
        <is>
          <t>Year 1</t>
        </is>
      </c>
      <c r="C10" s="631" t="inlineStr">
        <is>
          <t>Year 2</t>
        </is>
      </c>
      <c r="D10" s="631" t="inlineStr">
        <is>
          <t>Year 3</t>
        </is>
      </c>
      <c r="E10" s="631" t="inlineStr">
        <is>
          <t>Year 4</t>
        </is>
      </c>
      <c r="F10" s="631" t="inlineStr">
        <is>
          <t>Year 5</t>
        </is>
      </c>
      <c r="G10" s="632" t="inlineStr">
        <is>
          <t>Total 5 Yr</t>
        </is>
      </c>
    </row>
    <row r="11" ht="13.8" customHeight="1" s="586">
      <c r="A11" s="1121" t="inlineStr">
        <is>
          <t>Server Management</t>
        </is>
      </c>
      <c r="B11" s="1122" t="n"/>
      <c r="C11" s="1122" t="n"/>
      <c r="D11" s="1122" t="n"/>
      <c r="E11" s="1122" t="n"/>
      <c r="F11" s="1122" t="n"/>
      <c r="G11" s="1123" t="n"/>
    </row>
    <row r="12" ht="13.8" customHeight="1" s="586">
      <c r="A12" s="687" t="inlineStr">
        <is>
          <t>Support Services</t>
        </is>
      </c>
      <c r="B12" s="638" t="n"/>
      <c r="C12" s="638" t="n"/>
      <c r="D12" s="638" t="n"/>
      <c r="E12" s="638" t="n"/>
      <c r="F12" s="638" t="n"/>
      <c r="G12" s="639" t="n"/>
    </row>
    <row r="13" ht="13.8" customHeight="1" s="586">
      <c r="A13" s="640" t="inlineStr">
        <is>
          <t>Total SAN (TB)</t>
        </is>
      </c>
      <c r="B13" s="1127" t="n">
        <v>1508075.23404255</v>
      </c>
      <c r="C13" s="1127" t="n">
        <v>2018842.86792453</v>
      </c>
      <c r="D13" s="1127" t="n">
        <v>1668414.62264151</v>
      </c>
      <c r="E13" s="1127" t="n">
        <v>1537004.26415094</v>
      </c>
      <c r="F13" s="1127" t="n">
        <v>1296084.96226415</v>
      </c>
      <c r="G13" s="642">
        <f>SUM(B13:F13)</f>
        <v/>
      </c>
    </row>
    <row r="14" ht="14.4" customHeight="1" s="586">
      <c r="A14" s="1124" t="inlineStr">
        <is>
          <t>Total NAS (TB)</t>
        </is>
      </c>
      <c r="B14" s="1128" t="n">
        <v>532773.944444444</v>
      </c>
      <c r="C14" s="1128" t="n">
        <v>672750.545454546</v>
      </c>
      <c r="D14" s="1128" t="n">
        <v>553286.5454545449</v>
      </c>
      <c r="E14" s="1128" t="n">
        <v>513465.454545455</v>
      </c>
      <c r="F14" s="1128" t="n">
        <v>429397.818181818</v>
      </c>
      <c r="G14" s="1126">
        <f>SUM(B14:F14)</f>
        <v/>
      </c>
    </row>
    <row r="15"/>
    <row r="16" ht="13.8" customHeight="1" s="586"/>
    <row r="17" ht="13.8" customHeight="1" s="586">
      <c r="A17" s="630" t="inlineStr">
        <is>
          <t>Detailed Base Charges - BE</t>
        </is>
      </c>
      <c r="B17" s="631" t="inlineStr">
        <is>
          <t>Year 1</t>
        </is>
      </c>
      <c r="C17" s="631" t="inlineStr">
        <is>
          <t>Year 2</t>
        </is>
      </c>
      <c r="D17" s="631" t="inlineStr">
        <is>
          <t>Year 3</t>
        </is>
      </c>
      <c r="E17" s="631" t="inlineStr">
        <is>
          <t>Year 4</t>
        </is>
      </c>
      <c r="F17" s="631" t="inlineStr">
        <is>
          <t>Year 5</t>
        </is>
      </c>
      <c r="G17" s="632" t="inlineStr">
        <is>
          <t>Total 5 Yr</t>
        </is>
      </c>
    </row>
    <row r="18" ht="13.8" customHeight="1" s="586">
      <c r="A18" s="1121" t="inlineStr">
        <is>
          <t>Server Management</t>
        </is>
      </c>
      <c r="B18" s="1122" t="n"/>
      <c r="C18" s="1122" t="n"/>
      <c r="D18" s="1122" t="n"/>
      <c r="E18" s="1122" t="n"/>
      <c r="F18" s="1122" t="n"/>
      <c r="G18" s="1123" t="n"/>
    </row>
    <row r="19" ht="13.8" customHeight="1" s="586">
      <c r="A19" s="687" t="inlineStr">
        <is>
          <t>Support Services</t>
        </is>
      </c>
      <c r="B19" s="638" t="n"/>
      <c r="C19" s="638" t="n"/>
      <c r="D19" s="638" t="n"/>
      <c r="E19" s="638" t="n"/>
      <c r="F19" s="638" t="n"/>
      <c r="G19" s="639" t="n"/>
    </row>
    <row r="20" ht="13.8" customHeight="1" s="586">
      <c r="A20" s="640" t="inlineStr">
        <is>
          <t>Total SAN (TB)</t>
        </is>
      </c>
      <c r="B20" s="1127" t="n">
        <v>1117092.76595745</v>
      </c>
      <c r="C20" s="1127" t="n">
        <v>1223541.13207547</v>
      </c>
      <c r="D20" s="1127" t="n">
        <v>1011160.37735849</v>
      </c>
      <c r="E20" s="1127" t="n">
        <v>931517.735849057</v>
      </c>
      <c r="F20" s="1127" t="n">
        <v>785506.037735849</v>
      </c>
      <c r="G20" s="642">
        <f>SUM(B20:F20)</f>
        <v/>
      </c>
    </row>
    <row r="21" ht="14.4" customHeight="1" s="586">
      <c r="A21" s="1124" t="inlineStr">
        <is>
          <t>Total NAS (TB)</t>
        </is>
      </c>
      <c r="B21" s="1128" t="n">
        <v>204913.055555556</v>
      </c>
      <c r="C21" s="1128" t="n">
        <v>252281.454545455</v>
      </c>
      <c r="D21" s="1128" t="n">
        <v>207482.454545455</v>
      </c>
      <c r="E21" s="1128" t="n">
        <v>192549.545454545</v>
      </c>
      <c r="F21" s="1128" t="n">
        <v>161024.181818182</v>
      </c>
      <c r="G21" s="1126">
        <f>SUM(B21:F21)</f>
        <v/>
      </c>
    </row>
    <row r="22"/>
    <row r="23" ht="13.8" customHeight="1" s="586"/>
    <row r="24" ht="13.8" customHeight="1" s="586">
      <c r="A24" s="630" t="inlineStr">
        <is>
          <t>Resource Baseline - Total</t>
        </is>
      </c>
      <c r="B24" s="631" t="inlineStr">
        <is>
          <t>Year 1</t>
        </is>
      </c>
      <c r="C24" s="631" t="inlineStr">
        <is>
          <t>Year 2</t>
        </is>
      </c>
      <c r="D24" s="631" t="inlineStr">
        <is>
          <t>Year 3</t>
        </is>
      </c>
      <c r="E24" s="631" t="inlineStr">
        <is>
          <t>Year 4</t>
        </is>
      </c>
      <c r="F24" s="632" t="inlineStr">
        <is>
          <t>Year 5</t>
        </is>
      </c>
    </row>
    <row r="25" ht="13.8" customHeight="1" s="586">
      <c r="A25" s="1121" t="inlineStr">
        <is>
          <t>Server Management</t>
        </is>
      </c>
      <c r="B25" s="1122" t="n"/>
      <c r="C25" s="1122" t="n"/>
      <c r="D25" s="1122" t="n"/>
      <c r="E25" s="1122" t="n"/>
      <c r="F25" s="1123" t="n"/>
    </row>
    <row r="26" ht="13.8" customHeight="1" s="586">
      <c r="A26" s="687" t="inlineStr">
        <is>
          <t>Support Services</t>
        </is>
      </c>
      <c r="B26" s="638" t="n"/>
      <c r="C26" s="638" t="n"/>
      <c r="D26" s="638" t="n"/>
      <c r="E26" s="638" t="n"/>
      <c r="F26" s="639" t="n"/>
    </row>
    <row r="27" ht="13.2" customHeight="1" s="586">
      <c r="A27" s="640" t="inlineStr">
        <is>
          <t>Total SAN (TB)</t>
        </is>
      </c>
      <c r="B27" s="1129" t="n">
        <v>141</v>
      </c>
      <c r="C27" s="1130" t="n">
        <v>212</v>
      </c>
      <c r="D27" s="1130" t="n">
        <v>212</v>
      </c>
      <c r="E27" s="1130" t="n">
        <v>212</v>
      </c>
      <c r="F27" s="1131" t="n">
        <v>212</v>
      </c>
    </row>
    <row r="28" ht="13.8" customHeight="1" s="586">
      <c r="A28" s="1124" t="inlineStr">
        <is>
          <t>Total NAS (TB)</t>
        </is>
      </c>
      <c r="B28" s="1132" t="n">
        <v>36</v>
      </c>
      <c r="C28" s="1133" t="n">
        <v>55</v>
      </c>
      <c r="D28" s="1133" t="n">
        <v>55</v>
      </c>
      <c r="E28" s="1133" t="n">
        <v>55</v>
      </c>
      <c r="F28" s="1134" t="n">
        <v>55</v>
      </c>
    </row>
    <row r="29"/>
    <row r="30" ht="13.8" customHeight="1" s="586"/>
    <row r="31" ht="13.8" customHeight="1" s="586">
      <c r="A31" s="630" t="inlineStr">
        <is>
          <t>Resource Baseline - NL</t>
        </is>
      </c>
      <c r="B31" s="631" t="inlineStr">
        <is>
          <t>Year 1</t>
        </is>
      </c>
      <c r="C31" s="631" t="inlineStr">
        <is>
          <t>Year 2</t>
        </is>
      </c>
      <c r="D31" s="631" t="inlineStr">
        <is>
          <t>Year 3</t>
        </is>
      </c>
      <c r="E31" s="631" t="inlineStr">
        <is>
          <t>Year 4</t>
        </is>
      </c>
      <c r="F31" s="632" t="inlineStr">
        <is>
          <t>Year 5</t>
        </is>
      </c>
    </row>
    <row r="32" ht="13.8" customHeight="1" s="586">
      <c r="A32" s="1121" t="inlineStr">
        <is>
          <t>Server Management</t>
        </is>
      </c>
      <c r="B32" s="1122" t="n"/>
      <c r="C32" s="1122" t="n"/>
      <c r="D32" s="1122" t="n"/>
      <c r="E32" s="1122" t="n"/>
      <c r="F32" s="1123" t="n"/>
    </row>
    <row r="33" ht="13.8" customHeight="1" s="586">
      <c r="A33" s="687" t="inlineStr">
        <is>
          <t>Support Services</t>
        </is>
      </c>
      <c r="B33" s="638" t="n"/>
      <c r="C33" s="638" t="n"/>
      <c r="D33" s="638" t="n"/>
      <c r="E33" s="638" t="n"/>
      <c r="F33" s="639" t="n"/>
    </row>
    <row r="34" ht="13.8" customHeight="1" s="586">
      <c r="A34" s="640" t="inlineStr">
        <is>
          <t>Total SAN (TB)</t>
        </is>
      </c>
      <c r="B34" s="1127" t="n">
        <v>81</v>
      </c>
      <c r="C34" s="1127" t="n">
        <v>132</v>
      </c>
      <c r="D34" s="1127" t="n">
        <v>132</v>
      </c>
      <c r="E34" s="1127" t="n">
        <v>132</v>
      </c>
      <c r="F34" s="1135" t="n">
        <v>132</v>
      </c>
    </row>
    <row r="35" ht="14.4" customHeight="1" s="586">
      <c r="A35" s="1124" t="inlineStr">
        <is>
          <t>Total NAS (TB)</t>
        </is>
      </c>
      <c r="B35" s="1128" t="n">
        <v>26</v>
      </c>
      <c r="C35" s="1128" t="n">
        <v>40</v>
      </c>
      <c r="D35" s="1128" t="n">
        <v>40</v>
      </c>
      <c r="E35" s="1128" t="n">
        <v>40</v>
      </c>
      <c r="F35" s="1136" t="n">
        <v>40</v>
      </c>
    </row>
    <row r="36"/>
    <row r="37" ht="13.8" customHeight="1" s="586"/>
    <row r="38" ht="13.8" customHeight="1" s="586">
      <c r="A38" s="630" t="inlineStr">
        <is>
          <t>Resource Baseline - BE</t>
        </is>
      </c>
      <c r="B38" s="631" t="inlineStr">
        <is>
          <t>Year 1</t>
        </is>
      </c>
      <c r="C38" s="631" t="inlineStr">
        <is>
          <t>Year 2</t>
        </is>
      </c>
      <c r="D38" s="631" t="inlineStr">
        <is>
          <t>Year 3</t>
        </is>
      </c>
      <c r="E38" s="631" t="inlineStr">
        <is>
          <t>Year 4</t>
        </is>
      </c>
      <c r="F38" s="632" t="inlineStr">
        <is>
          <t>Year 5</t>
        </is>
      </c>
    </row>
    <row r="39" ht="13.8" customHeight="1" s="586">
      <c r="A39" s="1121" t="inlineStr">
        <is>
          <t>Server Management</t>
        </is>
      </c>
      <c r="B39" s="1122" t="n"/>
      <c r="C39" s="1122" t="n"/>
      <c r="D39" s="1122" t="n"/>
      <c r="E39" s="1122" t="n"/>
      <c r="F39" s="1123" t="n"/>
    </row>
    <row r="40" ht="13.8" customHeight="1" s="586">
      <c r="A40" s="687" t="inlineStr">
        <is>
          <t>Support Services</t>
        </is>
      </c>
      <c r="B40" s="638" t="n"/>
      <c r="C40" s="638" t="n"/>
      <c r="D40" s="638" t="n"/>
      <c r="E40" s="638" t="n"/>
      <c r="F40" s="639" t="n"/>
    </row>
    <row r="41" ht="13.8" customHeight="1" s="586">
      <c r="A41" s="640" t="inlineStr">
        <is>
          <t>Total SAN (TB)</t>
        </is>
      </c>
      <c r="B41" s="1127" t="n">
        <v>60</v>
      </c>
      <c r="C41" s="1127" t="n">
        <v>80</v>
      </c>
      <c r="D41" s="1127" t="n">
        <v>80</v>
      </c>
      <c r="E41" s="1127" t="n">
        <v>80</v>
      </c>
      <c r="F41" s="1135" t="n">
        <v>80</v>
      </c>
    </row>
    <row r="42" ht="14.4" customHeight="1" s="586">
      <c r="A42" s="1124" t="inlineStr">
        <is>
          <t>Total NAS (TB)</t>
        </is>
      </c>
      <c r="B42" s="1128" t="n">
        <v>10</v>
      </c>
      <c r="C42" s="1128" t="n">
        <v>15</v>
      </c>
      <c r="D42" s="1128" t="n">
        <v>15</v>
      </c>
      <c r="E42" s="1128" t="n">
        <v>15</v>
      </c>
      <c r="F42" s="1136" t="n">
        <v>15</v>
      </c>
    </row>
  </sheetData>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&amp;KffffffOps&amp;&amp;IT Banking Confidential&amp;C&amp;"Times New Roman,Regular"&amp;8 &amp;KffffffAttachment 4-A  &amp;A   &amp;P  &amp;R&amp;"Times New Roman,Regular"&amp;8 &amp;Kffffff&amp;D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 </dc:title>
  <dc:language xmlns:dc="http://purl.org/dc/elements/1.1/">en-US</dc:language>
  <dcterms:created xmlns:dcterms="http://purl.org/dc/terms/" xmlns:xsi="http://www.w3.org/2001/XMLSchema-instance" xsi:type="dcterms:W3CDTF">1980-01-01T03:30:00Z</dcterms:created>
  <dcterms:modified xmlns:dcterms="http://purl.org/dc/terms/" xmlns:xsi="http://www.w3.org/2001/XMLSchema-instance" xsi:type="dcterms:W3CDTF">2026-02-11T03:34:27Z</dcterms:modified>
  <cp:lastModifiedBy>Stuart Johnson</cp:lastModifiedBy>
  <cp:revision>0</cp:revision>
  <cp:lastPrinted>2006-12-12T15:26:36Z</cp:lastPrinted>
</cp:coreProperties>
</file>
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 " sheetId="1" state="visible" r:id="rId1"/>
    <sheet xmlns:r="http://schemas.openxmlformats.org/officeDocument/2006/relationships" name="Example 1 " sheetId="2" state="visible" r:id="rId2"/>
    <sheet xmlns:r="http://schemas.openxmlformats.org/officeDocument/2006/relationships" name="Example 2" sheetId="3" state="visible" r:id="rId3"/>
    <sheet xmlns:r="http://schemas.openxmlformats.org/officeDocument/2006/relationships" name="Example 3" sheetId="4" state="visible" r:id="rId4"/>
    <sheet xmlns:r="http://schemas.openxmlformats.org/officeDocument/2006/relationships" name="Example 4" sheetId="5" state="visible" r:id="rId5"/>
    <sheet xmlns:r="http://schemas.openxmlformats.org/officeDocument/2006/relationships" name="Example Data" sheetId="6" state="visible" r:id="rId6"/>
  </sheets>
  <definedNames>
    <definedName name="Z_2AFD2E8D_3D03_4813_8B05_F9D4BE800E07__wvu_PrintArea" localSheetId="0" hidden="0" function="0" vbProcedure="0">'Cover Page '!$A$1:$I$28</definedName>
    <definedName name="Z_422F6220_13A9_11D5_B09A_0050DA2FB877__wvu_PrintArea" localSheetId="0" hidden="0" function="0" vbProcedure="0">'Cover Page '!$A$1:$I$28</definedName>
    <definedName name="Z_4B2D6D4A_C75D_4A68_9856_C75A4E5366DD__wvu_PrintArea" localSheetId="0" hidden="0" function="0" vbProcedure="0">'Cover Page '!$A$1:$I$28</definedName>
    <definedName name="_xlnm.Print_Area" localSheetId="0">'Cover Page '!$A$1:$F$28</definedName>
    <definedName name="_xlnm.Print_Area" localSheetId="1">'Example 1 '!$A$1:$N$44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mm\ d&quot;, &quot;yyyy"/>
    <numFmt numFmtId="165" formatCode="0.0000"/>
  </numFmts>
  <fonts count="14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Times New Roman"/>
      <family val="2"/>
      <b val="1"/>
      <color rgb="FF000000"/>
      <sz val="16"/>
    </font>
    <font>
      <name val="Arial"/>
      <family val="2"/>
      <color rgb="FF000000"/>
      <sz val="10.25"/>
    </font>
    <font>
      <name val="Arial"/>
      <family val="2"/>
      <b val="1"/>
      <color rgb="FF000000"/>
      <sz val="10.25"/>
    </font>
    <font>
      <name val="Arial"/>
      <family val="2"/>
      <b val="1"/>
      <sz val="12"/>
    </font>
    <font>
      <name val="Arial"/>
      <family val="2"/>
      <b val="1"/>
      <sz val="14"/>
      <u val="single"/>
    </font>
    <font>
      <name val="Arial"/>
      <family val="2"/>
      <b val="1"/>
      <sz val="10"/>
      <u val="single"/>
    </font>
  </fonts>
  <fills count="3">
    <fill>
      <patternFill/>
    </fill>
    <fill>
      <patternFill patternType="gray125"/>
    </fill>
    <fill>
      <patternFill patternType="solid">
        <fgColor rgb="FFCCFFFF"/>
        <bgColor rgb="FFCCFFFF"/>
      </patternFill>
    </fill>
  </fills>
  <borders count="2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thin"/>
      <diagonal/>
    </border>
    <border>
      <left/>
      <right/>
      <top/>
      <bottom style="double"/>
      <diagonal/>
    </border>
    <border>
      <left/>
      <right/>
      <top style="double"/>
      <bottom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/>
    </xf>
    <xf numFmtId="0" fontId="7" fillId="2" borderId="2" applyAlignment="1" pivotButton="0" quotePrefix="0" xfId="0">
      <alignment horizontal="center" vertical="bottom"/>
    </xf>
    <xf numFmtId="0" fontId="7" fillId="2" borderId="3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165" fontId="0" fillId="0" borderId="5" applyAlignment="1" pivotButton="0" quotePrefix="0" xfId="0">
      <alignment horizontal="general" vertical="bottom"/>
    </xf>
    <xf numFmtId="165" fontId="0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7" fillId="0" borderId="8" applyAlignment="1" pivotButton="0" quotePrefix="0" xfId="0">
      <alignment horizontal="general" vertical="bottom"/>
    </xf>
    <xf numFmtId="165" fontId="0" fillId="0" borderId="8" applyAlignment="1" pivotButton="0" quotePrefix="0" xfId="0">
      <alignment horizontal="general" vertical="bottom"/>
    </xf>
    <xf numFmtId="165" fontId="0" fillId="0" borderId="9" applyAlignment="1" pivotButton="0" quotePrefix="0" xfId="0">
      <alignment horizontal="general" vertical="bottom"/>
    </xf>
    <xf numFmtId="165" fontId="0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center" vertical="bottom"/>
    </xf>
    <xf numFmtId="0" fontId="7" fillId="0" borderId="12" applyAlignment="1" pivotButton="0" quotePrefix="0" xfId="0">
      <alignment horizontal="general" vertical="bottom"/>
    </xf>
    <xf numFmtId="165" fontId="0" fillId="0" borderId="12" applyAlignment="1" pivotButton="0" quotePrefix="0" xfId="0">
      <alignment horizontal="general" vertical="bottom"/>
    </xf>
    <xf numFmtId="165" fontId="0" fillId="0" borderId="13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5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11" fillId="0" borderId="16" applyAlignment="1" pivotButton="0" quotePrefix="0" xfId="0">
      <alignment horizontal="general" vertical="bottom"/>
    </xf>
    <xf numFmtId="165" fontId="11" fillId="0" borderId="17" applyAlignment="1" pivotButton="0" quotePrefix="0" xfId="0">
      <alignment horizontal="general" vertical="bottom"/>
    </xf>
    <xf numFmtId="0" fontId="7" fillId="0" borderId="18" applyAlignment="1" pivotButton="0" quotePrefix="0" xfId="0">
      <alignment horizontal="center" vertical="bottom"/>
    </xf>
    <xf numFmtId="0" fontId="7" fillId="0" borderId="10" applyAlignment="1" pivotButton="0" quotePrefix="0" xfId="0">
      <alignment horizontal="general" vertical="bottom"/>
    </xf>
    <xf numFmtId="0" fontId="7" fillId="0" borderId="19" applyAlignment="1" pivotButton="0" quotePrefix="0" xfId="0">
      <alignment horizontal="center" vertical="bottom"/>
    </xf>
    <xf numFmtId="165" fontId="0" fillId="0" borderId="20" applyAlignment="1" pivotButton="0" quotePrefix="0" xfId="0">
      <alignment horizontal="general" vertical="bottom"/>
    </xf>
    <xf numFmtId="165" fontId="0" fillId="0" borderId="19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5" fontId="0" fillId="0" borderId="3" applyAlignment="1" pivotButton="0" quotePrefix="0" xfId="0">
      <alignment horizontal="general" vertical="bottom"/>
    </xf>
    <xf numFmtId="165" fontId="11" fillId="0" borderId="23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0" fontId="7" fillId="2" borderId="1" applyAlignment="1" pivotButton="0" quotePrefix="0" xfId="0">
      <alignment horizontal="center" vertical="bottom"/>
    </xf>
    <xf numFmtId="0" fontId="7" fillId="2" borderId="2" applyAlignment="1" pivotButton="0" quotePrefix="0" xfId="0">
      <alignment horizontal="center" vertical="bottom"/>
    </xf>
    <xf numFmtId="0" fontId="7" fillId="2" borderId="3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165" fontId="0" fillId="0" borderId="5" applyAlignment="1" pivotButton="0" quotePrefix="0" xfId="0">
      <alignment horizontal="general" vertical="bottom"/>
    </xf>
    <xf numFmtId="165" fontId="0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center" vertical="bottom"/>
    </xf>
    <xf numFmtId="0" fontId="7" fillId="0" borderId="8" applyAlignment="1" pivotButton="0" quotePrefix="0" xfId="0">
      <alignment horizontal="general" vertical="bottom"/>
    </xf>
    <xf numFmtId="165" fontId="0" fillId="0" borderId="8" applyAlignment="1" pivotButton="0" quotePrefix="0" xfId="0">
      <alignment horizontal="general" vertical="bottom"/>
    </xf>
    <xf numFmtId="165" fontId="0" fillId="0" borderId="9" applyAlignment="1" pivotButton="0" quotePrefix="0" xfId="0">
      <alignment horizontal="general" vertical="bottom"/>
    </xf>
    <xf numFmtId="165" fontId="0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center" vertical="bottom"/>
    </xf>
    <xf numFmtId="0" fontId="7" fillId="0" borderId="12" applyAlignment="1" pivotButton="0" quotePrefix="0" xfId="0">
      <alignment horizontal="general" vertical="bottom"/>
    </xf>
    <xf numFmtId="165" fontId="0" fillId="0" borderId="12" applyAlignment="1" pivotButton="0" quotePrefix="0" xfId="0">
      <alignment horizontal="general" vertical="bottom"/>
    </xf>
    <xf numFmtId="165" fontId="0" fillId="0" borderId="13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0" fillId="0" borderId="0" applyAlignment="1" pivotButton="0" quotePrefix="0" xfId="0">
      <alignment horizontal="general" vertical="bottom"/>
    </xf>
    <xf numFmtId="165" fontId="0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11" fillId="0" borderId="16" applyAlignment="1" pivotButton="0" quotePrefix="0" xfId="0">
      <alignment horizontal="general" vertical="bottom"/>
    </xf>
    <xf numFmtId="165" fontId="11" fillId="0" borderId="17" applyAlignment="1" pivotButton="0" quotePrefix="0" xfId="0">
      <alignment horizontal="general" vertical="bottom"/>
    </xf>
    <xf numFmtId="0" fontId="7" fillId="0" borderId="18" applyAlignment="1" pivotButton="0" quotePrefix="0" xfId="0">
      <alignment horizontal="center" vertical="bottom"/>
    </xf>
    <xf numFmtId="0" fontId="0" fillId="0" borderId="25" pivotButton="0" quotePrefix="0" xfId="0"/>
    <xf numFmtId="0" fontId="7" fillId="0" borderId="10" applyAlignment="1" pivotButton="0" quotePrefix="0" xfId="0">
      <alignment horizontal="general" vertical="bottom"/>
    </xf>
    <xf numFmtId="0" fontId="7" fillId="0" borderId="19" applyAlignment="1" pivotButton="0" quotePrefix="0" xfId="0">
      <alignment horizontal="center" vertical="bottom"/>
    </xf>
    <xf numFmtId="165" fontId="0" fillId="0" borderId="20" applyAlignment="1" pivotButton="0" quotePrefix="0" xfId="0">
      <alignment horizontal="general" vertical="bottom"/>
    </xf>
    <xf numFmtId="165" fontId="0" fillId="0" borderId="19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5" fontId="0" fillId="0" borderId="2" applyAlignment="1" pivotButton="0" quotePrefix="0" xfId="0">
      <alignment horizontal="general" vertical="bottom"/>
    </xf>
    <xf numFmtId="165" fontId="0" fillId="0" borderId="3" applyAlignment="1" pivotButton="0" quotePrefix="0" xfId="0">
      <alignment horizontal="general" vertical="bottom"/>
    </xf>
    <xf numFmtId="165" fontId="11" fillId="0" borderId="23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1: Expected Service Level Default with Earnback</a:t>
            </a:r>
          </a:p>
        </rich>
      </tx>
      <layout>
        <manualLayout>
          <xMode val="edge"/>
          <yMode val="edge"/>
          <wMode val="factor"/>
          <hMode val="factor"/>
          <x val="0.101890706775426"/>
          <y val="0.0251421250700617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20189542175492"/>
          <y val="0.166146208663624"/>
          <w val="0.845395822528172"/>
          <h val="0.813195612138682"/>
        </manualLayout>
      </layout>
      <lineChart>
        <grouping val="standard"/>
        <varyColors val="0"/>
        <ser>
          <idx val="0"/>
          <order val="0"/>
          <tx>
            <strRef>
              <f>'Example Data'!$B$53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Data'!$C$53:$N$53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0.97</v>
                </pt>
                <pt idx="5">
                  <v>0.96</v>
                </pt>
                <pt idx="6">
                  <v>0.9399999999999999</v>
                </pt>
                <pt idx="7">
                  <v>0.92</v>
                </pt>
                <pt idx="8">
                  <v>0.98</v>
                </pt>
                <pt idx="9">
                  <v>0.97</v>
                </pt>
                <pt idx="10">
                  <v>0.96</v>
                </pt>
                <pt idx="11">
                  <v>0.97</v>
                </pt>
              </numCache>
            </numRef>
          </val>
          <smooth val="0"/>
        </ser>
        <ser>
          <idx val="1"/>
          <order val="1"/>
          <tx>
            <strRef>
              <f>'Example Data'!$B$54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Data'!$C$54:$N$54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Data'!$B$55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Data'!$C$55:$N$55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Data'!$B$56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25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Data'!$C$52:$N$52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Data'!$C$56:$N$56</f>
              <numCache>
                <formatCode>0.00%</formatCode>
                <ptCount val="12"/>
                <pt idx="11">
                  <v>0.9525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85206768"/>
        <axId val="57054114"/>
      </lineChart>
      <catAx>
        <axId val="85206768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57054114"/>
        <crossesAt val="0"/>
        <auto val="1"/>
        <lblAlgn val="ctr"/>
        <lblOffset val="100"/>
        <noMultiLvlLbl val="0"/>
      </catAx>
      <valAx>
        <axId val="57054114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85206768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62511198076288"/>
          <y val="0.45512050604532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25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2: Average Below Expected - No Default</a:t>
            </a:r>
          </a:p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t/>
            </a:r>
          </a:p>
        </rich>
      </tx>
      <layout>
        <manualLayout>
          <xMode val="edge"/>
          <yMode val="edge"/>
          <wMode val="factor"/>
          <hMode val="factor"/>
          <x val="0.153846153846154"/>
          <y val="0.0234199550850176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63602251407129"/>
          <y val="0.219201154956689"/>
          <w val="0.768292682926829"/>
          <h val="0.743102341995509"/>
        </manualLayout>
      </layout>
      <lineChart>
        <grouping val="standard"/>
        <varyColors val="0"/>
        <ser>
          <idx val="0"/>
          <order val="0"/>
          <tx>
            <strRef>
              <f>'Example Data'!$B$63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Data'!$C$63:$N$63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0.96</v>
                </pt>
                <pt idx="5">
                  <v>0.96</v>
                </pt>
                <pt idx="6">
                  <v>0.9399999999999999</v>
                </pt>
                <pt idx="7">
                  <v>0.951</v>
                </pt>
                <pt idx="8">
                  <v>0.951</v>
                </pt>
                <pt idx="9">
                  <v>0.951</v>
                </pt>
                <pt idx="10">
                  <v>0.96</v>
                </pt>
                <pt idx="11">
                  <v>0.951</v>
                </pt>
              </numCache>
            </numRef>
          </val>
          <smooth val="0"/>
        </ser>
        <ser>
          <idx val="1"/>
          <order val="1"/>
          <tx>
            <strRef>
              <f>'Example Data'!$B$64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Data'!$C$64:$N$64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Data'!$B$65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Data'!$C$65:$N$65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Data'!$B$66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25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Data'!$C$62:$N$62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Data'!$C$66:$N$66</f>
              <numCache>
                <formatCode>0.00%</formatCode>
                <ptCount val="12"/>
                <pt idx="11">
                  <v>0.948666666666667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31808787"/>
        <axId val="4214925"/>
      </lineChart>
      <catAx>
        <axId val="31808787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4214925"/>
        <crossesAt val="0"/>
        <auto val="1"/>
        <lblAlgn val="ctr"/>
        <lblOffset val="100"/>
        <noMultiLvlLbl val="0"/>
      </catAx>
      <valAx>
        <axId val="4214925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31808787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046904315197"/>
          <y val="0.44481873596406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25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3: Minimum Service Level Default - No Earnback</a:t>
            </a:r>
          </a:p>
        </rich>
      </tx>
      <layout>
        <manualLayout>
          <xMode val="edge"/>
          <yMode val="edge"/>
          <wMode val="factor"/>
          <hMode val="factor"/>
          <x val="0.08691364980983241"/>
          <y val="0.0199968132568515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46983143165704"/>
          <y val="0.175908221797323"/>
          <w val="0.801239611212847"/>
          <h val="0.789754620777565"/>
        </manualLayout>
      </layout>
      <lineChart>
        <grouping val="standard"/>
        <varyColors val="0"/>
        <ser>
          <idx val="0"/>
          <order val="0"/>
          <tx>
            <strRef>
              <f>'Example Data'!$B$73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Data'!$C$73:$N$73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0.96</v>
                </pt>
                <pt idx="5">
                  <v>0.8</v>
                </pt>
                <pt idx="6">
                  <v>0.96</v>
                </pt>
                <pt idx="7">
                  <v>0.951</v>
                </pt>
                <pt idx="8">
                  <v>0.951</v>
                </pt>
                <pt idx="9">
                  <v>0.951</v>
                </pt>
                <pt idx="10">
                  <v>0.96</v>
                </pt>
                <pt idx="11">
                  <v>0.951</v>
                </pt>
              </numCache>
            </numRef>
          </val>
          <smooth val="0"/>
        </ser>
        <ser>
          <idx val="1"/>
          <order val="1"/>
          <tx>
            <strRef>
              <f>'Example Data'!$B$74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Data'!$C$74:$N$74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Data'!$B$75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Data'!$C$75:$N$75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Data'!$B$76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25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Data'!$C$72:$N$72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Data'!$C$76:$N$76</f>
              <numCache>
                <formatCode>0.00%</formatCode>
                <ptCount val="12"/>
                <pt idx="11">
                  <v>0.9370000000000001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55485095"/>
        <axId val="22830719"/>
      </lineChart>
      <catAx>
        <axId val="5548509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22830719"/>
        <crossesAt val="0"/>
        <auto val="1"/>
        <lblAlgn val="ctr"/>
        <lblOffset val="100"/>
        <noMultiLvlLbl val="0"/>
      </catAx>
      <valAx>
        <axId val="22830719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55485095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21993708033995"/>
          <y val="0.391013384321224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25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600" b="1" strike="noStrike">
                <a:solidFill>
                  <a:srgbClr val="000000"/>
                </a:solidFill>
                <a:uFillTx/>
                <a:latin typeface="Times New Roman"/>
              </a:rPr>
              <a:t>Example 4:  Expected Service Level Default - No Earnback</a:t>
            </a:r>
          </a:p>
        </rich>
      </tx>
      <layout>
        <manualLayout>
          <xMode val="edge"/>
          <yMode val="edge"/>
          <wMode val="factor"/>
          <hMode val="factor"/>
          <x val="0.103535709254825"/>
          <y val="0.0199968132568515"/>
        </manualLayout>
      </layout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>
        <manualLayout>
          <xMode val="edge"/>
          <yMode val="edge"/>
          <wMode val="factor"/>
          <hMode val="factor"/>
          <x val="0.0246983143165704"/>
          <y val="0.175908221797323"/>
          <w val="0.801239611212847"/>
          <h val="0.789754620777565"/>
        </manualLayout>
      </layout>
      <lineChart>
        <grouping val="standard"/>
        <varyColors val="0"/>
        <ser>
          <idx val="0"/>
          <order val="0"/>
          <tx>
            <strRef>
              <f>'Example Data'!$B$83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w="37800">
              <a:solidFill>
                <a:srgbClr val="000000"/>
              </a:solidFill>
              <a:prstDash val="solid"/>
              <a:round/>
            </a:ln>
          </spPr>
          <marker>
            <symbol val="diamond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Data'!$C$83:$N$83</f>
              <numCache>
                <formatCode>0.00%</formatCode>
                <ptCount val="12"/>
                <pt idx="0">
                  <v>0.96</v>
                </pt>
                <pt idx="1">
                  <v>0.97</v>
                </pt>
                <pt idx="2">
                  <v>0.93</v>
                </pt>
                <pt idx="3">
                  <v>0.9</v>
                </pt>
                <pt idx="4">
                  <v>0.97</v>
                </pt>
                <pt idx="5">
                  <v>0.96</v>
                </pt>
                <pt idx="6">
                  <v>0.9399999999999999</v>
                </pt>
                <pt idx="7">
                  <v>0.92</v>
                </pt>
                <pt idx="8">
                  <v>0.951</v>
                </pt>
                <pt idx="9">
                  <v>0.95</v>
                </pt>
                <pt idx="10">
                  <v>0.953</v>
                </pt>
                <pt idx="11">
                  <v>0.955</v>
                </pt>
              </numCache>
            </numRef>
          </val>
          <smooth val="0"/>
        </ser>
        <ser>
          <idx val="1"/>
          <order val="1"/>
          <tx>
            <strRef>
              <f>'Example Data'!$B$84</f>
              <strCache>
                <ptCount val="1"/>
                <pt idx="0">
                  <v>Minimum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37800">
              <a:solidFill>
                <a:srgbClr val="ff0000"/>
              </a:solidFill>
              <a:prstDash val="solid"/>
              <a:round/>
            </a:ln>
          </spPr>
          <marker>
            <symbol val="square"/>
            <size val="5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Data'!$C$84:$N$84</f>
              <numCache>
                <formatCode>0.00%</formatCode>
                <ptCount val="12"/>
                <pt idx="0">
                  <v>0.85</v>
                </pt>
                <pt idx="1">
                  <v>0.85</v>
                </pt>
                <pt idx="2">
                  <v>0.85</v>
                </pt>
                <pt idx="3">
                  <v>0.85</v>
                </pt>
                <pt idx="4">
                  <v>0.85</v>
                </pt>
                <pt idx="5">
                  <v>0.85</v>
                </pt>
                <pt idx="6">
                  <v>0.85</v>
                </pt>
                <pt idx="7">
                  <v>0.85</v>
                </pt>
                <pt idx="8">
                  <v>0.85</v>
                </pt>
                <pt idx="9">
                  <v>0.85</v>
                </pt>
                <pt idx="10">
                  <v>0.85</v>
                </pt>
                <pt idx="11">
                  <v>0.85</v>
                </pt>
              </numCache>
            </numRef>
          </val>
          <smooth val="0"/>
        </ser>
        <ser>
          <idx val="2"/>
          <order val="2"/>
          <tx>
            <strRef>
              <f>'Example Data'!$B$85</f>
              <strCache>
                <ptCount val="1"/>
                <pt idx="0">
                  <v>Expected</v>
                </pt>
              </strCache>
            </strRef>
          </tx>
          <spPr>
            <a:solidFill xmlns:a="http://schemas.openxmlformats.org/drawingml/2006/main">
              <a:srgbClr val="339966"/>
            </a:solidFill>
            <a:ln xmlns:a="http://schemas.openxmlformats.org/drawingml/2006/main" w="37800">
              <a:solidFill>
                <a:srgbClr val="339966"/>
              </a:solidFill>
              <a:prstDash val="solid"/>
              <a:round/>
            </a:ln>
          </spPr>
          <marker>
            <symbol val="triangle"/>
            <size val="5"/>
            <spPr>
              <a:solidFill xmlns:a="http://schemas.openxmlformats.org/drawingml/2006/main">
                <a:srgbClr val="339966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Data'!$C$85:$N$85</f>
              <numCache>
                <formatCode>0.00%</formatCode>
                <ptCount val="12"/>
                <pt idx="0">
                  <v>0.95</v>
                </pt>
                <pt idx="1">
                  <v>0.95</v>
                </pt>
                <pt idx="2">
                  <v>0.95</v>
                </pt>
                <pt idx="3">
                  <v>0.95</v>
                </pt>
                <pt idx="4">
                  <v>0.95</v>
                </pt>
                <pt idx="5">
                  <v>0.95</v>
                </pt>
                <pt idx="6">
                  <v>0.95</v>
                </pt>
                <pt idx="7">
                  <v>0.95</v>
                </pt>
                <pt idx="8">
                  <v>0.95</v>
                </pt>
                <pt idx="9">
                  <v>0.95</v>
                </pt>
                <pt idx="10">
                  <v>0.95</v>
                </pt>
                <pt idx="11">
                  <v>0.95</v>
                </pt>
              </numCache>
            </numRef>
          </val>
          <smooth val="0"/>
        </ser>
        <ser>
          <idx val="3"/>
          <order val="3"/>
          <tx>
            <strRef>
              <f>'Example Data'!$B$86</f>
              <strCache>
                <ptCount val="1"/>
                <pt idx="0">
                  <v>Average</v>
                </pt>
              </strCache>
            </strRef>
          </tx>
          <spPr>
            <a:solidFill xmlns:a="http://schemas.openxmlformats.org/drawingml/2006/main">
              <a:srgbClr val="ffffff"/>
            </a:solidFill>
            <a:ln xmlns:a="http://schemas.openxmlformats.org/drawingml/2006/main" w="12600">
              <a:solidFill>
                <a:srgbClr val="ffffff"/>
              </a:solidFill>
              <a:prstDash val="solid"/>
              <a:round/>
            </a:ln>
          </spPr>
          <marker>
            <symbol val="circle"/>
            <size val="8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prstDash val="solid"/>
              </a:ln>
            </spPr>
          </marker>
          <dPt>
            <idx val="11"/>
            <marker>
              <symbol val="circle"/>
              <size val="8"/>
              <spPr>
                <a:solidFill xmlns:a="http://schemas.openxmlformats.org/drawingml/2006/main">
                  <a:srgbClr val="ffffff"/>
                </a:solidFill>
                <a:ln xmlns:a="http://schemas.openxmlformats.org/drawingml/2006/main"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dLbls>
            <dLbl>
              <idx val="1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25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r"/>
              <showLegendKey val="0"/>
              <showVal val="1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'Example Data'!$C$82:$N$82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'Example Data'!$C$86:$N$86</f>
              <numCache>
                <formatCode>0.00%</formatCode>
                <ptCount val="12"/>
                <pt idx="11">
                  <v>0.946583333333333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66689817"/>
        <axId val="6149597"/>
      </lineChart>
      <catAx>
        <axId val="66689817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6149597"/>
        <crossesAt val="0"/>
        <auto val="1"/>
        <lblAlgn val="ctr"/>
        <lblOffset val="100"/>
        <noMultiLvlLbl val="0"/>
      </catAx>
      <valAx>
        <axId val="6149597"/>
        <scaling>
          <orientation val="minMax"/>
          <max val="1"/>
          <min val="0.75"/>
        </scaling>
        <delete val="0"/>
        <axPos val="l"/>
        <majorGridlines>
          <spPr>
            <a:ln xmlns:a="http://schemas.openxmlformats.org/drawingml/2006/main" w="0">
              <a:solidFill>
                <a:srgbClr val="000000"/>
              </a:solidFill>
              <a:prstDash val="solid"/>
            </a:ln>
          </spPr>
        </majorGridlines>
        <numFmt formatCode="0.00%" sourceLinked="1"/>
        <majorTickMark val="out"/>
        <minorTickMark val="none"/>
        <tickLblPos val="nextTo"/>
        <spPr>
          <a:ln xmlns:a="http://schemas.openxmlformats.org/drawingml/2006/main" w="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25" b="1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/>
            </a:r>
          </a:p>
        </txPr>
        <crossAx val="66689817"/>
        <crossesAt val="1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821993708033995"/>
          <y val="0.391013384321224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0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25" b="0" strike="noStrike">
              <a:solidFill>
                <a:srgbClr val="000000"/>
              </a:solidFill>
              <a:uFillTx/>
              <a:latin typeface="Arial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111600</colOff>
      <row>3</row>
      <rowOff>0</rowOff>
    </from>
    <to>
      <col>13</col>
      <colOff>88560</colOff>
      <row>29</row>
      <rowOff>137160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111600</colOff>
      <row>3</row>
      <rowOff>0</rowOff>
    </from>
    <to>
      <col>13</col>
      <colOff>128520</colOff>
      <row>29</row>
      <rowOff>129600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111600</colOff>
      <row>3</row>
      <rowOff>144720</rowOff>
    </from>
    <to>
      <col>13</col>
      <colOff>120240</colOff>
      <row>30</row>
      <rowOff>136800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111600</colOff>
      <row>3</row>
      <rowOff>144720</rowOff>
    </from>
    <to>
      <col>13</col>
      <colOff>120240</colOff>
      <row>30</row>
      <rowOff>136800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20.87" customWidth="1" style="44" min="2" max="2"/>
    <col width="66.55" customWidth="1" style="44" min="3" max="3"/>
  </cols>
  <sheetData>
    <row r="1"/>
    <row r="2"/>
    <row r="3"/>
    <row r="4"/>
    <row r="5"/>
    <row r="6"/>
    <row r="7"/>
    <row r="8"/>
    <row r="9"/>
    <row r="10" ht="13.2" customHeight="1" s="45">
      <c r="C10" s="46" t="n"/>
    </row>
    <row r="11" ht="20.4" customHeight="1" s="45">
      <c r="C11" s="47" t="inlineStr">
        <is>
          <t>EuroBank</t>
        </is>
      </c>
    </row>
    <row r="12"/>
    <row r="13" ht="20.4" customHeight="1" s="45">
      <c r="C13" s="47" t="n"/>
    </row>
    <row r="14" ht="20.4" customHeight="1" s="45">
      <c r="C14" s="47" t="n"/>
    </row>
    <row r="15" ht="20.4" customHeight="1" s="45">
      <c r="C15" s="47" t="n"/>
    </row>
    <row r="16" ht="20.4" customHeight="1" s="45">
      <c r="C16" s="47" t="inlineStr">
        <is>
          <t>ATTACHMENT 3-D</t>
        </is>
      </c>
    </row>
    <row r="17" ht="20.4" customHeight="1" s="45">
      <c r="C17" s="47" t="n"/>
    </row>
    <row r="18" ht="20.4" customHeight="1" s="45">
      <c r="C18" s="47" t="inlineStr">
        <is>
          <t>SERVICE LEVELS OUTCOME EXAMPLES</t>
        </is>
      </c>
    </row>
    <row r="19" ht="20.4" customHeight="1" s="45">
      <c r="C19" s="47" t="inlineStr">
        <is>
          <t>Attachment to Exhibit 3 (Service Levels)</t>
        </is>
      </c>
    </row>
    <row r="20" ht="20.4" customHeight="1" s="45">
      <c r="C20" s="47" t="n"/>
    </row>
    <row r="21" ht="20.4" customHeight="1" s="45">
      <c r="C21" s="47" t="n"/>
    </row>
    <row r="22"/>
    <row r="23" ht="26.25" customHeight="1" s="45">
      <c r="C23" s="48" t="n"/>
    </row>
  </sheetData>
  <printOptions horizontalCentered="1" verticalCentered="0" headings="0" gridLines="0" gridLinesSet="1"/>
  <pageMargins left="0.9840277777777779" right="0.9840277777777779" top="0.236111111111111" bottom="0.236111111111111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Confidential&amp;R&amp;"Times New Roman,Regular"&amp;8 30/11/06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9.0546875" defaultRowHeight="13.2" customHeight="1" zeroHeight="0" outlineLevelRow="0"/>
  <sheetData/>
  <printOptions horizontalCentered="1" verticalCentered="0" headings="0" gridLines="0" gridLinesSet="1"/>
  <pageMargins left="1" right="1" top="0.9840277777777779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3-D &amp;A&amp;R&amp;"Times New Roman,Regular"&amp;8 30/11/06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9.0546875" defaultRowHeight="13.2" customHeight="1" zeroHeight="0" outlineLevelRow="0"/>
  <sheetData/>
  <printOptions horizontalCentered="1" verticalCentered="0" headings="0" gridLines="0" gridLinesSet="1"/>
  <pageMargins left="1" right="1" top="0.9840277777777779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3-D &amp;A&amp;R&amp;"Times New Roman,Regular"&amp;8 30/11/06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9.0546875" defaultRowHeight="13.2" customHeight="1" zeroHeight="0" outlineLevelRow="0"/>
  <sheetData/>
  <printOptions horizontalCentered="1" verticalCentered="0" headings="0" gridLines="0" gridLinesSet="1"/>
  <pageMargins left="1" right="1" top="0.9840277777777779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3-D &amp;A&amp;R&amp;"Times New Roman,Regular"&amp;8 30/11/06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1" activeCellId="0" sqref="C21"/>
    </sheetView>
  </sheetViews>
  <sheetFormatPr baseColWidth="8" defaultColWidth="9.0546875" defaultRowHeight="13.2" customHeight="1" zeroHeight="0" outlineLevelRow="0"/>
  <sheetData/>
  <printOptions horizontalCentered="1" verticalCentered="0" headings="0" gridLines="0" gridLinesSet="1"/>
  <pageMargins left="1" right="1" top="0.9840277777777779" bottom="0.25" header="0.25" footer="0.25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&amp;F</oddHeader>
    <oddFooter>&amp;L&amp;"Times New Roman,Regular"&amp;8 Ops&amp;&amp;IT Banking Confidential&amp;C&amp;"Times New Roman,Regular"&amp;8 Attachment 3-D &amp;A&amp;R&amp;"Times New Roman,Regular"&amp;8 30/11/2006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O86"/>
  <sheetViews>
    <sheetView showFormulas="0" showGridLines="1" showRowColHeaders="1" showZeros="1" rightToLeft="0" tabSelected="1" showOutlineSymbols="1" defaultGridColor="1" view="normal" topLeftCell="A1" colorId="64" zoomScale="75" zoomScaleNormal="75" zoomScalePageLayoutView="100" workbookViewId="0">
      <selection pane="topLeft" activeCell="H29" activeCellId="0" sqref="H29"/>
    </sheetView>
  </sheetViews>
  <sheetFormatPr baseColWidth="8" defaultColWidth="9.0546875" defaultRowHeight="13.2" customHeight="1" zeroHeight="0" outlineLevelRow="0"/>
  <cols>
    <col width="8.869999999999999" customWidth="1" style="46" min="1" max="1"/>
    <col width="36.43" customWidth="1" style="44" min="2" max="2"/>
    <col width="9.869999999999999" customWidth="1" style="44" min="3" max="4"/>
    <col width="10.66" customWidth="1" style="44" min="5" max="5"/>
    <col width="10.87" customWidth="1" style="44" min="6" max="6"/>
  </cols>
  <sheetData>
    <row r="1" ht="13.8" customHeight="1" s="45">
      <c r="B1" s="44" t="inlineStr">
        <is>
          <t xml:space="preserve"> </t>
        </is>
      </c>
    </row>
    <row r="2" ht="17.25" customHeight="1" s="45">
      <c r="A2" s="49" t="inlineStr">
        <is>
          <t>Example</t>
        </is>
      </c>
      <c r="B2" s="50" t="inlineStr">
        <is>
          <t>Description</t>
        </is>
      </c>
      <c r="C2" s="50" t="inlineStr">
        <is>
          <t>Jan</t>
        </is>
      </c>
      <c r="D2" s="50" t="inlineStr">
        <is>
          <t>Feb</t>
        </is>
      </c>
      <c r="E2" s="50" t="inlineStr">
        <is>
          <t>Mar</t>
        </is>
      </c>
      <c r="F2" s="50" t="inlineStr">
        <is>
          <t>Apr</t>
        </is>
      </c>
      <c r="G2" s="50" t="inlineStr">
        <is>
          <t>May</t>
        </is>
      </c>
      <c r="H2" s="50" t="inlineStr">
        <is>
          <t>Jun</t>
        </is>
      </c>
      <c r="I2" s="50" t="inlineStr">
        <is>
          <t>Jul</t>
        </is>
      </c>
      <c r="J2" s="50" t="inlineStr">
        <is>
          <t>Aug</t>
        </is>
      </c>
      <c r="K2" s="50" t="inlineStr">
        <is>
          <t>Sep</t>
        </is>
      </c>
      <c r="L2" s="50" t="inlineStr">
        <is>
          <t>Oct</t>
        </is>
      </c>
      <c r="M2" s="50" t="inlineStr">
        <is>
          <t>Nov</t>
        </is>
      </c>
      <c r="N2" s="50" t="inlineStr">
        <is>
          <t>Dec</t>
        </is>
      </c>
      <c r="O2" s="51" t="inlineStr">
        <is>
          <t>Average</t>
        </is>
      </c>
    </row>
    <row r="3" ht="13.2" customHeight="1" s="45">
      <c r="A3" s="52" t="n">
        <v>1</v>
      </c>
      <c r="B3" s="53" t="inlineStr">
        <is>
          <t>Expected Default w ith Earnback</t>
        </is>
      </c>
      <c r="C3" s="54" t="n">
        <v>0.96</v>
      </c>
      <c r="D3" s="54" t="n">
        <v>0.97</v>
      </c>
      <c r="E3" s="54" t="n">
        <v>0.93</v>
      </c>
      <c r="F3" s="54" t="n">
        <v>0.9</v>
      </c>
      <c r="G3" s="54" t="n">
        <v>0.97</v>
      </c>
      <c r="H3" s="54" t="n">
        <v>0.96</v>
      </c>
      <c r="I3" s="54" t="n">
        <v>0.9399999999999999</v>
      </c>
      <c r="J3" s="54" t="n">
        <v>0.92</v>
      </c>
      <c r="K3" s="54" t="n">
        <v>0.98</v>
      </c>
      <c r="L3" s="54" t="n">
        <v>0.97</v>
      </c>
      <c r="M3" s="54" t="n">
        <v>0.96</v>
      </c>
      <c r="N3" s="54" t="n">
        <v>0.97</v>
      </c>
      <c r="O3" s="55">
        <f>SUM(C3:N3)/12</f>
        <v/>
      </c>
    </row>
    <row r="4" ht="13.2" customHeight="1" s="45">
      <c r="A4" s="56" t="n">
        <v>2</v>
      </c>
      <c r="B4" s="57" t="inlineStr">
        <is>
          <t>Below Expected, No Default</t>
        </is>
      </c>
      <c r="C4" s="58" t="n">
        <v>0.96</v>
      </c>
      <c r="D4" s="58" t="n">
        <v>0.97</v>
      </c>
      <c r="E4" s="58" t="n">
        <v>0.93</v>
      </c>
      <c r="F4" s="58" t="n">
        <v>0.9</v>
      </c>
      <c r="G4" s="58" t="n">
        <v>0.96</v>
      </c>
      <c r="H4" s="58" t="n">
        <v>0.96</v>
      </c>
      <c r="I4" s="58" t="n">
        <v>0.9399999999999999</v>
      </c>
      <c r="J4" s="58" t="n">
        <v>0.951</v>
      </c>
      <c r="K4" s="58" t="n">
        <v>0.951</v>
      </c>
      <c r="L4" s="58" t="n">
        <v>0.951</v>
      </c>
      <c r="M4" s="58" t="n">
        <v>0.96</v>
      </c>
      <c r="N4" s="58" t="n">
        <v>0.951</v>
      </c>
      <c r="O4" s="59">
        <f>SUM(C4:N4)/12</f>
        <v/>
      </c>
    </row>
    <row r="5" ht="13.2" customHeight="1" s="45">
      <c r="A5" s="56" t="n">
        <v>3</v>
      </c>
      <c r="B5" s="57" t="inlineStr">
        <is>
          <t>Minimum Default, No Earnback</t>
        </is>
      </c>
      <c r="C5" s="58" t="n">
        <v>0.96</v>
      </c>
      <c r="D5" s="60" t="n">
        <v>0.97</v>
      </c>
      <c r="E5" s="60" t="n">
        <v>0.93</v>
      </c>
      <c r="F5" s="60" t="n">
        <v>0.9</v>
      </c>
      <c r="G5" s="60" t="n">
        <v>0.96</v>
      </c>
      <c r="H5" s="60" t="n">
        <v>0.8</v>
      </c>
      <c r="I5" s="60" t="n">
        <v>0.96</v>
      </c>
      <c r="J5" s="60" t="n">
        <v>0.951</v>
      </c>
      <c r="K5" s="60" t="n">
        <v>0.951</v>
      </c>
      <c r="L5" s="60" t="n">
        <v>0.951</v>
      </c>
      <c r="M5" s="60" t="n">
        <v>0.96</v>
      </c>
      <c r="N5" s="60" t="n">
        <v>0.951</v>
      </c>
      <c r="O5" s="59">
        <f>SUM(C5:N5)/12</f>
        <v/>
      </c>
    </row>
    <row r="6" ht="13.8" customHeight="1" s="45">
      <c r="A6" s="61" t="n">
        <v>4</v>
      </c>
      <c r="B6" s="62" t="inlineStr">
        <is>
          <t>Expected Default, No Earnback</t>
        </is>
      </c>
      <c r="C6" s="63" t="n">
        <v>0.96</v>
      </c>
      <c r="D6" s="63" t="n">
        <v>0.97</v>
      </c>
      <c r="E6" s="63" t="n">
        <v>0.93</v>
      </c>
      <c r="F6" s="63" t="n">
        <v>0.9</v>
      </c>
      <c r="G6" s="63" t="n">
        <v>0.97</v>
      </c>
      <c r="H6" s="63" t="n">
        <v>0.96</v>
      </c>
      <c r="I6" s="63" t="n">
        <v>0.9399999999999999</v>
      </c>
      <c r="J6" s="63" t="n">
        <v>0.92</v>
      </c>
      <c r="K6" s="63" t="n">
        <v>0.951</v>
      </c>
      <c r="L6" s="63" t="n">
        <v>0.95</v>
      </c>
      <c r="M6" s="63" t="n">
        <v>0.953</v>
      </c>
      <c r="N6" s="63" t="n">
        <v>0.955</v>
      </c>
      <c r="O6" s="64">
        <f>SUM(C6:N6)/12</f>
        <v/>
      </c>
    </row>
    <row r="7" ht="13.2" customHeight="1" s="45">
      <c r="A7" s="46" t="inlineStr">
        <is>
          <t xml:space="preserve"> </t>
        </is>
      </c>
    </row>
    <row r="8" ht="13.2" customHeight="1" s="45">
      <c r="B8" s="65" t="inlineStr">
        <is>
          <t>Current Minimum Service Level</t>
        </is>
      </c>
      <c r="C8" s="66" t="n">
        <v>0.85</v>
      </c>
    </row>
    <row r="9" ht="13.2" customHeight="1" s="45">
      <c r="B9" s="44" t="inlineStr">
        <is>
          <t xml:space="preserve"> </t>
        </is>
      </c>
      <c r="C9" s="67" t="inlineStr">
        <is>
          <t xml:space="preserve"> </t>
        </is>
      </c>
    </row>
    <row r="10" ht="13.2" customHeight="1" s="45">
      <c r="B10" s="44" t="inlineStr">
        <is>
          <t>Minimum Reset Calculation</t>
        </is>
      </c>
      <c r="C10" s="44" t="inlineStr">
        <is>
          <t xml:space="preserve"> </t>
        </is>
      </c>
    </row>
    <row r="11" ht="13.2" customHeight="1" s="45">
      <c r="C11" s="67" t="n"/>
    </row>
    <row r="12" ht="13.2" customHeight="1" s="45">
      <c r="B12" s="68" t="n">
        <v>1</v>
      </c>
      <c r="C12" s="67" t="n">
        <v>1</v>
      </c>
    </row>
    <row r="13" ht="13.2" customHeight="1" s="45">
      <c r="B13" s="44" t="inlineStr">
        <is>
          <t>Minimum</t>
        </is>
      </c>
      <c r="C13" s="69">
        <f>C8</f>
        <v/>
      </c>
    </row>
    <row r="14" ht="13.2" customHeight="1" s="45">
      <c r="B14" s="44" t="inlineStr">
        <is>
          <t>Difference</t>
        </is>
      </c>
      <c r="C14" s="67">
        <f>C12-C13</f>
        <v/>
      </c>
    </row>
    <row r="15"/>
    <row r="16" ht="13.2" customHeight="1" s="45">
      <c r="B16" s="44" t="inlineStr">
        <is>
          <t>Increase %</t>
        </is>
      </c>
      <c r="C16" s="68" t="n">
        <v>0.05</v>
      </c>
    </row>
    <row r="17"/>
    <row r="18" ht="13.8" customHeight="1" s="45">
      <c r="B18" s="44" t="inlineStr">
        <is>
          <t>Minimum Increase</t>
        </is>
      </c>
      <c r="C18" s="70">
        <f>C16*C14</f>
        <v/>
      </c>
    </row>
    <row r="19" ht="14.4" customHeight="1" s="45"/>
    <row r="20" ht="16.2" customHeight="1" s="45">
      <c r="B20" s="71" t="inlineStr">
        <is>
          <t>Minimum Service Level Reset</t>
        </is>
      </c>
      <c r="C20" s="72">
        <f>C13+C18</f>
        <v/>
      </c>
    </row>
    <row r="21"/>
    <row r="22"/>
    <row r="23" ht="13.2" customHeight="1" s="45">
      <c r="B23" s="65" t="inlineStr">
        <is>
          <t>Current Expected Service Level</t>
        </is>
      </c>
      <c r="C23" s="65" t="n">
        <v>0.95</v>
      </c>
    </row>
    <row r="24"/>
    <row r="25" ht="13.2" customHeight="1" s="45">
      <c r="B25" s="44" t="inlineStr">
        <is>
          <t>Earn Back Reset Calculation</t>
        </is>
      </c>
      <c r="C25" s="73" t="inlineStr">
        <is>
          <t>Example</t>
        </is>
      </c>
      <c r="D25" s="74" t="n"/>
      <c r="E25" s="74" t="n"/>
      <c r="F25" s="75" t="n"/>
    </row>
    <row r="26" ht="13.8" customHeight="1" s="45">
      <c r="B26" s="44" t="inlineStr">
        <is>
          <t xml:space="preserve">    Four Highest Months</t>
        </is>
      </c>
      <c r="C26" s="76" t="n">
        <v>1</v>
      </c>
      <c r="D26" s="76" t="n">
        <v>2</v>
      </c>
      <c r="E26" s="76" t="n">
        <v>3</v>
      </c>
      <c r="F26" s="76" t="n">
        <v>4</v>
      </c>
    </row>
    <row r="27" ht="13.8" customHeight="1" s="45">
      <c r="B27" s="44" t="n">
        <v>1</v>
      </c>
      <c r="C27" s="77" t="n">
        <v>0.98</v>
      </c>
      <c r="D27" s="77" t="n">
        <v>0.97</v>
      </c>
      <c r="E27" s="77" t="n">
        <v>0.97</v>
      </c>
      <c r="F27" s="77" t="n">
        <v>0.97</v>
      </c>
    </row>
    <row r="28" ht="13.2" customHeight="1" s="45">
      <c r="B28" s="44" t="n">
        <v>2</v>
      </c>
      <c r="C28" s="58" t="n">
        <v>0.97</v>
      </c>
      <c r="D28" s="58" t="n">
        <v>0.96</v>
      </c>
      <c r="E28" s="58" t="n">
        <v>0.96</v>
      </c>
      <c r="F28" s="58" t="n">
        <v>0.97</v>
      </c>
    </row>
    <row r="29" ht="13.2" customHeight="1" s="45">
      <c r="B29" s="44" t="n">
        <v>3</v>
      </c>
      <c r="C29" s="58" t="n">
        <v>0.97</v>
      </c>
      <c r="D29" s="58" t="n">
        <v>0.96</v>
      </c>
      <c r="E29" s="58" t="n">
        <v>0.96</v>
      </c>
      <c r="F29" s="58" t="n">
        <v>0.96</v>
      </c>
    </row>
    <row r="30" ht="13.8" customHeight="1" s="45">
      <c r="B30" s="44" t="n">
        <v>4</v>
      </c>
      <c r="C30" s="78" t="n">
        <v>0.97</v>
      </c>
      <c r="D30" s="78" t="n">
        <v>0.96</v>
      </c>
      <c r="E30" s="78" t="n">
        <v>0.96</v>
      </c>
      <c r="F30" s="78" t="n">
        <v>0.96</v>
      </c>
    </row>
    <row r="31" ht="13.8" customHeight="1" s="45">
      <c r="B31" s="44" t="inlineStr">
        <is>
          <t xml:space="preserve">    Four High Months Average</t>
        </is>
      </c>
      <c r="C31" s="77">
        <f>SUM(C27:C30)/4</f>
        <v/>
      </c>
      <c r="D31" s="77">
        <f>SUM(D27:D30)/4</f>
        <v/>
      </c>
      <c r="E31" s="77">
        <f>SUM(E27:E30)/4</f>
        <v/>
      </c>
      <c r="F31" s="77">
        <f>SUM(F27:F30)/4</f>
        <v/>
      </c>
    </row>
    <row r="32"/>
    <row r="33" ht="13.2" customHeight="1" s="45">
      <c r="B33" s="44" t="inlineStr">
        <is>
          <t xml:space="preserve">    Calculated Increase</t>
        </is>
      </c>
      <c r="C33" s="67">
        <f>C31-$C$23</f>
        <v/>
      </c>
      <c r="D33" s="67">
        <f>D31-$C$23</f>
        <v/>
      </c>
      <c r="E33" s="67">
        <f>E31-$C$23</f>
        <v/>
      </c>
      <c r="F33" s="67">
        <f>F31-$C$23</f>
        <v/>
      </c>
    </row>
    <row r="34"/>
    <row r="35" ht="13.2" customHeight="1" s="45">
      <c r="B35" s="44" t="inlineStr">
        <is>
          <t xml:space="preserve">    Maximum 10% Test</t>
        </is>
      </c>
    </row>
    <row r="36" ht="13.2" customHeight="1" s="45">
      <c r="B36" s="68" t="n">
        <v>1</v>
      </c>
      <c r="C36" s="67" t="n">
        <v>1</v>
      </c>
      <c r="D36" s="67" t="n">
        <v>1</v>
      </c>
      <c r="E36" s="67" t="n">
        <v>1</v>
      </c>
      <c r="F36" s="67" t="n">
        <v>1</v>
      </c>
    </row>
    <row r="37" ht="13.8" customHeight="1" s="45">
      <c r="B37" s="44" t="inlineStr">
        <is>
          <t>Expected</t>
        </is>
      </c>
      <c r="C37" s="79">
        <f>$C$23</f>
        <v/>
      </c>
      <c r="D37" s="79">
        <f>$C$23</f>
        <v/>
      </c>
      <c r="E37" s="79">
        <f>$C$23</f>
        <v/>
      </c>
      <c r="F37" s="79">
        <f>$C$23</f>
        <v/>
      </c>
    </row>
    <row r="38" ht="13.5" customHeight="1" s="45">
      <c r="B38" s="44" t="inlineStr">
        <is>
          <t>Difference</t>
        </is>
      </c>
      <c r="C38" s="80">
        <f>C36-C37</f>
        <v/>
      </c>
      <c r="D38" s="80">
        <f>D36-D37</f>
        <v/>
      </c>
      <c r="E38" s="80">
        <f>E36-E37</f>
        <v/>
      </c>
      <c r="F38" s="80">
        <f>F36-F37</f>
        <v/>
      </c>
    </row>
    <row r="39" ht="13.5" customHeight="1" s="45">
      <c r="C39" s="67" t="n"/>
      <c r="D39" s="67" t="n"/>
      <c r="E39" s="67" t="n"/>
      <c r="F39" s="67" t="n"/>
    </row>
    <row r="40" ht="13.5" customHeight="1" s="45">
      <c r="B40" s="44" t="inlineStr">
        <is>
          <t>Increase %</t>
        </is>
      </c>
      <c r="C40" s="68" t="n">
        <v>0.1</v>
      </c>
      <c r="D40" s="68" t="n">
        <v>0.1</v>
      </c>
      <c r="E40" s="68" t="n">
        <v>0.1</v>
      </c>
      <c r="F40" s="68" t="n">
        <v>0.1</v>
      </c>
    </row>
    <row r="41" ht="13.2" customHeight="1" s="45">
      <c r="B41" s="44" t="inlineStr">
        <is>
          <t>Maximum Allowed Increase</t>
        </is>
      </c>
      <c r="C41" s="67">
        <f>C40*C38</f>
        <v/>
      </c>
      <c r="D41" s="67">
        <f>D40*D38</f>
        <v/>
      </c>
      <c r="E41" s="67">
        <f>E40*E38</f>
        <v/>
      </c>
      <c r="F41" s="67">
        <f>F40*F38</f>
        <v/>
      </c>
    </row>
    <row r="42" ht="13.8" customHeight="1" s="45">
      <c r="C42" s="67" t="n"/>
      <c r="D42" s="67" t="n"/>
      <c r="E42" s="67" t="n"/>
      <c r="F42" s="67" t="n"/>
    </row>
    <row r="43" ht="13.8" customHeight="1" s="45">
      <c r="B43" s="44" t="inlineStr">
        <is>
          <t>Increase to Expected Service Level</t>
        </is>
      </c>
      <c r="C43" s="81">
        <f>MIN(C41,C33)</f>
        <v/>
      </c>
      <c r="D43" s="82">
        <f>MIN(D41,D33)</f>
        <v/>
      </c>
      <c r="E43" s="82">
        <f>MIN(E41,E33)</f>
        <v/>
      </c>
      <c r="F43" s="83">
        <f>MIN(F41,F33)</f>
        <v/>
      </c>
    </row>
    <row r="44" ht="13.8" customHeight="1" s="45">
      <c r="C44" s="67" t="n"/>
      <c r="D44" s="67" t="n"/>
      <c r="E44" s="67" t="n"/>
      <c r="F44" s="67" t="n"/>
    </row>
    <row r="45" ht="16.2" customHeight="1" s="45">
      <c r="B45" s="71" t="inlineStr">
        <is>
          <t>Expected Service Level Reset</t>
        </is>
      </c>
      <c r="C45" s="84">
        <f>C43+$C$23</f>
        <v/>
      </c>
      <c r="D45" s="84">
        <f>D43+$C$23</f>
        <v/>
      </c>
      <c r="E45" s="84">
        <f>E43+$C$23</f>
        <v/>
      </c>
      <c r="F45" s="72">
        <f>F43+$C$23</f>
        <v/>
      </c>
    </row>
    <row r="46"/>
    <row r="47"/>
    <row r="48"/>
    <row r="49"/>
    <row r="50" ht="17.4" customHeight="1" s="45">
      <c r="B50" s="85" t="inlineStr">
        <is>
          <t>Chart Data for Example 1:  Expected Default w ith Earnback</t>
        </is>
      </c>
    </row>
    <row r="51"/>
    <row r="52" ht="13.2" customHeight="1" s="45">
      <c r="C52" s="86">
        <f>C$2</f>
        <v/>
      </c>
      <c r="D52" s="86">
        <f>D$2</f>
        <v/>
      </c>
      <c r="E52" s="86">
        <f>E$2</f>
        <v/>
      </c>
      <c r="F52" s="86">
        <f>F$2</f>
        <v/>
      </c>
      <c r="G52" s="86">
        <f>G$2</f>
        <v/>
      </c>
      <c r="H52" s="86">
        <f>H$2</f>
        <v/>
      </c>
      <c r="I52" s="86">
        <f>I$2</f>
        <v/>
      </c>
      <c r="J52" s="86">
        <f>J$2</f>
        <v/>
      </c>
      <c r="K52" s="86">
        <f>K$2</f>
        <v/>
      </c>
      <c r="L52" s="86">
        <f>L$2</f>
        <v/>
      </c>
      <c r="M52" s="86">
        <f>M$2</f>
        <v/>
      </c>
      <c r="N52" s="86">
        <f>N$2</f>
        <v/>
      </c>
      <c r="O52" s="44" t="inlineStr">
        <is>
          <t xml:space="preserve"> </t>
        </is>
      </c>
    </row>
    <row r="53" ht="13.2" customHeight="1" s="45">
      <c r="B53" s="65" t="inlineStr">
        <is>
          <t>Actual</t>
        </is>
      </c>
      <c r="C53" s="87">
        <f>C3</f>
        <v/>
      </c>
      <c r="D53" s="87">
        <f>D3</f>
        <v/>
      </c>
      <c r="E53" s="87">
        <f>E3</f>
        <v/>
      </c>
      <c r="F53" s="87">
        <f>F3</f>
        <v/>
      </c>
      <c r="G53" s="87">
        <f>G3</f>
        <v/>
      </c>
      <c r="H53" s="87">
        <f>H3</f>
        <v/>
      </c>
      <c r="I53" s="87">
        <f>I3</f>
        <v/>
      </c>
      <c r="J53" s="87">
        <f>J3</f>
        <v/>
      </c>
      <c r="K53" s="87">
        <f>K3</f>
        <v/>
      </c>
      <c r="L53" s="87">
        <f>L3</f>
        <v/>
      </c>
      <c r="M53" s="87">
        <f>M3</f>
        <v/>
      </c>
      <c r="N53" s="87">
        <f>N3</f>
        <v/>
      </c>
    </row>
    <row r="54" ht="13.2" customHeight="1" s="45">
      <c r="B54" s="65" t="inlineStr">
        <is>
          <t>Minimum</t>
        </is>
      </c>
      <c r="C54" s="87">
        <f>$C$8</f>
        <v/>
      </c>
      <c r="D54" s="87">
        <f>$C$8</f>
        <v/>
      </c>
      <c r="E54" s="87">
        <f>$C$8</f>
        <v/>
      </c>
      <c r="F54" s="87">
        <f>$C$8</f>
        <v/>
      </c>
      <c r="G54" s="87">
        <f>$C$8</f>
        <v/>
      </c>
      <c r="H54" s="87">
        <f>$C$8</f>
        <v/>
      </c>
      <c r="I54" s="87">
        <f>$C$8</f>
        <v/>
      </c>
      <c r="J54" s="87">
        <f>$C$8</f>
        <v/>
      </c>
      <c r="K54" s="87">
        <f>$C$8</f>
        <v/>
      </c>
      <c r="L54" s="87">
        <f>$C$8</f>
        <v/>
      </c>
      <c r="M54" s="87">
        <f>$C$8</f>
        <v/>
      </c>
      <c r="N54" s="87">
        <f>$C$8</f>
        <v/>
      </c>
    </row>
    <row r="55" ht="13.2" customHeight="1" s="45">
      <c r="B55" s="65" t="inlineStr">
        <is>
          <t>Expected</t>
        </is>
      </c>
      <c r="C55" s="87">
        <f>$C$23</f>
        <v/>
      </c>
      <c r="D55" s="87">
        <f>$C$23</f>
        <v/>
      </c>
      <c r="E55" s="87">
        <f>$C$23</f>
        <v/>
      </c>
      <c r="F55" s="87">
        <f>$C$23</f>
        <v/>
      </c>
      <c r="G55" s="87">
        <f>$C$23</f>
        <v/>
      </c>
      <c r="H55" s="87">
        <f>$C$23</f>
        <v/>
      </c>
      <c r="I55" s="87">
        <f>$C$23</f>
        <v/>
      </c>
      <c r="J55" s="87">
        <f>$C$23</f>
        <v/>
      </c>
      <c r="K55" s="87">
        <f>$C$23</f>
        <v/>
      </c>
      <c r="L55" s="87">
        <f>$C$23</f>
        <v/>
      </c>
      <c r="M55" s="87">
        <f>$C$23</f>
        <v/>
      </c>
      <c r="N55" s="87">
        <f>$C$23</f>
        <v/>
      </c>
    </row>
    <row r="56" ht="13.2" customHeight="1" s="45">
      <c r="B56" s="65" t="inlineStr">
        <is>
          <t>Average</t>
        </is>
      </c>
      <c r="C56" s="87" t="inlineStr">
        <is>
          <t xml:space="preserve"> </t>
        </is>
      </c>
      <c r="D56" s="87" t="inlineStr">
        <is>
          <t xml:space="preserve"> </t>
        </is>
      </c>
      <c r="E56" s="87" t="inlineStr">
        <is>
          <t xml:space="preserve"> </t>
        </is>
      </c>
      <c r="F56" s="87" t="inlineStr">
        <is>
          <t xml:space="preserve"> </t>
        </is>
      </c>
      <c r="G56" s="87" t="inlineStr">
        <is>
          <t xml:space="preserve"> </t>
        </is>
      </c>
      <c r="H56" s="87" t="inlineStr">
        <is>
          <t xml:space="preserve"> </t>
        </is>
      </c>
      <c r="I56" s="87" t="inlineStr">
        <is>
          <t xml:space="preserve"> </t>
        </is>
      </c>
      <c r="J56" s="87" t="inlineStr">
        <is>
          <t xml:space="preserve"> </t>
        </is>
      </c>
      <c r="K56" s="87" t="inlineStr">
        <is>
          <t xml:space="preserve"> </t>
        </is>
      </c>
      <c r="L56" s="87" t="inlineStr">
        <is>
          <t xml:space="preserve"> </t>
        </is>
      </c>
      <c r="M56" s="87" t="inlineStr">
        <is>
          <t xml:space="preserve"> </t>
        </is>
      </c>
      <c r="N56" s="87">
        <f>$O$3</f>
        <v/>
      </c>
    </row>
    <row r="57"/>
    <row r="58"/>
    <row r="59"/>
    <row r="60" ht="17.4" customHeight="1" s="45">
      <c r="B60" s="85" t="inlineStr">
        <is>
          <t>Chart Data for Example 2:  Below Expected, No Default</t>
        </is>
      </c>
    </row>
    <row r="61"/>
    <row r="62" ht="13.2" customHeight="1" s="45">
      <c r="C62" s="86">
        <f>C$2</f>
        <v/>
      </c>
      <c r="D62" s="86">
        <f>D$2</f>
        <v/>
      </c>
      <c r="E62" s="86">
        <f>E$2</f>
        <v/>
      </c>
      <c r="F62" s="86">
        <f>F$2</f>
        <v/>
      </c>
      <c r="G62" s="86">
        <f>G$2</f>
        <v/>
      </c>
      <c r="H62" s="86">
        <f>H$2</f>
        <v/>
      </c>
      <c r="I62" s="86">
        <f>I$2</f>
        <v/>
      </c>
      <c r="J62" s="86">
        <f>J$2</f>
        <v/>
      </c>
      <c r="K62" s="86">
        <f>K$2</f>
        <v/>
      </c>
      <c r="L62" s="86">
        <f>L$2</f>
        <v/>
      </c>
      <c r="M62" s="86">
        <f>M$2</f>
        <v/>
      </c>
      <c r="N62" s="86">
        <f>N$2</f>
        <v/>
      </c>
    </row>
    <row r="63" ht="13.2" customHeight="1" s="45">
      <c r="B63" s="65" t="inlineStr">
        <is>
          <t>Actual</t>
        </is>
      </c>
      <c r="C63" s="87">
        <f>C4</f>
        <v/>
      </c>
      <c r="D63" s="87">
        <f>D4</f>
        <v/>
      </c>
      <c r="E63" s="87">
        <f>E4</f>
        <v/>
      </c>
      <c r="F63" s="87">
        <f>F4</f>
        <v/>
      </c>
      <c r="G63" s="87">
        <f>G4</f>
        <v/>
      </c>
      <c r="H63" s="87">
        <f>H4</f>
        <v/>
      </c>
      <c r="I63" s="87">
        <f>I4</f>
        <v/>
      </c>
      <c r="J63" s="87">
        <f>J4</f>
        <v/>
      </c>
      <c r="K63" s="87">
        <f>K4</f>
        <v/>
      </c>
      <c r="L63" s="87">
        <f>L4</f>
        <v/>
      </c>
      <c r="M63" s="87">
        <f>M4</f>
        <v/>
      </c>
      <c r="N63" s="87">
        <f>N4</f>
        <v/>
      </c>
    </row>
    <row r="64" ht="13.2" customHeight="1" s="45">
      <c r="B64" s="65" t="inlineStr">
        <is>
          <t>Minimum</t>
        </is>
      </c>
      <c r="C64" s="87">
        <f>$C$8</f>
        <v/>
      </c>
      <c r="D64" s="87">
        <f>$C$8</f>
        <v/>
      </c>
      <c r="E64" s="87">
        <f>$C$8</f>
        <v/>
      </c>
      <c r="F64" s="87">
        <f>$C$8</f>
        <v/>
      </c>
      <c r="G64" s="87">
        <f>$C$8</f>
        <v/>
      </c>
      <c r="H64" s="87">
        <f>$C$8</f>
        <v/>
      </c>
      <c r="I64" s="87">
        <f>$C$8</f>
        <v/>
      </c>
      <c r="J64" s="87">
        <f>$C$8</f>
        <v/>
      </c>
      <c r="K64" s="87">
        <f>$C$8</f>
        <v/>
      </c>
      <c r="L64" s="87">
        <f>$C$8</f>
        <v/>
      </c>
      <c r="M64" s="87">
        <f>$C$8</f>
        <v/>
      </c>
      <c r="N64" s="87">
        <f>$C$8</f>
        <v/>
      </c>
    </row>
    <row r="65" ht="13.2" customHeight="1" s="45">
      <c r="B65" s="65" t="inlineStr">
        <is>
          <t>Expected</t>
        </is>
      </c>
      <c r="C65" s="87">
        <f>$C$23</f>
        <v/>
      </c>
      <c r="D65" s="87">
        <f>$C$23</f>
        <v/>
      </c>
      <c r="E65" s="87">
        <f>$C$23</f>
        <v/>
      </c>
      <c r="F65" s="87">
        <f>$C$23</f>
        <v/>
      </c>
      <c r="G65" s="87">
        <f>$C$23</f>
        <v/>
      </c>
      <c r="H65" s="87">
        <f>$C$23</f>
        <v/>
      </c>
      <c r="I65" s="87">
        <f>$C$23</f>
        <v/>
      </c>
      <c r="J65" s="87">
        <f>$C$23</f>
        <v/>
      </c>
      <c r="K65" s="87">
        <f>$C$23</f>
        <v/>
      </c>
      <c r="L65" s="87">
        <f>$C$23</f>
        <v/>
      </c>
      <c r="M65" s="87">
        <f>$C$23</f>
        <v/>
      </c>
      <c r="N65" s="87">
        <f>$C$23</f>
        <v/>
      </c>
    </row>
    <row r="66" ht="13.2" customHeight="1" s="45">
      <c r="B66" s="65" t="inlineStr">
        <is>
          <t>Average</t>
        </is>
      </c>
      <c r="C66" s="87" t="inlineStr">
        <is>
          <t xml:space="preserve"> </t>
        </is>
      </c>
      <c r="D66" s="87" t="inlineStr">
        <is>
          <t xml:space="preserve"> </t>
        </is>
      </c>
      <c r="E66" s="87" t="inlineStr">
        <is>
          <t xml:space="preserve"> </t>
        </is>
      </c>
      <c r="F66" s="87" t="inlineStr">
        <is>
          <t xml:space="preserve"> </t>
        </is>
      </c>
      <c r="G66" s="87" t="inlineStr">
        <is>
          <t xml:space="preserve"> </t>
        </is>
      </c>
      <c r="H66" s="87" t="inlineStr">
        <is>
          <t xml:space="preserve"> </t>
        </is>
      </c>
      <c r="I66" s="87" t="inlineStr">
        <is>
          <t xml:space="preserve"> </t>
        </is>
      </c>
      <c r="J66" s="87" t="inlineStr">
        <is>
          <t xml:space="preserve"> </t>
        </is>
      </c>
      <c r="K66" s="87" t="inlineStr">
        <is>
          <t xml:space="preserve"> </t>
        </is>
      </c>
      <c r="L66" s="87" t="inlineStr">
        <is>
          <t xml:space="preserve"> </t>
        </is>
      </c>
      <c r="M66" s="87" t="inlineStr">
        <is>
          <t xml:space="preserve"> </t>
        </is>
      </c>
      <c r="N66" s="87">
        <f>$O$4</f>
        <v/>
      </c>
    </row>
    <row r="67"/>
    <row r="68"/>
    <row r="69"/>
    <row r="70" ht="17.4" customHeight="1" s="45">
      <c r="B70" s="85" t="inlineStr">
        <is>
          <t>Chart Data for Example 3:  Minimum Default, No Earnback</t>
        </is>
      </c>
    </row>
    <row r="71"/>
    <row r="72" ht="13.2" customHeight="1" s="45">
      <c r="C72" s="86">
        <f>C$2</f>
        <v/>
      </c>
      <c r="D72" s="86">
        <f>D$2</f>
        <v/>
      </c>
      <c r="E72" s="86">
        <f>E$2</f>
        <v/>
      </c>
      <c r="F72" s="86">
        <f>F$2</f>
        <v/>
      </c>
      <c r="G72" s="86">
        <f>G$2</f>
        <v/>
      </c>
      <c r="H72" s="86">
        <f>H$2</f>
        <v/>
      </c>
      <c r="I72" s="86">
        <f>I$2</f>
        <v/>
      </c>
      <c r="J72" s="86">
        <f>J$2</f>
        <v/>
      </c>
      <c r="K72" s="86">
        <f>K$2</f>
        <v/>
      </c>
      <c r="L72" s="86">
        <f>L$2</f>
        <v/>
      </c>
      <c r="M72" s="86">
        <f>M$2</f>
        <v/>
      </c>
      <c r="N72" s="86">
        <f>N$2</f>
        <v/>
      </c>
    </row>
    <row r="73" ht="13.2" customHeight="1" s="45">
      <c r="B73" s="65" t="inlineStr">
        <is>
          <t>Actual</t>
        </is>
      </c>
      <c r="C73" s="87">
        <f>C5</f>
        <v/>
      </c>
      <c r="D73" s="87">
        <f>D5</f>
        <v/>
      </c>
      <c r="E73" s="87">
        <f>E5</f>
        <v/>
      </c>
      <c r="F73" s="87">
        <f>F5</f>
        <v/>
      </c>
      <c r="G73" s="87">
        <f>G5</f>
        <v/>
      </c>
      <c r="H73" s="87">
        <f>H5</f>
        <v/>
      </c>
      <c r="I73" s="87">
        <f>I5</f>
        <v/>
      </c>
      <c r="J73" s="87">
        <f>J5</f>
        <v/>
      </c>
      <c r="K73" s="87">
        <f>K5</f>
        <v/>
      </c>
      <c r="L73" s="87">
        <f>L5</f>
        <v/>
      </c>
      <c r="M73" s="87">
        <f>M5</f>
        <v/>
      </c>
      <c r="N73" s="87">
        <f>N5</f>
        <v/>
      </c>
    </row>
    <row r="74" ht="13.2" customHeight="1" s="45">
      <c r="B74" s="65" t="inlineStr">
        <is>
          <t>Minimum</t>
        </is>
      </c>
      <c r="C74" s="87">
        <f>$C$8</f>
        <v/>
      </c>
      <c r="D74" s="87">
        <f>$C$8</f>
        <v/>
      </c>
      <c r="E74" s="87">
        <f>$C$8</f>
        <v/>
      </c>
      <c r="F74" s="87">
        <f>$C$8</f>
        <v/>
      </c>
      <c r="G74" s="87">
        <f>$C$8</f>
        <v/>
      </c>
      <c r="H74" s="87">
        <f>$C$8</f>
        <v/>
      </c>
      <c r="I74" s="87">
        <f>$C$8</f>
        <v/>
      </c>
      <c r="J74" s="87">
        <f>$C$8</f>
        <v/>
      </c>
      <c r="K74" s="87">
        <f>$C$8</f>
        <v/>
      </c>
      <c r="L74" s="87">
        <f>$C$8</f>
        <v/>
      </c>
      <c r="M74" s="87">
        <f>$C$8</f>
        <v/>
      </c>
      <c r="N74" s="87">
        <f>$C$8</f>
        <v/>
      </c>
    </row>
    <row r="75" ht="13.2" customHeight="1" s="45">
      <c r="B75" s="65" t="inlineStr">
        <is>
          <t>Expected</t>
        </is>
      </c>
      <c r="C75" s="87">
        <f>$C$23</f>
        <v/>
      </c>
      <c r="D75" s="87">
        <f>$C$23</f>
        <v/>
      </c>
      <c r="E75" s="87">
        <f>$C$23</f>
        <v/>
      </c>
      <c r="F75" s="87">
        <f>$C$23</f>
        <v/>
      </c>
      <c r="G75" s="87">
        <f>$C$23</f>
        <v/>
      </c>
      <c r="H75" s="87">
        <f>$C$23</f>
        <v/>
      </c>
      <c r="I75" s="87">
        <f>$C$23</f>
        <v/>
      </c>
      <c r="J75" s="87">
        <f>$C$23</f>
        <v/>
      </c>
      <c r="K75" s="87">
        <f>$C$23</f>
        <v/>
      </c>
      <c r="L75" s="87">
        <f>$C$23</f>
        <v/>
      </c>
      <c r="M75" s="87">
        <f>$C$23</f>
        <v/>
      </c>
      <c r="N75" s="87">
        <f>$C$23</f>
        <v/>
      </c>
    </row>
    <row r="76" ht="13.2" customHeight="1" s="45">
      <c r="B76" s="65" t="inlineStr">
        <is>
          <t>Average</t>
        </is>
      </c>
      <c r="C76" s="87" t="inlineStr">
        <is>
          <t xml:space="preserve"> </t>
        </is>
      </c>
      <c r="D76" s="87" t="inlineStr">
        <is>
          <t xml:space="preserve"> </t>
        </is>
      </c>
      <c r="E76" s="87" t="inlineStr">
        <is>
          <t xml:space="preserve"> </t>
        </is>
      </c>
      <c r="F76" s="87" t="inlineStr">
        <is>
          <t xml:space="preserve"> </t>
        </is>
      </c>
      <c r="G76" s="87" t="inlineStr">
        <is>
          <t xml:space="preserve"> </t>
        </is>
      </c>
      <c r="H76" s="87" t="inlineStr">
        <is>
          <t xml:space="preserve"> </t>
        </is>
      </c>
      <c r="I76" s="87" t="inlineStr">
        <is>
          <t xml:space="preserve"> </t>
        </is>
      </c>
      <c r="J76" s="87" t="inlineStr">
        <is>
          <t xml:space="preserve"> </t>
        </is>
      </c>
      <c r="K76" s="87" t="inlineStr">
        <is>
          <t xml:space="preserve"> </t>
        </is>
      </c>
      <c r="L76" s="87" t="inlineStr">
        <is>
          <t xml:space="preserve"> </t>
        </is>
      </c>
      <c r="M76" s="87" t="inlineStr">
        <is>
          <t xml:space="preserve"> </t>
        </is>
      </c>
      <c r="N76" s="87">
        <f>$O$5</f>
        <v/>
      </c>
    </row>
    <row r="77"/>
    <row r="78"/>
    <row r="79"/>
    <row r="80" ht="17.4" customHeight="1" s="45">
      <c r="B80" s="85" t="inlineStr">
        <is>
          <t>Chart Data for Example 4:  Expected Default, No Earnback</t>
        </is>
      </c>
    </row>
    <row r="81"/>
    <row r="82" ht="13.2" customHeight="1" s="45">
      <c r="C82" s="86">
        <f>C$2</f>
        <v/>
      </c>
      <c r="D82" s="86">
        <f>D$2</f>
        <v/>
      </c>
      <c r="E82" s="86">
        <f>E$2</f>
        <v/>
      </c>
      <c r="F82" s="86">
        <f>F$2</f>
        <v/>
      </c>
      <c r="G82" s="86">
        <f>G$2</f>
        <v/>
      </c>
      <c r="H82" s="86">
        <f>H$2</f>
        <v/>
      </c>
      <c r="I82" s="86">
        <f>I$2</f>
        <v/>
      </c>
      <c r="J82" s="86">
        <f>J$2</f>
        <v/>
      </c>
      <c r="K82" s="86">
        <f>K$2</f>
        <v/>
      </c>
      <c r="L82" s="86">
        <f>L$2</f>
        <v/>
      </c>
      <c r="M82" s="86">
        <f>M$2</f>
        <v/>
      </c>
      <c r="N82" s="86">
        <f>N$2</f>
        <v/>
      </c>
    </row>
    <row r="83" ht="13.2" customHeight="1" s="45">
      <c r="B83" s="65" t="inlineStr">
        <is>
          <t>Actual</t>
        </is>
      </c>
      <c r="C83" s="88">
        <f>C6</f>
        <v/>
      </c>
      <c r="D83" s="88">
        <f>D6</f>
        <v/>
      </c>
      <c r="E83" s="88">
        <f>E6</f>
        <v/>
      </c>
      <c r="F83" s="88">
        <f>F6</f>
        <v/>
      </c>
      <c r="G83" s="88">
        <f>G6</f>
        <v/>
      </c>
      <c r="H83" s="88">
        <f>H6</f>
        <v/>
      </c>
      <c r="I83" s="88">
        <f>I6</f>
        <v/>
      </c>
      <c r="J83" s="88">
        <f>J6</f>
        <v/>
      </c>
      <c r="K83" s="88">
        <f>K6</f>
        <v/>
      </c>
      <c r="L83" s="88">
        <f>L6</f>
        <v/>
      </c>
      <c r="M83" s="88">
        <f>M6</f>
        <v/>
      </c>
      <c r="N83" s="88">
        <f>N6</f>
        <v/>
      </c>
    </row>
    <row r="84" ht="13.2" customHeight="1" s="45">
      <c r="B84" s="65" t="inlineStr">
        <is>
          <t>Minimum</t>
        </is>
      </c>
      <c r="C84" s="88">
        <f>$C$8</f>
        <v/>
      </c>
      <c r="D84" s="88">
        <f>$C$8</f>
        <v/>
      </c>
      <c r="E84" s="88">
        <f>$C$8</f>
        <v/>
      </c>
      <c r="F84" s="88">
        <f>$C$8</f>
        <v/>
      </c>
      <c r="G84" s="88">
        <f>$C$8</f>
        <v/>
      </c>
      <c r="H84" s="88">
        <f>$C$8</f>
        <v/>
      </c>
      <c r="I84" s="88">
        <f>$C$8</f>
        <v/>
      </c>
      <c r="J84" s="88">
        <f>$C$8</f>
        <v/>
      </c>
      <c r="K84" s="88">
        <f>$C$8</f>
        <v/>
      </c>
      <c r="L84" s="88">
        <f>$C$8</f>
        <v/>
      </c>
      <c r="M84" s="88">
        <f>$C$8</f>
        <v/>
      </c>
      <c r="N84" s="88">
        <f>$C$8</f>
        <v/>
      </c>
    </row>
    <row r="85" ht="13.2" customHeight="1" s="45">
      <c r="B85" s="65" t="inlineStr">
        <is>
          <t>Expected</t>
        </is>
      </c>
      <c r="C85" s="88">
        <f>$C$23</f>
        <v/>
      </c>
      <c r="D85" s="88">
        <f>$C$23</f>
        <v/>
      </c>
      <c r="E85" s="88">
        <f>$C$23</f>
        <v/>
      </c>
      <c r="F85" s="88">
        <f>$C$23</f>
        <v/>
      </c>
      <c r="G85" s="88">
        <f>$C$23</f>
        <v/>
      </c>
      <c r="H85" s="88">
        <f>$C$23</f>
        <v/>
      </c>
      <c r="I85" s="88">
        <f>$C$23</f>
        <v/>
      </c>
      <c r="J85" s="88">
        <f>$C$23</f>
        <v/>
      </c>
      <c r="K85" s="88">
        <f>$C$23</f>
        <v/>
      </c>
      <c r="L85" s="88">
        <f>$C$23</f>
        <v/>
      </c>
      <c r="M85" s="88">
        <f>$C$23</f>
        <v/>
      </c>
      <c r="N85" s="88">
        <f>$C$23</f>
        <v/>
      </c>
    </row>
    <row r="86" ht="13.2" customHeight="1" s="45">
      <c r="B86" s="65" t="inlineStr">
        <is>
          <t>Average</t>
        </is>
      </c>
      <c r="C86" s="88" t="inlineStr">
        <is>
          <t xml:space="preserve"> </t>
        </is>
      </c>
      <c r="D86" s="88" t="inlineStr">
        <is>
          <t xml:space="preserve"> </t>
        </is>
      </c>
      <c r="E86" s="88" t="inlineStr">
        <is>
          <t xml:space="preserve"> </t>
        </is>
      </c>
      <c r="F86" s="88" t="inlineStr">
        <is>
          <t xml:space="preserve"> </t>
        </is>
      </c>
      <c r="G86" s="88" t="inlineStr">
        <is>
          <t xml:space="preserve"> </t>
        </is>
      </c>
      <c r="H86" s="88" t="inlineStr">
        <is>
          <t xml:space="preserve"> </t>
        </is>
      </c>
      <c r="I86" s="88" t="inlineStr">
        <is>
          <t xml:space="preserve"> </t>
        </is>
      </c>
      <c r="J86" s="88" t="inlineStr">
        <is>
          <t xml:space="preserve"> </t>
        </is>
      </c>
      <c r="K86" s="88" t="inlineStr">
        <is>
          <t xml:space="preserve"> </t>
        </is>
      </c>
      <c r="L86" s="88" t="inlineStr">
        <is>
          <t xml:space="preserve"> </t>
        </is>
      </c>
      <c r="M86" s="88" t="inlineStr">
        <is>
          <t xml:space="preserve"> </t>
        </is>
      </c>
      <c r="N86" s="88">
        <f>$O$6</f>
        <v/>
      </c>
    </row>
  </sheetData>
  <mergeCells count="1">
    <mergeCell ref="C25:E25"/>
  </mergeCells>
  <printOptions horizontalCentered="1" verticalCentered="0" headings="0" gridLines="0" gridLinesSet="1"/>
  <pageMargins left="0.747916666666667" right="0.747916666666667" top="0.872916666666667" bottom="0.25" header="0.25" footer="0.25"/>
  <pageSetup orientation="landscape" paperSize="9" scale="72" fitToHeight="1" fitToWidth="1" pageOrder="downThenOver" blackAndWhite="0" draft="0" horizontalDpi="300" verticalDpi="300" copies="1"/>
  <headerFooter differentOddEven="0" differentFirst="0">
    <oddHeader>&amp;C&amp;"Times New Roman,Regular"&amp;14 SERVICE LEVEL OUTCOME EXAMPLES&amp;R&amp;"Times New Roman,Regular"&amp;8 &amp;F</oddHeader>
    <oddFooter>&amp;L&amp;"Times New Roman,Regular"&amp;8 Ops&amp;&amp;IT Banking Confidential&amp;C&amp;"Times New Roman,Regular"&amp;8 Attachment 3-D &amp;A&amp;R&amp;"Times New Roman,Regular"&amp;8 30/11/06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2026-02-11T03:34:26Z</dcterms:modified>
  <cp:lastModifiedBy>Stuart Johnson</cp:lastModifiedBy>
  <cp:revision>0</cp:revision>
  <cp:lastPrinted>2006-11-30T18:44:05Z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1990395682</vt:r8>
  </property>
  <property name="_AuthorEmail" fmtid="{D5CDD505-2E9C-101B-9397-08002B2CF9AE}" pid="3">
    <vt:lpwstr xmlns:vt="http://schemas.openxmlformats.org/officeDocument/2006/docPropsVTypes">Albert.Jans@mail.ing.nl</vt:lpwstr>
  </property>
  <property name="_AuthorEmailDisplayName" fmtid="{D5CDD505-2E9C-101B-9397-08002B2CF9AE}" pid="4">
    <vt:lpwstr xmlns:vt="http://schemas.openxmlformats.org/officeDocument/2006/docPropsVTypes">Jans, A.H.A. (Albert)</vt:lpwstr>
  </property>
  <property name="_EmailSubject" fmtid="{D5CDD505-2E9C-101B-9397-08002B2CF9AE}" pid="5">
    <vt:lpwstr xmlns:vt="http://schemas.openxmlformats.org/officeDocument/2006/docPropsVTypes">Attachment 3-D (Service Levels Outcome Examples) AJ v1.2 Content checked.xls</vt:lpwstr>
  </property>
  <property name="_ReviewingToolsShownOnce" fmtid="{D5CDD505-2E9C-101B-9397-08002B2CF9AE}" pid="6">
    <vt:lpwstr xmlns:vt="http://schemas.openxmlformats.org/officeDocument/2006/docPropsVTypes"/>
  </property>
</Properties>
</file>
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Personnel Projection Matrix" sheetId="2" state="visible" r:id="rId2"/>
  </sheets>
  <definedNames>
    <definedName name="Baseline" hidden="0" function="0" vbProcedure="0">#REF!</definedName>
    <definedName name="_xlnm.Print_Area" localSheetId="0">'Cover Page'!$A$1:$A$10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[$-409]d\-mmm\-yy"/>
    <numFmt numFmtId="165" formatCode="0.0"/>
  </numFmts>
  <fonts count="8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b val="1"/>
      <sz val="16"/>
    </font>
    <font>
      <name val="Times New Roman"/>
      <family val="1"/>
      <b val="1"/>
      <i val="1"/>
      <sz val="16"/>
    </font>
    <font>
      <name val="Times New Roman"/>
      <family val="1"/>
      <sz val="10"/>
    </font>
    <font>
      <name val="Times New Roman"/>
      <family val="1"/>
      <b val="1"/>
      <sz val="10"/>
    </font>
  </fonts>
  <fills count="4">
    <fill>
      <patternFill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969696"/>
        <bgColor rgb="FF808080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/>
      <right style="thin"/>
      <top style="thin"/>
      <bottom style="thin"/>
      <diagonal/>
    </border>
    <border>
      <left style="thin"/>
      <right/>
      <top/>
      <bottom style="thin"/>
      <diagonal/>
    </border>
    <border>
      <left style="thin"/>
      <right style="thin"/>
      <top style="medium"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</borders>
  <cellStyleXfs count="7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3" fillId="0" borderId="0" applyAlignment="1">
      <alignment horizontal="general" vertical="bottom"/>
    </xf>
  </cellStyleXfs>
  <cellXfs count="5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20">
      <alignment horizontal="general" vertical="bottom"/>
    </xf>
    <xf numFmtId="0" fontId="4" fillId="0" borderId="0" applyAlignment="1" pivotButton="0" quotePrefix="0" xfId="20">
      <alignment horizontal="center" vertical="bottom"/>
    </xf>
    <xf numFmtId="0" fontId="4" fillId="0" borderId="0" applyAlignment="1" pivotButton="0" quotePrefix="0" xfId="0">
      <alignment horizontal="center" vertical="bottom"/>
    </xf>
    <xf numFmtId="164" fontId="4" fillId="0" borderId="0" applyAlignment="1" pivotButton="0" quotePrefix="0" xfId="20">
      <alignment horizontal="center" vertical="bottom"/>
    </xf>
    <xf numFmtId="0" fontId="6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bottom"/>
    </xf>
    <xf numFmtId="0" fontId="6" fillId="0" borderId="2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top" wrapText="1"/>
    </xf>
    <xf numFmtId="0" fontId="6" fillId="0" borderId="5" applyAlignment="1" pivotButton="0" quotePrefix="0" xfId="0">
      <alignment horizontal="center" vertical="top" wrapText="1"/>
    </xf>
    <xf numFmtId="0" fontId="6" fillId="0" borderId="6" applyAlignment="1" pivotButton="0" quotePrefix="0" xfId="0">
      <alignment horizontal="center" vertical="top" wrapText="1"/>
    </xf>
    <xf numFmtId="0" fontId="6" fillId="0" borderId="7" applyAlignment="1" pivotButton="0" quotePrefix="0" xfId="0">
      <alignment horizontal="center" vertical="top" wrapText="1"/>
    </xf>
    <xf numFmtId="0" fontId="6" fillId="0" borderId="8" applyAlignment="1" pivotButton="0" quotePrefix="0" xfId="0">
      <alignment horizontal="general" vertical="bottom"/>
    </xf>
    <xf numFmtId="0" fontId="6" fillId="0" borderId="7" applyAlignment="1" pivotButton="0" quotePrefix="0" xfId="0">
      <alignment horizontal="general" vertical="bottom"/>
    </xf>
    <xf numFmtId="165" fontId="6" fillId="0" borderId="7" applyAlignment="1" pivotButton="0" quotePrefix="0" xfId="0">
      <alignment horizontal="general" vertical="bottom"/>
    </xf>
    <xf numFmtId="165" fontId="6" fillId="0" borderId="7" applyAlignment="1" pivotButton="0" quotePrefix="0" xfId="0">
      <alignment horizontal="general" vertical="bottom"/>
    </xf>
    <xf numFmtId="165" fontId="6" fillId="3" borderId="2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165" fontId="6" fillId="0" borderId="2" applyAlignment="1" pivotButton="0" quotePrefix="0" xfId="0">
      <alignment horizontal="general" vertical="bottom"/>
    </xf>
    <xf numFmtId="165" fontId="6" fillId="0" borderId="2" applyAlignment="1" pivotButton="0" quotePrefix="0" xfId="0">
      <alignment horizontal="general" vertical="bottom"/>
    </xf>
    <xf numFmtId="165" fontId="6" fillId="3" borderId="7" applyAlignment="1" pivotButton="0" quotePrefix="0" xfId="0">
      <alignment horizontal="general" vertical="bottom"/>
    </xf>
    <xf numFmtId="0" fontId="6" fillId="0" borderId="9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5" fontId="6" fillId="0" borderId="1" applyAlignment="1" pivotButton="0" quotePrefix="0" xfId="0">
      <alignment horizontal="general" vertical="bottom"/>
    </xf>
    <xf numFmtId="165" fontId="6" fillId="0" borderId="1" applyAlignment="1" pivotButton="0" quotePrefix="0" xfId="0">
      <alignment horizontal="general" vertical="bottom"/>
    </xf>
    <xf numFmtId="3" fontId="6" fillId="0" borderId="8" applyAlignment="1" pivotButton="0" quotePrefix="0" xfId="0">
      <alignment horizontal="general" vertical="bottom"/>
    </xf>
    <xf numFmtId="165" fontId="6" fillId="0" borderId="8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2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20">
      <alignment horizontal="center" vertical="bottom"/>
    </xf>
    <xf numFmtId="0" fontId="4" fillId="0" borderId="0" applyAlignment="1" pivotButton="0" quotePrefix="0" xfId="0">
      <alignment horizontal="center" vertical="bottom"/>
    </xf>
    <xf numFmtId="164" fontId="4" fillId="0" borderId="0" applyAlignment="1" pivotButton="0" quotePrefix="0" xfId="20">
      <alignment horizontal="center" vertical="bottom"/>
    </xf>
    <xf numFmtId="0" fontId="6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bottom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top" wrapText="1"/>
    </xf>
    <xf numFmtId="0" fontId="6" fillId="0" borderId="5" applyAlignment="1" pivotButton="0" quotePrefix="0" xfId="0">
      <alignment horizontal="center" vertical="top" wrapText="1"/>
    </xf>
    <xf numFmtId="0" fontId="6" fillId="0" borderId="6" applyAlignment="1" pivotButton="0" quotePrefix="0" xfId="0">
      <alignment horizontal="center" vertical="top" wrapText="1"/>
    </xf>
    <xf numFmtId="0" fontId="6" fillId="0" borderId="7" applyAlignment="1" pivotButton="0" quotePrefix="0" xfId="0">
      <alignment horizontal="center" vertical="top" wrapText="1"/>
    </xf>
    <xf numFmtId="0" fontId="6" fillId="0" borderId="8" applyAlignment="1" pivotButton="0" quotePrefix="0" xfId="0">
      <alignment horizontal="general" vertical="bottom"/>
    </xf>
    <xf numFmtId="0" fontId="6" fillId="0" borderId="7" applyAlignment="1" pivotButton="0" quotePrefix="0" xfId="0">
      <alignment horizontal="general" vertical="bottom"/>
    </xf>
    <xf numFmtId="165" fontId="6" fillId="0" borderId="7" applyAlignment="1" pivotButton="0" quotePrefix="0" xfId="0">
      <alignment horizontal="general" vertical="bottom"/>
    </xf>
    <xf numFmtId="165" fontId="6" fillId="3" borderId="2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165" fontId="6" fillId="0" borderId="2" applyAlignment="1" pivotButton="0" quotePrefix="0" xfId="0">
      <alignment horizontal="general" vertical="bottom"/>
    </xf>
    <xf numFmtId="165" fontId="6" fillId="3" borderId="7" applyAlignment="1" pivotButton="0" quotePrefix="0" xfId="0">
      <alignment horizontal="general" vertical="bottom"/>
    </xf>
    <xf numFmtId="0" fontId="6" fillId="0" borderId="9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5" fontId="6" fillId="0" borderId="1" applyAlignment="1" pivotButton="0" quotePrefix="0" xfId="0">
      <alignment horizontal="general" vertical="bottom"/>
    </xf>
    <xf numFmtId="3" fontId="6" fillId="0" borderId="8" applyAlignment="1" pivotButton="0" quotePrefix="0" xfId="0">
      <alignment horizontal="general" vertical="bottom"/>
    </xf>
    <xf numFmtId="165" fontId="6" fillId="0" borderId="8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_ING RFP Attachment 3-A Service Levels Matrix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59765625" defaultRowHeight="13.2" customHeight="1" zeroHeight="0" outlineLevelRow="0"/>
  <cols>
    <col width="111.39" customWidth="1" style="30" min="1" max="1"/>
    <col width="9.6" customWidth="1" style="30" min="2" max="257"/>
  </cols>
  <sheetData>
    <row r="1" ht="72" customHeight="1" s="31"/>
    <row r="2" ht="21.75" customHeight="1" s="31">
      <c r="A2" s="32" t="inlineStr">
        <is>
          <t>EuroBank</t>
        </is>
      </c>
    </row>
    <row r="3" ht="20.4" customHeight="1" s="31">
      <c r="A3" s="32" t="n"/>
    </row>
    <row r="4" ht="45" customHeight="1" s="31">
      <c r="A4" s="32" t="n"/>
    </row>
    <row r="5" ht="20.4" customHeight="1" s="31">
      <c r="A5" s="33" t="inlineStr">
        <is>
          <t>ATTACHMENT 5-F(2)</t>
        </is>
      </c>
    </row>
    <row r="6" ht="20.4" customHeight="1" s="31">
      <c r="A6" s="33" t="n"/>
    </row>
    <row r="7" ht="20.4" customHeight="1" s="31">
      <c r="A7" s="33" t="inlineStr">
        <is>
          <t>PERSONNEL PROJECTION MATRIX (VENDOR GAMMA)</t>
        </is>
      </c>
    </row>
    <row r="8" ht="20.4" customHeight="1" s="31">
      <c r="A8" s="33" t="inlineStr">
        <is>
          <t>Attachment to Exhibit 5 (Human Resource Provisions)</t>
        </is>
      </c>
    </row>
    <row r="9" ht="20.4" customHeight="1" s="31">
      <c r="A9" s="32" t="n"/>
    </row>
    <row r="10" ht="20.4" customHeight="1" s="31">
      <c r="A10" s="34" t="n"/>
    </row>
  </sheetData>
  <printOptions horizontalCentered="1" verticalCentered="0" headings="0" gridLines="0" gridLinesSet="1"/>
  <pageMargins left="0.747916666666667" right="0.747916666666667" top="0.9840277777777779" bottom="0.590277777777778" header="0.511805555555556" footer="0.511805555555556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Ops&amp;&amp;IT Banking Confidential&amp;R&amp;"Times New Roman,Regular"&amp;8 30/11/06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R95"/>
  <sheetViews>
    <sheetView showFormulas="0" showGridLines="1" showRowColHeaders="1" showZeros="1" rightToLeft="0" tabSelected="1" showOutlineSymbols="1" defaultGridColor="1" view="normal" topLeftCell="A1" colorId="64" zoomScale="70" zoomScaleNormal="7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E49" activeCellId="0" sqref="E49"/>
    </sheetView>
  </sheetViews>
  <sheetFormatPr baseColWidth="8" defaultColWidth="8.3984375" defaultRowHeight="13.2" customHeight="1" zeroHeight="0" outlineLevelRow="0"/>
  <cols>
    <col width="33.72" customWidth="1" style="35" min="1" max="1"/>
    <col width="9" customWidth="1" style="35" min="2" max="2"/>
    <col width="10.5" customWidth="1" style="35" min="3" max="3"/>
    <col width="11.5" customWidth="1" style="35" min="4" max="4"/>
    <col width="10.8" customWidth="1" style="35" min="5" max="5"/>
    <col width="14.1" customWidth="1" style="35" min="6" max="6"/>
    <col width="11.7" customWidth="1" style="35" min="7" max="7"/>
    <col width="13.5" customWidth="1" style="35" min="8" max="8"/>
    <col width="10.2" customWidth="1" style="35" min="9" max="9"/>
    <col width="12.1" customWidth="1" style="35" min="10" max="10"/>
    <col width="13.5" customWidth="1" style="35" min="11" max="11"/>
    <col width="12.61" customWidth="1" style="35" min="12" max="12"/>
    <col width="11.1" customWidth="1" style="35" min="13" max="13"/>
    <col width="13.5" customWidth="1" style="35" min="14" max="15"/>
    <col width="12.61" customWidth="1" style="35" min="16" max="16"/>
    <col width="11.1" customWidth="1" style="35" min="17" max="17"/>
    <col width="8.4" customWidth="1" style="35" min="18" max="257"/>
  </cols>
  <sheetData>
    <row r="1" ht="13.2" customHeight="1" s="31">
      <c r="J1" s="36" t="n"/>
    </row>
    <row r="2" ht="13.2" customHeight="1" s="31">
      <c r="A2" s="35" t="inlineStr">
        <is>
          <t>The PST should complete the following template providing data on a monthly basis  for Year 1, quarterly for Year 2 and bi-annually for Year 3.</t>
        </is>
      </c>
    </row>
    <row r="3"/>
    <row r="4" ht="13.8" customHeight="1" s="31">
      <c r="B4" s="37" t="inlineStr">
        <is>
          <t>Year 1</t>
        </is>
      </c>
      <c r="C4" s="38" t="n"/>
      <c r="D4" s="38" t="n"/>
      <c r="E4" s="38" t="n"/>
      <c r="F4" s="38" t="n"/>
      <c r="G4" s="38" t="n"/>
      <c r="H4" s="38" t="n"/>
      <c r="I4" s="39" t="n"/>
      <c r="J4" s="37" t="inlineStr">
        <is>
          <t>Year 2</t>
        </is>
      </c>
      <c r="K4" s="38" t="n"/>
      <c r="L4" s="38" t="n"/>
      <c r="M4" s="39" t="n"/>
      <c r="N4" s="37" t="inlineStr">
        <is>
          <t>Year 3</t>
        </is>
      </c>
      <c r="O4" s="38" t="n"/>
      <c r="P4" s="38" t="n"/>
      <c r="Q4" s="39" t="n"/>
    </row>
    <row r="5" ht="84" customHeight="1" s="31">
      <c r="A5" s="40" t="n"/>
      <c r="B5" s="41" t="inlineStr">
        <is>
          <t>Period</t>
        </is>
      </c>
      <c r="C5" s="42" t="inlineStr">
        <is>
          <t>Affected Employees</t>
        </is>
      </c>
      <c r="D5" s="43" t="inlineStr">
        <is>
          <t>Affected Contractors</t>
        </is>
      </c>
      <c r="E5" s="43" t="inlineStr">
        <is>
          <t>Number for EuroBank to Retain</t>
        </is>
      </c>
      <c r="F5" s="43" t="inlineStr">
        <is>
          <t>Number of EuroBank Employees Transitioned to Supplier</t>
        </is>
      </c>
      <c r="G5" s="43" t="inlineStr">
        <is>
          <t>Number of Contractors Transitioned to Supplier</t>
        </is>
      </c>
      <c r="H5" s="43" t="inlineStr">
        <is>
          <t>Number of People the Supplier is Bringing to the Account</t>
        </is>
      </c>
      <c r="I5" s="44" t="inlineStr">
        <is>
          <t>Number of People Relocated</t>
        </is>
      </c>
      <c r="J5" s="45" t="inlineStr">
        <is>
          <t>Number of People Assigned 100%</t>
        </is>
      </c>
      <c r="K5" s="43" t="inlineStr">
        <is>
          <t>Number of Relocated and Assigned</t>
        </is>
      </c>
      <c r="L5" s="43" t="inlineStr">
        <is>
          <t>Number of People Made Redundant</t>
        </is>
      </c>
      <c r="M5" s="43" t="inlineStr">
        <is>
          <t>Number of People Redeployed</t>
        </is>
      </c>
      <c r="N5" s="43" t="inlineStr">
        <is>
          <t>Number of People Assigned 100%</t>
        </is>
      </c>
      <c r="O5" s="43" t="inlineStr">
        <is>
          <t>Number of Relocated and Assigned</t>
        </is>
      </c>
      <c r="P5" s="43" t="inlineStr">
        <is>
          <t>Number of People Made Redundant</t>
        </is>
      </c>
      <c r="Q5" s="43" t="inlineStr">
        <is>
          <t>Number of People Redeployed</t>
        </is>
      </c>
    </row>
    <row r="6" ht="13.2" customHeight="1" s="31">
      <c r="A6" s="46" t="inlineStr">
        <is>
          <t>EUC UIS (Vendor Gamma)</t>
        </is>
      </c>
      <c r="B6" s="47" t="inlineStr">
        <is>
          <t>Month 1</t>
        </is>
      </c>
      <c r="C6" s="48" t="n">
        <v>88</v>
      </c>
      <c r="D6" s="48">
        <f>24+(97-88)</f>
        <v/>
      </c>
      <c r="E6" s="48" t="n">
        <v>0</v>
      </c>
      <c r="F6" s="48" t="n">
        <v>88</v>
      </c>
      <c r="G6" s="48">
        <f>17+(97-88)</f>
        <v/>
      </c>
      <c r="H6" s="48" t="n">
        <v>7</v>
      </c>
      <c r="I6" s="48" t="n">
        <v>0</v>
      </c>
      <c r="J6" s="49" t="n"/>
      <c r="K6" s="49" t="n"/>
      <c r="L6" s="49" t="n"/>
      <c r="M6" s="49" t="n"/>
      <c r="N6" s="49" t="n"/>
      <c r="O6" s="49" t="n"/>
      <c r="P6" s="49" t="n"/>
      <c r="Q6" s="49" t="n"/>
      <c r="R6" s="36" t="n"/>
    </row>
    <row r="7" ht="13.2" customHeight="1" s="31">
      <c r="A7" s="46" t="inlineStr">
        <is>
          <t>DT HW (Vendor Gamma)</t>
        </is>
      </c>
      <c r="B7" s="50" t="inlineStr">
        <is>
          <t>Month 2</t>
        </is>
      </c>
      <c r="C7" s="51" t="n">
        <v>0</v>
      </c>
      <c r="D7" s="51" t="n">
        <v>0</v>
      </c>
      <c r="E7" s="51" t="n">
        <v>0</v>
      </c>
      <c r="F7" s="48">
        <f>C7+D7-E7</f>
        <v/>
      </c>
      <c r="G7" s="51" t="n">
        <v>0</v>
      </c>
      <c r="H7" s="48" t="n">
        <v>0</v>
      </c>
      <c r="I7" s="51" t="n">
        <v>0</v>
      </c>
      <c r="J7" s="49" t="n"/>
      <c r="K7" s="49" t="n"/>
      <c r="L7" s="49" t="n"/>
      <c r="M7" s="49" t="n"/>
      <c r="N7" s="49" t="n"/>
      <c r="O7" s="49" t="n"/>
      <c r="P7" s="49" t="n"/>
      <c r="Q7" s="49" t="n"/>
      <c r="R7" s="36" t="n"/>
    </row>
    <row r="8" ht="13.2" customHeight="1" s="31">
      <c r="A8" s="46" t="n"/>
      <c r="B8" s="50" t="inlineStr">
        <is>
          <t>Month 3</t>
        </is>
      </c>
      <c r="C8" s="51" t="n">
        <v>0</v>
      </c>
      <c r="D8" s="51" t="n">
        <v>0</v>
      </c>
      <c r="E8" s="51" t="n">
        <v>0</v>
      </c>
      <c r="F8" s="48">
        <f>C8+D8-E8</f>
        <v/>
      </c>
      <c r="G8" s="51" t="n">
        <v>0</v>
      </c>
      <c r="H8" s="48" t="n">
        <v>0</v>
      </c>
      <c r="I8" s="51" t="n">
        <v>0</v>
      </c>
      <c r="J8" s="51">
        <f>F6+G6+SUM(H6:H17)-SUM(I6:I17)</f>
        <v/>
      </c>
      <c r="K8" s="51">
        <f>J8+M8</f>
        <v/>
      </c>
      <c r="L8" s="51" t="n">
        <v>0</v>
      </c>
      <c r="M8" s="51" t="n">
        <v>20</v>
      </c>
      <c r="N8" s="49" t="n"/>
      <c r="O8" s="49" t="n"/>
      <c r="P8" s="49" t="n"/>
      <c r="Q8" s="49" t="n"/>
      <c r="R8" s="36" t="n"/>
    </row>
    <row r="9" ht="13.2" customHeight="1" s="31">
      <c r="A9" s="46" t="n"/>
      <c r="B9" s="50" t="inlineStr">
        <is>
          <t>Month 4</t>
        </is>
      </c>
      <c r="C9" s="51" t="n">
        <v>0</v>
      </c>
      <c r="D9" s="51" t="n">
        <v>0</v>
      </c>
      <c r="E9" s="51" t="n">
        <v>0</v>
      </c>
      <c r="F9" s="48">
        <f>C9+D9-E9</f>
        <v/>
      </c>
      <c r="G9" s="51" t="n">
        <v>0</v>
      </c>
      <c r="H9" s="51" t="n">
        <v>0</v>
      </c>
      <c r="I9" s="51" t="n">
        <v>2</v>
      </c>
      <c r="J9" s="49" t="n"/>
      <c r="K9" s="49" t="n"/>
      <c r="L9" s="49" t="n"/>
      <c r="M9" s="49" t="n"/>
      <c r="N9" s="49" t="n"/>
      <c r="O9" s="49" t="n"/>
      <c r="P9" s="49" t="n"/>
      <c r="Q9" s="49" t="n"/>
      <c r="R9" s="36" t="n"/>
    </row>
    <row r="10" ht="13.2" customHeight="1" s="31">
      <c r="A10" s="46" t="n"/>
      <c r="B10" s="50" t="inlineStr">
        <is>
          <t>Month 5</t>
        </is>
      </c>
      <c r="C10" s="51" t="n">
        <v>0</v>
      </c>
      <c r="D10" s="51" t="n">
        <v>0</v>
      </c>
      <c r="E10" s="51" t="n">
        <v>0</v>
      </c>
      <c r="F10" s="48">
        <f>C10+D10-E10</f>
        <v/>
      </c>
      <c r="G10" s="51" t="n">
        <v>0</v>
      </c>
      <c r="H10" s="51" t="n">
        <v>0</v>
      </c>
      <c r="I10" s="51" t="n">
        <v>2</v>
      </c>
      <c r="J10" s="49" t="n"/>
      <c r="K10" s="49" t="n"/>
      <c r="L10" s="49" t="n"/>
      <c r="M10" s="49" t="n"/>
      <c r="N10" s="49" t="n"/>
      <c r="O10" s="49" t="n"/>
      <c r="P10" s="49" t="n"/>
      <c r="Q10" s="49" t="n"/>
      <c r="R10" s="36" t="n"/>
    </row>
    <row r="11" ht="13.2" customHeight="1" s="31">
      <c r="A11" s="46" t="n"/>
      <c r="B11" s="50" t="inlineStr">
        <is>
          <t>Month 6</t>
        </is>
      </c>
      <c r="C11" s="51" t="n">
        <v>0</v>
      </c>
      <c r="D11" s="51" t="n">
        <v>0</v>
      </c>
      <c r="E11" s="51" t="n">
        <v>0</v>
      </c>
      <c r="F11" s="48">
        <f>C11+D11-E11</f>
        <v/>
      </c>
      <c r="G11" s="51" t="n">
        <v>0</v>
      </c>
      <c r="H11" s="51" t="n">
        <v>2</v>
      </c>
      <c r="I11" s="51" t="n">
        <v>2</v>
      </c>
      <c r="J11" s="51">
        <f>J8-L11-M8</f>
        <v/>
      </c>
      <c r="K11" s="51">
        <f>J11+M11</f>
        <v/>
      </c>
      <c r="L11" s="51" t="n">
        <v>0</v>
      </c>
      <c r="M11" s="51" t="n">
        <v>0</v>
      </c>
      <c r="N11" s="51">
        <f>J17-P11-Q11</f>
        <v/>
      </c>
      <c r="O11" s="51">
        <f>N11+Q11</f>
        <v/>
      </c>
      <c r="P11" s="51" t="n">
        <v>0</v>
      </c>
      <c r="Q11" s="51" t="n">
        <v>0</v>
      </c>
      <c r="R11" s="36" t="n"/>
    </row>
    <row r="12" ht="13.2" customHeight="1" s="31">
      <c r="A12" s="46" t="n"/>
      <c r="B12" s="50" t="inlineStr">
        <is>
          <t>Month 7</t>
        </is>
      </c>
      <c r="C12" s="51" t="n">
        <v>0</v>
      </c>
      <c r="D12" s="51" t="n">
        <v>0</v>
      </c>
      <c r="E12" s="51" t="n">
        <v>0</v>
      </c>
      <c r="F12" s="48">
        <f>C12+D12-E12</f>
        <v/>
      </c>
      <c r="G12" s="51" t="n">
        <v>0</v>
      </c>
      <c r="H12" s="51" t="n">
        <v>5</v>
      </c>
      <c r="I12" s="51" t="n">
        <v>1</v>
      </c>
      <c r="J12" s="49" t="n"/>
      <c r="K12" s="49" t="n"/>
      <c r="L12" s="49" t="n"/>
      <c r="M12" s="49" t="n"/>
      <c r="N12" s="49" t="n"/>
      <c r="O12" s="52" t="n"/>
      <c r="P12" s="49" t="n"/>
      <c r="Q12" s="49" t="n"/>
      <c r="R12" s="36" t="n"/>
    </row>
    <row r="13" ht="13.2" customHeight="1" s="31">
      <c r="A13" s="46" t="n"/>
      <c r="B13" s="50" t="inlineStr">
        <is>
          <t>Month 8</t>
        </is>
      </c>
      <c r="C13" s="51" t="n">
        <v>0</v>
      </c>
      <c r="D13" s="51" t="n">
        <v>0</v>
      </c>
      <c r="E13" s="51" t="n">
        <v>0</v>
      </c>
      <c r="F13" s="48">
        <f>C13+D13-E13</f>
        <v/>
      </c>
      <c r="G13" s="51" t="n">
        <v>0</v>
      </c>
      <c r="H13" s="51" t="n">
        <v>42</v>
      </c>
      <c r="I13" s="51" t="n">
        <v>0</v>
      </c>
      <c r="J13" s="49" t="n"/>
      <c r="K13" s="49" t="n"/>
      <c r="L13" s="49" t="n"/>
      <c r="M13" s="49" t="n"/>
      <c r="N13" s="49" t="n"/>
      <c r="O13" s="49" t="n"/>
      <c r="P13" s="49" t="n"/>
      <c r="Q13" s="49" t="n"/>
      <c r="R13" s="36" t="n"/>
    </row>
    <row r="14" ht="13.2" customHeight="1" s="31">
      <c r="A14" s="46" t="n"/>
      <c r="B14" s="50" t="inlineStr">
        <is>
          <t>Month 9</t>
        </is>
      </c>
      <c r="C14" s="51" t="n">
        <v>0</v>
      </c>
      <c r="D14" s="51" t="n">
        <v>0</v>
      </c>
      <c r="E14" s="51" t="n">
        <v>0</v>
      </c>
      <c r="F14" s="48">
        <f>C14+D14-E14</f>
        <v/>
      </c>
      <c r="G14" s="51" t="n">
        <v>0</v>
      </c>
      <c r="H14" s="51" t="n">
        <v>0</v>
      </c>
      <c r="I14" s="51" t="n">
        <v>0</v>
      </c>
      <c r="J14" s="51">
        <f>J11-L14-M11</f>
        <v/>
      </c>
      <c r="K14" s="51">
        <f>J14+M14</f>
        <v/>
      </c>
      <c r="L14" s="51" t="n">
        <v>0</v>
      </c>
      <c r="M14" s="51" t="n">
        <v>0</v>
      </c>
      <c r="N14" s="49" t="n"/>
      <c r="O14" s="49" t="n"/>
      <c r="P14" s="49" t="n"/>
      <c r="Q14" s="49" t="n"/>
      <c r="R14" s="36" t="n"/>
    </row>
    <row r="15" ht="13.2" customHeight="1" s="31">
      <c r="A15" s="46" t="n"/>
      <c r="B15" s="50" t="inlineStr">
        <is>
          <t>Month 10</t>
        </is>
      </c>
      <c r="C15" s="51" t="n">
        <v>0</v>
      </c>
      <c r="D15" s="51" t="n">
        <v>0</v>
      </c>
      <c r="E15" s="51" t="n">
        <v>0</v>
      </c>
      <c r="F15" s="48">
        <f>C15+D15-E15</f>
        <v/>
      </c>
      <c r="G15" s="51" t="n">
        <v>0</v>
      </c>
      <c r="H15" s="51" t="n">
        <v>0</v>
      </c>
      <c r="I15" s="51" t="n">
        <v>0</v>
      </c>
      <c r="J15" s="49" t="n"/>
      <c r="K15" s="49" t="n"/>
      <c r="L15" s="49" t="n"/>
      <c r="M15" s="49" t="n"/>
      <c r="N15" s="49" t="n"/>
      <c r="O15" s="49" t="n"/>
      <c r="P15" s="49" t="n"/>
      <c r="Q15" s="49" t="n"/>
      <c r="R15" s="36" t="n"/>
    </row>
    <row r="16" ht="13.2" customHeight="1" s="31">
      <c r="A16" s="46" t="n"/>
      <c r="B16" s="50" t="inlineStr">
        <is>
          <t>Month 11</t>
        </is>
      </c>
      <c r="C16" s="51" t="n">
        <v>0</v>
      </c>
      <c r="D16" s="51" t="n">
        <v>0</v>
      </c>
      <c r="E16" s="51" t="n">
        <v>0</v>
      </c>
      <c r="F16" s="48">
        <f>C16+D16-E16</f>
        <v/>
      </c>
      <c r="G16" s="51" t="n">
        <v>0</v>
      </c>
      <c r="H16" s="51" t="n">
        <v>0</v>
      </c>
      <c r="I16" s="51" t="n">
        <v>0</v>
      </c>
      <c r="J16" s="49" t="n"/>
      <c r="K16" s="49" t="n"/>
      <c r="L16" s="49" t="n"/>
      <c r="M16" s="49" t="n"/>
      <c r="N16" s="49" t="n"/>
      <c r="O16" s="49" t="n"/>
      <c r="P16" s="49" t="n"/>
      <c r="Q16" s="49" t="n"/>
      <c r="R16" s="36" t="n"/>
    </row>
    <row r="17" ht="13.8" customHeight="1" s="31">
      <c r="A17" s="53" t="n"/>
      <c r="B17" s="54" t="inlineStr">
        <is>
          <t>Month 12</t>
        </is>
      </c>
      <c r="C17" s="55" t="n">
        <v>0</v>
      </c>
      <c r="D17" s="55" t="n">
        <v>0</v>
      </c>
      <c r="E17" s="55" t="n">
        <v>0</v>
      </c>
      <c r="F17" s="55">
        <f>C17+D17-E17</f>
        <v/>
      </c>
      <c r="G17" s="55" t="n">
        <v>0</v>
      </c>
      <c r="H17" s="55" t="n">
        <v>0</v>
      </c>
      <c r="I17" s="55" t="n">
        <v>0</v>
      </c>
      <c r="J17" s="55">
        <f>J14-L17-M14</f>
        <v/>
      </c>
      <c r="K17" s="55">
        <f>J17+M17</f>
        <v/>
      </c>
      <c r="L17" s="55" t="n">
        <v>0</v>
      </c>
      <c r="M17" s="55" t="n">
        <v>0</v>
      </c>
      <c r="N17" s="55">
        <f>N11-P17-Q17</f>
        <v/>
      </c>
      <c r="O17" s="55">
        <f>N17+Q17</f>
        <v/>
      </c>
      <c r="P17" s="55" t="n">
        <v>0</v>
      </c>
      <c r="Q17" s="55" t="n">
        <v>0</v>
      </c>
      <c r="R17" s="36" t="n"/>
    </row>
    <row r="18" ht="13.2" customHeight="1" s="31">
      <c r="A18" s="46" t="inlineStr">
        <is>
          <t>Service Desk</t>
        </is>
      </c>
      <c r="B18" s="47" t="inlineStr">
        <is>
          <t>Month 1</t>
        </is>
      </c>
      <c r="C18" s="48" t="n">
        <v>37</v>
      </c>
      <c r="D18" s="48">
        <f>62+(49-37)</f>
        <v/>
      </c>
      <c r="E18" s="48" t="n">
        <v>0</v>
      </c>
      <c r="F18" s="48" t="n">
        <v>37</v>
      </c>
      <c r="G18" s="48">
        <f>49-37</f>
        <v/>
      </c>
      <c r="H18" s="48">
        <f>(112-C18-G18)/3</f>
        <v/>
      </c>
      <c r="I18" s="48" t="n">
        <v>0</v>
      </c>
      <c r="J18" s="49" t="n"/>
      <c r="K18" s="49" t="n"/>
      <c r="L18" s="49" t="n"/>
      <c r="M18" s="49" t="n"/>
      <c r="N18" s="49" t="n"/>
      <c r="O18" s="49" t="n"/>
      <c r="P18" s="49" t="n"/>
      <c r="Q18" s="49" t="n"/>
      <c r="R18" s="36" t="n"/>
    </row>
    <row r="19" ht="13.2" customHeight="1" s="31">
      <c r="A19" s="46" t="n"/>
      <c r="B19" s="50" t="inlineStr">
        <is>
          <t>Month 2</t>
        </is>
      </c>
      <c r="C19" s="48" t="n">
        <v>0</v>
      </c>
      <c r="D19" s="48" t="n">
        <v>0</v>
      </c>
      <c r="E19" s="48" t="n">
        <v>0</v>
      </c>
      <c r="F19" s="48">
        <f>C19</f>
        <v/>
      </c>
      <c r="G19" s="51" t="n">
        <v>0</v>
      </c>
      <c r="H19" s="51">
        <f>H18</f>
        <v/>
      </c>
      <c r="I19" s="51" t="n">
        <v>0</v>
      </c>
      <c r="J19" s="49" t="n"/>
      <c r="K19" s="49" t="n"/>
      <c r="L19" s="49" t="n"/>
      <c r="M19" s="49" t="n"/>
      <c r="N19" s="49" t="n"/>
      <c r="O19" s="49" t="n"/>
      <c r="P19" s="49" t="n"/>
      <c r="Q19" s="49" t="n"/>
      <c r="R19" s="36" t="n"/>
    </row>
    <row r="20" ht="13.2" customHeight="1" s="31">
      <c r="A20" s="46" t="n"/>
      <c r="B20" s="50" t="inlineStr">
        <is>
          <t>Month 3</t>
        </is>
      </c>
      <c r="C20" s="48" t="n">
        <v>0</v>
      </c>
      <c r="D20" s="48" t="n">
        <v>0</v>
      </c>
      <c r="E20" s="48" t="n">
        <v>0</v>
      </c>
      <c r="F20" s="48">
        <f>C20</f>
        <v/>
      </c>
      <c r="G20" s="51" t="n">
        <v>0</v>
      </c>
      <c r="H20" s="51">
        <f>H19</f>
        <v/>
      </c>
      <c r="I20" s="51" t="n">
        <v>0</v>
      </c>
      <c r="J20" s="51">
        <f>F18+G18+SUM(H18:H29)-SUM(I18:I29)</f>
        <v/>
      </c>
      <c r="K20" s="51">
        <f>J20+M20</f>
        <v/>
      </c>
      <c r="L20" s="51" t="n">
        <v>0</v>
      </c>
      <c r="M20" s="51" t="n">
        <v>8</v>
      </c>
      <c r="N20" s="49" t="n"/>
      <c r="O20" s="49" t="n"/>
      <c r="P20" s="49" t="n"/>
      <c r="Q20" s="49" t="n"/>
      <c r="R20" s="36" t="n"/>
    </row>
    <row r="21" ht="13.2" customHeight="1" s="31">
      <c r="A21" s="56" t="n"/>
      <c r="B21" s="50" t="inlineStr">
        <is>
          <t>Month 4</t>
        </is>
      </c>
      <c r="C21" s="48" t="n">
        <v>0</v>
      </c>
      <c r="D21" s="48" t="n">
        <v>0</v>
      </c>
      <c r="E21" s="48" t="n">
        <v>0</v>
      </c>
      <c r="F21" s="48">
        <f>C21</f>
        <v/>
      </c>
      <c r="G21" s="51" t="n">
        <v>0</v>
      </c>
      <c r="H21" s="51" t="n">
        <v>0</v>
      </c>
      <c r="I21" s="51" t="n">
        <v>0</v>
      </c>
      <c r="J21" s="49" t="n"/>
      <c r="K21" s="49" t="n"/>
      <c r="L21" s="49" t="n"/>
      <c r="M21" s="49" t="n"/>
      <c r="N21" s="49" t="n"/>
      <c r="O21" s="49" t="n"/>
      <c r="P21" s="49" t="n"/>
      <c r="Q21" s="49" t="n"/>
      <c r="R21" s="36" t="n"/>
    </row>
    <row r="22" ht="13.2" customHeight="1" s="31">
      <c r="A22" s="46" t="n"/>
      <c r="B22" s="50" t="inlineStr">
        <is>
          <t>Month 5</t>
        </is>
      </c>
      <c r="C22" s="48" t="n">
        <v>0</v>
      </c>
      <c r="D22" s="48" t="n">
        <v>0</v>
      </c>
      <c r="E22" s="48" t="n">
        <v>0</v>
      </c>
      <c r="F22" s="48">
        <f>C22</f>
        <v/>
      </c>
      <c r="G22" s="51" t="n">
        <v>0</v>
      </c>
      <c r="H22" s="51" t="n">
        <v>0</v>
      </c>
      <c r="I22" s="51" t="n">
        <v>0</v>
      </c>
      <c r="J22" s="49" t="n"/>
      <c r="K22" s="49" t="n"/>
      <c r="L22" s="49" t="n"/>
      <c r="M22" s="49" t="n"/>
      <c r="N22" s="49" t="n"/>
      <c r="O22" s="49" t="n"/>
      <c r="P22" s="49" t="n"/>
      <c r="Q22" s="49" t="n"/>
      <c r="R22" s="36" t="n"/>
    </row>
    <row r="23" ht="13.2" customHeight="1" s="31">
      <c r="A23" s="46" t="n"/>
      <c r="B23" s="50" t="inlineStr">
        <is>
          <t>Month 6</t>
        </is>
      </c>
      <c r="C23" s="48" t="n">
        <v>0</v>
      </c>
      <c r="D23" s="48" t="n">
        <v>0</v>
      </c>
      <c r="E23" s="48" t="n">
        <v>0</v>
      </c>
      <c r="F23" s="48">
        <f>C23</f>
        <v/>
      </c>
      <c r="G23" s="51" t="n">
        <v>0</v>
      </c>
      <c r="H23" s="51" t="n">
        <v>10</v>
      </c>
      <c r="I23" s="51" t="n">
        <v>0</v>
      </c>
      <c r="J23" s="51">
        <f>J20-L23-M20</f>
        <v/>
      </c>
      <c r="K23" s="51">
        <f>J23+M23</f>
        <v/>
      </c>
      <c r="L23" s="51" t="n">
        <v>0</v>
      </c>
      <c r="M23" s="51" t="n">
        <v>7</v>
      </c>
      <c r="N23" s="51">
        <f>J29-P23-M29</f>
        <v/>
      </c>
      <c r="O23" s="51">
        <f>N23+Q23</f>
        <v/>
      </c>
      <c r="P23" s="51" t="n">
        <v>0</v>
      </c>
      <c r="Q23" s="51" t="n">
        <v>4</v>
      </c>
      <c r="R23" s="36" t="n"/>
    </row>
    <row r="24" ht="13.2" customHeight="1" s="31">
      <c r="A24" s="46" t="n"/>
      <c r="B24" s="50" t="inlineStr">
        <is>
          <t>Month 7</t>
        </is>
      </c>
      <c r="C24" s="48" t="n">
        <v>0</v>
      </c>
      <c r="D24" s="48" t="n">
        <v>0</v>
      </c>
      <c r="E24" s="48" t="n">
        <v>0</v>
      </c>
      <c r="F24" s="48">
        <f>C24</f>
        <v/>
      </c>
      <c r="G24" s="51" t="n">
        <v>0</v>
      </c>
      <c r="H24" s="51" t="n">
        <v>10</v>
      </c>
      <c r="I24" s="51" t="n">
        <v>0</v>
      </c>
      <c r="J24" s="49" t="n"/>
      <c r="K24" s="49" t="n"/>
      <c r="L24" s="49" t="n"/>
      <c r="M24" s="49" t="n"/>
      <c r="N24" s="49" t="n"/>
      <c r="O24" s="49" t="n"/>
      <c r="P24" s="49" t="n"/>
      <c r="Q24" s="49" t="n"/>
      <c r="R24" s="36" t="n"/>
    </row>
    <row r="25" ht="13.2" customHeight="1" s="31">
      <c r="A25" s="46" t="n"/>
      <c r="B25" s="50" t="inlineStr">
        <is>
          <t>Month 8</t>
        </is>
      </c>
      <c r="C25" s="48" t="n">
        <v>0</v>
      </c>
      <c r="D25" s="48" t="n">
        <v>0</v>
      </c>
      <c r="E25" s="48" t="n">
        <v>0</v>
      </c>
      <c r="F25" s="48">
        <f>C25</f>
        <v/>
      </c>
      <c r="G25" s="51" t="n">
        <v>0</v>
      </c>
      <c r="H25" s="51" t="n">
        <v>10</v>
      </c>
      <c r="I25" s="51" t="n">
        <v>0</v>
      </c>
      <c r="J25" s="49" t="n"/>
      <c r="K25" s="49" t="n"/>
      <c r="L25" s="49" t="n"/>
      <c r="M25" s="49" t="n"/>
      <c r="N25" s="49" t="n"/>
      <c r="O25" s="49" t="n"/>
      <c r="P25" s="49" t="n"/>
      <c r="Q25" s="49" t="n"/>
      <c r="R25" s="36" t="n"/>
    </row>
    <row r="26" ht="13.2" customHeight="1" s="31">
      <c r="A26" s="46" t="n"/>
      <c r="B26" s="50" t="inlineStr">
        <is>
          <t>Month 9</t>
        </is>
      </c>
      <c r="C26" s="48" t="n">
        <v>0</v>
      </c>
      <c r="D26" s="48" t="n">
        <v>0</v>
      </c>
      <c r="E26" s="48" t="n">
        <v>0</v>
      </c>
      <c r="F26" s="48">
        <f>C26</f>
        <v/>
      </c>
      <c r="G26" s="51" t="n">
        <v>0</v>
      </c>
      <c r="H26" s="51" t="n">
        <v>14</v>
      </c>
      <c r="I26" s="51" t="n">
        <v>0</v>
      </c>
      <c r="J26" s="51">
        <f>J23-L26-M23</f>
        <v/>
      </c>
      <c r="K26" s="51">
        <f>J26+M26</f>
        <v/>
      </c>
      <c r="L26" s="51" t="n">
        <v>0</v>
      </c>
      <c r="M26" s="51" t="n">
        <v>6</v>
      </c>
      <c r="N26" s="49" t="n"/>
      <c r="O26" s="49" t="n"/>
      <c r="P26" s="49" t="n"/>
      <c r="Q26" s="49" t="n"/>
      <c r="R26" s="36" t="n"/>
    </row>
    <row r="27" ht="13.2" customHeight="1" s="31">
      <c r="A27" s="46" t="n"/>
      <c r="B27" s="50" t="inlineStr">
        <is>
          <t>Month 10</t>
        </is>
      </c>
      <c r="C27" s="48" t="n">
        <v>0</v>
      </c>
      <c r="D27" s="48" t="n">
        <v>0</v>
      </c>
      <c r="E27" s="48" t="n">
        <v>0</v>
      </c>
      <c r="F27" s="48">
        <f>C27</f>
        <v/>
      </c>
      <c r="G27" s="51" t="n">
        <v>0</v>
      </c>
      <c r="H27" s="57" t="n">
        <v>0</v>
      </c>
      <c r="I27" s="51" t="n">
        <v>0</v>
      </c>
      <c r="J27" s="49" t="n"/>
      <c r="K27" s="49" t="n"/>
      <c r="L27" s="49" t="n"/>
      <c r="M27" s="49" t="n"/>
      <c r="N27" s="49" t="n"/>
      <c r="O27" s="49" t="n"/>
      <c r="P27" s="49" t="n"/>
      <c r="Q27" s="49" t="n"/>
      <c r="R27" s="36" t="n"/>
    </row>
    <row r="28" ht="13.2" customHeight="1" s="31">
      <c r="A28" s="46" t="n"/>
      <c r="B28" s="50" t="inlineStr">
        <is>
          <t>Month 11</t>
        </is>
      </c>
      <c r="C28" s="48" t="n">
        <v>0</v>
      </c>
      <c r="D28" s="48" t="n">
        <v>0</v>
      </c>
      <c r="E28" s="48" t="n">
        <v>0</v>
      </c>
      <c r="F28" s="48">
        <f>C28</f>
        <v/>
      </c>
      <c r="G28" s="51" t="n">
        <v>0</v>
      </c>
      <c r="H28" s="51" t="n">
        <v>0</v>
      </c>
      <c r="I28" s="51" t="n">
        <v>0</v>
      </c>
      <c r="J28" s="49" t="n"/>
      <c r="K28" s="49" t="n"/>
      <c r="L28" s="49" t="n"/>
      <c r="M28" s="49" t="n"/>
      <c r="N28" s="49" t="n"/>
      <c r="O28" s="49" t="n"/>
      <c r="P28" s="49" t="n"/>
      <c r="Q28" s="49" t="n"/>
      <c r="R28" s="36" t="n"/>
    </row>
    <row r="29" ht="13.8" customHeight="1" s="31">
      <c r="A29" s="53" t="n"/>
      <c r="B29" s="54" t="inlineStr">
        <is>
          <t>Month 12</t>
        </is>
      </c>
      <c r="C29" s="55" t="n">
        <v>0</v>
      </c>
      <c r="D29" s="55" t="n">
        <v>0</v>
      </c>
      <c r="E29" s="55" t="n">
        <v>0</v>
      </c>
      <c r="F29" s="55">
        <f>C29</f>
        <v/>
      </c>
      <c r="G29" s="55" t="n">
        <v>0</v>
      </c>
      <c r="H29" s="55" t="n">
        <v>0</v>
      </c>
      <c r="I29" s="55" t="n">
        <v>0</v>
      </c>
      <c r="J29" s="55">
        <f>J26-L29-M26</f>
        <v/>
      </c>
      <c r="K29" s="55">
        <f>J29+M29</f>
        <v/>
      </c>
      <c r="L29" s="55" t="n">
        <v>0</v>
      </c>
      <c r="M29" s="55" t="n">
        <v>5</v>
      </c>
      <c r="N29" s="55">
        <f>N23-P29-Q23</f>
        <v/>
      </c>
      <c r="O29" s="55">
        <f>N29+Q29</f>
        <v/>
      </c>
      <c r="P29" s="55" t="n">
        <v>0</v>
      </c>
      <c r="Q29" s="55" t="n">
        <v>0</v>
      </c>
      <c r="R29" s="36" t="n"/>
    </row>
    <row r="30" ht="13.2" customHeight="1" s="31"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</row>
    <row r="31" ht="13.2" customHeight="1" s="31">
      <c r="B31" s="35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</row>
    <row r="32" ht="13.2" customHeight="1" s="31"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</row>
    <row r="33" ht="13.2" customHeight="1" s="31">
      <c r="C33" s="36" t="n"/>
      <c r="D33" s="36" t="inlineStr">
        <is>
          <t xml:space="preserve">Note 1: </t>
        </is>
      </c>
      <c r="E33" s="36" t="inlineStr">
        <is>
          <t>EUC UIS/DTHW: Affected Contractors at Year 1/ Month1 do not include EuroBank Technics FTE</t>
        </is>
      </c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</row>
    <row r="34" ht="13.2" customHeight="1" s="31">
      <c r="C34" s="36" t="n"/>
      <c r="D34" s="36" t="inlineStr">
        <is>
          <t xml:space="preserve">Note 2: </t>
        </is>
      </c>
      <c r="E34" s="36" t="inlineStr">
        <is>
          <t>Service Desk: Affected Contractors at Year 1/Month1: Excluding AMSIT, number of FTE s unknown, contract will be retained for 8 months</t>
        </is>
      </c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</row>
    <row r="35" ht="13.2" customHeight="1" s="31">
      <c r="C35" s="36" t="n"/>
      <c r="D35" s="36" t="inlineStr">
        <is>
          <t xml:space="preserve">Note 3: </t>
        </is>
      </c>
      <c r="E35" s="36" t="inlineStr">
        <is>
          <t>EUC UIS/DTHW: Number of People the Supplier is Bringing to the Account Year 1 / Month 6: infusion for transition EuroBank Technics</t>
        </is>
      </c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</row>
    <row r="36" ht="13.2" customHeight="1" s="31">
      <c r="C36" s="36" t="n"/>
      <c r="D36" s="36" t="inlineStr">
        <is>
          <t xml:space="preserve">Note 4: </t>
        </is>
      </c>
      <c r="E36" s="36" t="inlineStr">
        <is>
          <t>EUC UIS/DTHW: Number of People the Supplier is Bringing to the Account Year 1 / Month 8: Transfer of approx 42 FTE EuroBank Technics</t>
        </is>
      </c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</row>
    <row r="37" ht="13.2" customHeight="1" s="31">
      <c r="C37" s="36" t="n"/>
      <c r="D37" s="36" t="inlineStr">
        <is>
          <t xml:space="preserve">Note 5: </t>
        </is>
      </c>
      <c r="E37" s="36" t="inlineStr">
        <is>
          <t>EUC UIS/DTHW: Number of People redeployed Year 2 Month3: impact of Refresh cycle DTHW</t>
        </is>
      </c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</row>
    <row r="38" ht="13.2" customHeight="1" s="31">
      <c r="C38" s="36" t="n"/>
      <c r="D38" s="36" t="inlineStr">
        <is>
          <t xml:space="preserve">Note 6: </t>
        </is>
      </c>
      <c r="E38" s="36" t="inlineStr">
        <is>
          <t>Service Desk: Number of People the Supplier is Bringing to the Account at Year 1/ Month6: Start transition AMSIT / SD BE - infusion of FTE for knowledge transfer</t>
        </is>
      </c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</row>
    <row r="39" ht="13.2" customHeight="1" s="31"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</row>
    <row r="40" ht="13.2" customHeight="1" s="31"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</row>
    <row r="41" ht="13.2" customHeight="1" s="31"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</row>
    <row r="42" ht="13.2" customHeight="1" s="31"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</row>
    <row r="43" ht="13.2" customHeight="1" s="31"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</row>
    <row r="44" ht="13.2" customHeight="1" s="31"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</row>
    <row r="45" ht="13.2" customHeight="1" s="31"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</row>
    <row r="46" ht="13.2" customHeight="1" s="31"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</row>
    <row r="47" ht="13.2" customHeight="1" s="31"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</row>
    <row r="48" ht="13.2" customHeight="1" s="31"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</row>
    <row r="49" ht="13.2" customHeight="1" s="31"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</row>
    <row r="50" ht="13.2" customHeight="1" s="31"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</row>
    <row r="51" ht="13.2" customHeight="1" s="31"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</row>
    <row r="52" ht="13.2" customHeight="1" s="31"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</row>
    <row r="53" ht="13.2" customHeight="1" s="31"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</row>
    <row r="54" ht="13.2" customHeight="1" s="31"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</row>
    <row r="55" ht="13.2" customHeight="1" s="31"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</row>
    <row r="56" ht="13.2" customHeight="1" s="31"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</row>
    <row r="57" ht="13.2" customHeight="1" s="31"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</row>
    <row r="58" ht="13.2" customHeight="1" s="31"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</row>
    <row r="59" ht="13.2" customHeight="1" s="31"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</row>
    <row r="60" ht="13.2" customHeight="1" s="31"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</row>
    <row r="61" ht="13.2" customHeight="1" s="31"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</row>
    <row r="62" ht="13.2" customHeight="1" s="31"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</row>
    <row r="63" ht="13.2" customHeight="1" s="31"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</row>
    <row r="64" ht="13.2" customHeight="1" s="31"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</row>
    <row r="65" ht="13.2" customHeight="1" s="31"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</row>
    <row r="66" ht="13.2" customHeight="1" s="31"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</row>
    <row r="67" ht="13.2" customHeight="1" s="31"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</row>
    <row r="68" ht="13.2" customHeight="1" s="31"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</row>
    <row r="69" ht="13.2" customHeight="1" s="31"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</row>
    <row r="70" ht="13.2" customHeight="1" s="31"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</row>
    <row r="71" ht="13.2" customHeight="1" s="31"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</row>
    <row r="72" ht="13.2" customHeight="1" s="31"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</row>
    <row r="73" ht="13.2" customHeight="1" s="31"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</row>
    <row r="74" ht="13.2" customHeight="1" s="31"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</row>
    <row r="75" ht="13.2" customHeight="1" s="31"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</row>
    <row r="76" ht="13.2" customHeight="1" s="31"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</row>
    <row r="77" ht="13.2" customHeight="1" s="31"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</row>
    <row r="78" ht="13.2" customHeight="1" s="31"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</row>
    <row r="79" ht="13.2" customHeight="1" s="31"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</row>
    <row r="80" ht="13.2" customHeight="1" s="31"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</row>
    <row r="81" ht="13.2" customHeight="1" s="31"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</row>
    <row r="82" ht="13.2" customHeight="1" s="31"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</row>
    <row r="83" ht="13.2" customHeight="1" s="31"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</row>
    <row r="84" ht="13.2" customHeight="1" s="31"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</row>
    <row r="85" ht="13.2" customHeight="1" s="31"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</row>
    <row r="86" ht="13.2" customHeight="1" s="31"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</row>
    <row r="87" ht="13.2" customHeight="1" s="31"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</row>
    <row r="88" ht="13.2" customHeight="1" s="31"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</row>
    <row r="89" ht="13.2" customHeight="1" s="31"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</row>
    <row r="90" ht="13.2" customHeight="1" s="31"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</row>
    <row r="91" ht="13.2" customHeight="1" s="31"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</row>
    <row r="92" ht="13.2" customHeight="1" s="31"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</row>
    <row r="93" ht="13.2" customHeight="1" s="31"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</row>
    <row r="94" ht="13.2" customHeight="1" s="31"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</row>
    <row r="95" ht="13.2" customHeight="1" s="31"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</row>
  </sheetData>
  <mergeCells count="3">
    <mergeCell ref="N4:Q4"/>
    <mergeCell ref="B4:I4"/>
    <mergeCell ref="J4:M4"/>
  </mergeCells>
  <printOptions horizontalCentered="1" verticalCentered="0" headings="0" gridLines="0" gridLinesSet="1"/>
  <pageMargins left="0.5" right="0.5" top="0.9840277777777779" bottom="0.9840277777777779" header="0.5" footer="0.5"/>
  <pageSetup orientation="landscape" paperSize="8" scale="100" fitToHeight="1" fitToWidth="1" pageOrder="downThenOver" blackAndWhite="0" draft="0" horizontalDpi="300" verticalDpi="300" copies="1"/>
  <headerFooter differentOddEven="0" differentFirst="0">
    <oddHeader>&amp;C&amp;"Times New Roman,Regular"PERSONNEL PROJECTION MATRIX&amp;R&amp;"Times New Roman,Regular"&amp;8 &amp;F</oddHeader>
    <oddFooter>&amp;L&amp;"Times New Roman,Regular"&amp;8 Ops&amp;&amp;IT Banking Confidential&amp;C&amp;"Times New Roman,Regular"&amp;8 Attachment 5-B (2) - Getronics&amp;R&amp;"Times New Roman,Regular"&amp;8 30/11/06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 </dc:title>
  <dc:language xmlns:dc="http://purl.org/dc/elements/1.1/">en-US</dc:language>
  <dcterms:created xmlns:dcterms="http://purl.org/dc/terms/" xmlns:xsi="http://www.w3.org/2001/XMLSchema-instance" xsi:type="dcterms:W3CDTF">1980-01-01T03:30:00Z</dcterms:created>
  <dcterms:modified xmlns:dcterms="http://purl.org/dc/terms/" xmlns:xsi="http://www.w3.org/2001/XMLSchema-instance" xsi:type="dcterms:W3CDTF">2026-02-11T03:34:28Z</dcterms:modified>
  <cp:lastModifiedBy>Stuart Johnson</cp:lastModifiedBy>
  <cp:revision>0</cp:revision>
  <cp:lastPrinted>2006-12-08T14:24:03Z</cp:lastPrinted>
</cp:coreProperties>
</file>

<file path=docProps/custom.xml><?xml version="1.0" encoding="utf-8"?>
<Properties xmlns="http://schemas.openxmlformats.org/officeDocument/2006/custom-properties">
  <property name="_AdHocReviewCycleID" fmtid="{D5CDD505-2E9C-101B-9397-08002B2CF9AE}" pid="2">
    <vt:r8 xmlns:vt="http://schemas.openxmlformats.org/officeDocument/2006/docPropsVTypes">-1440526610</vt:r8>
  </property>
  <property name="_AuthorEmail" fmtid="{D5CDD505-2E9C-101B-9397-08002B2CF9AE}" pid="3">
    <vt:lpwstr xmlns:vt="http://schemas.openxmlformats.org/officeDocument/2006/docPropsVTypes">Margrethe.Tippersma@mail.ing.nl</vt:lpwstr>
  </property>
  <property name="_AuthorEmailDisplayName" fmtid="{D5CDD505-2E9C-101B-9397-08002B2CF9AE}" pid="4">
    <vt:lpwstr xmlns:vt="http://schemas.openxmlformats.org/officeDocument/2006/docPropsVTypes">Tippersma, M. (Margrethe)</vt:lpwstr>
  </property>
  <property name="_EmailSubject" fmtid="{D5CDD505-2E9C-101B-9397-08002B2CF9AE}" pid="5">
    <vt:lpwstr xmlns:vt="http://schemas.openxmlformats.org/officeDocument/2006/docPropsVTypes">HR Exhibit</vt:lpwstr>
  </property>
  <property name="_ReviewingToolsShownOnce" fmtid="{D5CDD505-2E9C-101B-9397-08002B2CF9AE}" pid="6">
    <vt:lpwstr xmlns:vt="http://schemas.openxmlformats.org/officeDocument/2006/docPropsVTypes"/>
  </property>
</Properties>
</file>